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Paramètres" sheetId="2" state="visible" r:id="rId2"/>
    <sheet name="Données" sheetId="3" state="visible" r:id="rId3"/>
    <sheet name="Simulation" sheetId="4" state="visible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$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sz val="10"/>
    </font>
    <font>
      <name val="Arial"/>
      <i val="1"/>
      <color rgb="005C6360"/>
      <sz val="9"/>
    </font>
    <font>
      <name val="Arial"/>
      <color rgb="005C6360"/>
      <sz val="9"/>
    </font>
    <font>
      <name val="Arial"/>
      <b val="1"/>
      <color rgb="00FFFFFF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4" fontId="3" fillId="2" borderId="1" pivotButton="0" quotePrefix="0" xfId="0"/>
    <xf numFmtId="165" fontId="3" fillId="2" borderId="1" pivotButton="0" quotePrefix="0" xfId="0"/>
    <xf numFmtId="1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165" fontId="2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Capital financé : CFD et Futures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'Simulation'!$A$2:$A$121</f>
            </numRef>
          </cat>
          <val>
            <numRef>
              <f>'Simulation'!$J$2:$J$121</f>
            </numRef>
          </val>
        </ser>
        <ser>
          <idx val="1"/>
          <order val="1"/>
          <tx>
            <strRef>
              <f>'Simulation'!K1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'Simulation'!$A$2:$A$121</f>
            </numRef>
          </cat>
          <val>
            <numRef>
              <f>'Simulation'!$K$2:$K$121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Salaire mensuel : brut et net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'Simulation'!$A$2:$A$121</f>
            </numRef>
          </cat>
          <val>
            <numRef>
              <f>'Simulation'!$D$2:$D$121</f>
            </numRef>
          </val>
        </ser>
        <ser>
          <idx val="1"/>
          <order val="1"/>
          <tx>
            <strRef>
              <f>'Simulation'!E1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'Simulation'!$A$2:$A$121</f>
            </numRef>
          </cat>
          <val>
            <numRef>
              <f>'Simulation'!$E$2:$E$121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Salaire net cumulé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'Simulation'!$A$2:$A$121</f>
            </numRef>
          </cat>
          <val>
            <numRef>
              <f>'Simulation'!$L$2:$L$121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Capital financé total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'Simulation'!$A$2:$A$121</f>
            </numRef>
          </cat>
          <val>
            <numRef>
              <f>'Simulation'!$I$2:$I$121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2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2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53</row>
      <rowOff>0</rowOff>
    </from>
    <ext cx="72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 boule de neige — prop firms (bot 100 % automatique)</t>
        </is>
      </c>
    </row>
    <row r="2">
      <c r="A2" s="2" t="inlineStr"/>
    </row>
    <row r="3">
      <c r="A3" s="2" t="inlineStr">
        <is>
          <t>Fichier conçu pour Google Sheets : Fichier &gt; Importer &gt; Importer les données. Toutes les cellules bleues de l'onglet Paramètres sont modifiables ; la Simulation et les Graphiques se recalculent automatiquement.</t>
        </is>
      </c>
    </row>
    <row r="4">
      <c r="A4" s="2" t="inlineStr"/>
    </row>
    <row r="5">
      <c r="A5" s="3" t="inlineStr">
        <is>
          <t>ONGLETS</t>
        </is>
      </c>
    </row>
    <row r="6">
      <c r="A6" s="2" t="inlineStr">
        <is>
          <t>Paramètres : rendement mensuel, capital de départ, part réinvestie, part trader par défaut.</t>
        </is>
      </c>
    </row>
    <row r="7">
      <c r="A7" s="2" t="inlineStr">
        <is>
          <t>Données : la liste ordonnée des firmes à acheter — cycle CFD d'abord puis Futures, plans instant d'abord, du moins cher au plus cher. Capital cumulable max et prix de la composition la moins chère par firme.</t>
        </is>
      </c>
    </row>
    <row r="8">
      <c r="A8" s="2" t="inlineStr">
        <is>
          <t>Simulation : un mois par ligne. Capital actif, profit brut, salaire net (après part firme), réinvesti, capital financé, répartition CFD / Futures, salaire net cumulé, trésorerie.</t>
        </is>
      </c>
    </row>
    <row r="9">
      <c r="A9" s="2" t="inlineStr">
        <is>
          <t>Graphiques : capital financé, salaire mensuel brut et net, salaire net cumulé.</t>
        </is>
      </c>
    </row>
    <row r="10">
      <c r="A10" s="2" t="inlineStr"/>
    </row>
    <row r="11">
      <c r="A11" s="3" t="inlineStr">
        <is>
          <t>MODÈLE</t>
        </is>
      </c>
    </row>
    <row r="12">
      <c r="A12" s="2" t="inlineStr">
        <is>
          <t>Chaque mois : profit brut = capital financé × rendement. Salaire net = profit × part trader de chaque firme. Le salaire net réinvesti s'accumule et achète les firmes dans l'ordre de l'onglet Données, dès que la trésorerie suffit.</t>
        </is>
      </c>
    </row>
    <row r="13">
      <c r="A13" s="2" t="inlineStr">
        <is>
          <t>Le nombre de firmes détenues chaque mois = nombre de firmes dont le prix cumulé est couvert par l'investi cumulé. Le capital financé en découle.</t>
        </is>
      </c>
    </row>
    <row r="14">
      <c r="A14" s="2" t="inlineStr"/>
    </row>
    <row r="15">
      <c r="A15" s="3" t="inlineStr">
        <is>
          <t>LIMITES</t>
        </is>
      </c>
    </row>
    <row r="16">
      <c r="A16" s="2" t="inlineStr">
        <is>
          <t>Borne théorique sous rendement constant, sans échec d'évaluation, drawdown, délai de payout ni plafond de retrait. Prix hors codes promo, à vérifier avant achat.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4" t="inlineStr">
        <is>
          <t>Plan boule de neige — Paramètres</t>
        </is>
      </c>
    </row>
    <row r="3">
      <c r="A3" s="5" t="inlineStr">
        <is>
          <t>Rendement mensuel brut du bot</t>
        </is>
      </c>
      <c r="B3" s="6" t="n">
        <v>0.1</v>
      </c>
    </row>
    <row r="4">
      <c r="A4" s="5" t="inlineStr">
        <is>
          <t>Capital de départ (FundedNext)</t>
        </is>
      </c>
      <c r="B4" s="7" t="n">
        <v>10000</v>
      </c>
    </row>
    <row r="5">
      <c r="A5" s="5" t="inlineStr">
        <is>
          <t>Part des gains réinvestie</t>
        </is>
      </c>
      <c r="B5" s="6" t="n">
        <v>1</v>
      </c>
    </row>
    <row r="6">
      <c r="A6" s="5" t="inlineStr">
        <is>
          <t>Part trader par défaut (si firme inconnue)</t>
        </is>
      </c>
      <c r="B6" s="6" t="n">
        <v>0.8</v>
      </c>
    </row>
    <row r="7">
      <c r="A7" s="5" t="inlineStr">
        <is>
          <t>Comptes achetés au maximum par mois</t>
        </is>
      </c>
      <c r="B7" s="8" t="n">
        <v>5</v>
      </c>
    </row>
    <row r="8">
      <c r="A8" s="9" t="n"/>
    </row>
    <row r="9">
      <c r="A9" s="10" t="inlineStr">
        <is>
          <t>Cellules bleues = à modifier. Tout le reste se recalcule (onglet Simulation).</t>
        </is>
      </c>
    </row>
    <row r="10">
      <c r="A10" s="10" t="inlineStr">
        <is>
          <t>Modèle : départ FundedNext. Chaque mois profit = capital × rendement ; salaire net = profit × part trader.</t>
        </is>
      </c>
    </row>
    <row r="11">
      <c r="A11" t="inlineStr">
        <is>
          <t>Le salaire net réinvesti achète les firmes dans l'ordre de l'onglet Données (CFD d'abord, instant d'abord, moins cher d'abord).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0" customWidth="1" min="4" max="4"/>
    <col width="13" customWidth="1" min="5" max="5"/>
    <col width="12" customWidth="1" min="6" max="6"/>
    <col width="10" customWidth="1" min="7" max="7"/>
    <col width="14" customWidth="1" min="8" max="8"/>
    <col width="15" customWidth="1" min="9" max="9"/>
    <col width="16" customWidth="1" min="10" max="10"/>
    <col width="13" customWidth="1" min="11" max="11"/>
  </cols>
  <sheetData>
    <row r="1" ht="30" customHeight="1">
      <c r="A1" s="11" t="inlineStr">
        <is>
          <t>Ordre</t>
        </is>
      </c>
      <c r="B1" s="11" t="inlineStr">
        <is>
          <t>Cycle</t>
        </is>
      </c>
      <c r="C1" s="11" t="inlineStr">
        <is>
          <t>Prop firm</t>
        </is>
      </c>
      <c r="D1" s="11" t="inlineStr">
        <is>
          <t>Plan</t>
        </is>
      </c>
      <c r="E1" s="11" t="inlineStr">
        <is>
          <t>Capital ($)</t>
        </is>
      </c>
      <c r="F1" s="11" t="inlineStr">
        <is>
          <t>Prix ($)</t>
        </is>
      </c>
      <c r="G1" s="11" t="inlineStr">
        <is>
          <t>Part trader</t>
        </is>
      </c>
      <c r="H1" s="11" t="inlineStr">
        <is>
          <t>Capital × part</t>
        </is>
      </c>
      <c r="I1" s="11" t="inlineStr">
        <is>
          <t>Capital cumulé</t>
        </is>
      </c>
      <c r="J1" s="11" t="inlineStr">
        <is>
          <t>Capital×part cumulé</t>
        </is>
      </c>
      <c r="K1" s="11" t="inlineStr">
        <is>
          <t>Prix cumulé</t>
        </is>
      </c>
    </row>
    <row r="2">
      <c r="A2" s="12" t="n">
        <v>1</v>
      </c>
      <c r="B2" s="12" t="inlineStr">
        <is>
          <t>CFD</t>
        </is>
      </c>
      <c r="C2" s="12" t="inlineStr">
        <is>
          <t>FundedHive</t>
        </is>
      </c>
      <c r="D2" s="12" t="inlineStr">
        <is>
          <t>Instant</t>
        </is>
      </c>
      <c r="E2" s="13" t="n">
        <v>1000000</v>
      </c>
      <c r="F2" s="13" t="n">
        <v>349</v>
      </c>
      <c r="G2" s="14" t="n">
        <v>0.99</v>
      </c>
      <c r="H2" s="13">
        <f>E2*G2</f>
        <v/>
      </c>
      <c r="I2" s="13">
        <f>E2</f>
        <v/>
      </c>
      <c r="J2" s="13">
        <f>H2</f>
        <v/>
      </c>
      <c r="K2" s="13">
        <f>F2</f>
        <v/>
      </c>
    </row>
    <row r="3">
      <c r="A3" s="12" t="n">
        <v>2</v>
      </c>
      <c r="B3" s="12" t="inlineStr">
        <is>
          <t>CFD</t>
        </is>
      </c>
      <c r="C3" s="12" t="inlineStr">
        <is>
          <t>Real Trader Fund</t>
        </is>
      </c>
      <c r="D3" s="12" t="inlineStr">
        <is>
          <t>Instant</t>
        </is>
      </c>
      <c r="E3" s="13" t="n">
        <v>100000</v>
      </c>
      <c r="F3" s="13" t="n">
        <v>360</v>
      </c>
      <c r="G3" s="14" t="n">
        <v>0.9</v>
      </c>
      <c r="H3" s="13">
        <f>E3*G3</f>
        <v/>
      </c>
      <c r="I3" s="13">
        <f>I2+E3</f>
        <v/>
      </c>
      <c r="J3" s="13">
        <f>J2+H3</f>
        <v/>
      </c>
      <c r="K3" s="13">
        <f>K2+F3</f>
        <v/>
      </c>
    </row>
    <row r="4">
      <c r="A4" s="12" t="n">
        <v>3</v>
      </c>
      <c r="B4" s="12" t="inlineStr">
        <is>
          <t>CFD</t>
        </is>
      </c>
      <c r="C4" s="12" t="inlineStr">
        <is>
          <t>Hydra Futures</t>
        </is>
      </c>
      <c r="D4" s="12" t="inlineStr">
        <is>
          <t>Instant</t>
        </is>
      </c>
      <c r="E4" s="13" t="n">
        <v>500000</v>
      </c>
      <c r="F4" s="13" t="n">
        <v>1980</v>
      </c>
      <c r="G4" s="14" t="n">
        <v>0.9</v>
      </c>
      <c r="H4" s="13">
        <f>E4*G4</f>
        <v/>
      </c>
      <c r="I4" s="13">
        <f>I3+E4</f>
        <v/>
      </c>
      <c r="J4" s="13">
        <f>J3+H4</f>
        <v/>
      </c>
      <c r="K4" s="13">
        <f>K3+F4</f>
        <v/>
      </c>
    </row>
    <row r="5">
      <c r="A5" s="12" t="n">
        <v>4</v>
      </c>
      <c r="B5" s="12" t="inlineStr">
        <is>
          <t>CFD</t>
        </is>
      </c>
      <c r="C5" s="12" t="inlineStr">
        <is>
          <t>XPIPS</t>
        </is>
      </c>
      <c r="D5" s="12" t="inlineStr">
        <is>
          <t>Instant</t>
        </is>
      </c>
      <c r="E5" s="13" t="n">
        <v>400000</v>
      </c>
      <c r="F5" s="13" t="n">
        <v>1596</v>
      </c>
      <c r="G5" s="14" t="n">
        <v>1</v>
      </c>
      <c r="H5" s="13">
        <f>E5*G5</f>
        <v/>
      </c>
      <c r="I5" s="13">
        <f>I4+E5</f>
        <v/>
      </c>
      <c r="J5" s="13">
        <f>J4+H5</f>
        <v/>
      </c>
      <c r="K5" s="13">
        <f>K4+F5</f>
        <v/>
      </c>
    </row>
    <row r="6">
      <c r="A6" s="12" t="n">
        <v>5</v>
      </c>
      <c r="B6" s="12" t="inlineStr">
        <is>
          <t>CFD</t>
        </is>
      </c>
      <c r="C6" s="12" t="inlineStr">
        <is>
          <t>Elysium Forex</t>
        </is>
      </c>
      <c r="D6" s="12" t="inlineStr">
        <is>
          <t>Instant</t>
        </is>
      </c>
      <c r="E6" s="13" t="n">
        <v>1000000</v>
      </c>
      <c r="F6" s="13" t="n">
        <v>4000</v>
      </c>
      <c r="G6" s="14" t="n">
        <v>0.9</v>
      </c>
      <c r="H6" s="13">
        <f>E6*G6</f>
        <v/>
      </c>
      <c r="I6" s="13">
        <f>I5+E6</f>
        <v/>
      </c>
      <c r="J6" s="13">
        <f>J5+H6</f>
        <v/>
      </c>
      <c r="K6" s="13">
        <f>K5+F6</f>
        <v/>
      </c>
    </row>
    <row r="7">
      <c r="A7" s="12" t="n">
        <v>6</v>
      </c>
      <c r="B7" s="12" t="inlineStr">
        <is>
          <t>CFD</t>
        </is>
      </c>
      <c r="C7" s="12" t="inlineStr">
        <is>
          <t>Alpine Funded</t>
        </is>
      </c>
      <c r="D7" s="12" t="inlineStr">
        <is>
          <t>Instant</t>
        </is>
      </c>
      <c r="E7" s="13" t="n">
        <v>200000</v>
      </c>
      <c r="F7" s="13" t="n">
        <v>839</v>
      </c>
      <c r="G7" s="14" t="n">
        <v>1</v>
      </c>
      <c r="H7" s="13">
        <f>E7*G7</f>
        <v/>
      </c>
      <c r="I7" s="13">
        <f>I6+E7</f>
        <v/>
      </c>
      <c r="J7" s="13">
        <f>J6+H7</f>
        <v/>
      </c>
      <c r="K7" s="13">
        <f>K6+F7</f>
        <v/>
      </c>
    </row>
    <row r="8">
      <c r="A8" s="12" t="n">
        <v>7</v>
      </c>
      <c r="B8" s="12" t="inlineStr">
        <is>
          <t>CFD</t>
        </is>
      </c>
      <c r="C8" s="12" t="inlineStr">
        <is>
          <t>Funding Pips</t>
        </is>
      </c>
      <c r="D8" s="12" t="inlineStr">
        <is>
          <t>Instant</t>
        </is>
      </c>
      <c r="E8" s="13" t="n">
        <v>300000</v>
      </c>
      <c r="F8" s="13" t="n">
        <v>1332</v>
      </c>
      <c r="G8" s="14" t="n">
        <v>1</v>
      </c>
      <c r="H8" s="13">
        <f>E8*G8</f>
        <v/>
      </c>
      <c r="I8" s="13">
        <f>I7+E8</f>
        <v/>
      </c>
      <c r="J8" s="13">
        <f>J7+H8</f>
        <v/>
      </c>
      <c r="K8" s="13">
        <f>K7+F8</f>
        <v/>
      </c>
    </row>
    <row r="9">
      <c r="A9" s="12" t="n">
        <v>8</v>
      </c>
      <c r="B9" s="12" t="inlineStr">
        <is>
          <t>CFD</t>
        </is>
      </c>
      <c r="C9" s="12" t="inlineStr">
        <is>
          <t>Hex Funded</t>
        </is>
      </c>
      <c r="D9" s="12" t="inlineStr">
        <is>
          <t>Instant</t>
        </is>
      </c>
      <c r="E9" s="13" t="n">
        <v>400000</v>
      </c>
      <c r="F9" s="13" t="n">
        <v>1908</v>
      </c>
      <c r="G9" s="14" t="n">
        <v>0.9</v>
      </c>
      <c r="H9" s="13">
        <f>E9*G9</f>
        <v/>
      </c>
      <c r="I9" s="13">
        <f>I8+E9</f>
        <v/>
      </c>
      <c r="J9" s="13">
        <f>J8+H9</f>
        <v/>
      </c>
      <c r="K9" s="13">
        <f>K8+F9</f>
        <v/>
      </c>
    </row>
    <row r="10">
      <c r="A10" s="12" t="n">
        <v>9</v>
      </c>
      <c r="B10" s="12" t="inlineStr">
        <is>
          <t>CFD</t>
        </is>
      </c>
      <c r="C10" s="12" t="inlineStr">
        <is>
          <t>FX2 Funding</t>
        </is>
      </c>
      <c r="D10" s="12" t="inlineStr">
        <is>
          <t>Instant</t>
        </is>
      </c>
      <c r="E10" s="13" t="n">
        <v>190000</v>
      </c>
      <c r="F10" s="13" t="n">
        <v>1055</v>
      </c>
      <c r="G10" s="14" t="n">
        <v>0.95</v>
      </c>
      <c r="H10" s="13">
        <f>E10*G10</f>
        <v/>
      </c>
      <c r="I10" s="13">
        <f>I9+E10</f>
        <v/>
      </c>
      <c r="J10" s="13">
        <f>J9+H10</f>
        <v/>
      </c>
      <c r="K10" s="13">
        <f>K9+F10</f>
        <v/>
      </c>
    </row>
    <row r="11">
      <c r="A11" s="12" t="n">
        <v>10</v>
      </c>
      <c r="B11" s="12" t="inlineStr">
        <is>
          <t>CFD</t>
        </is>
      </c>
      <c r="C11" s="12" t="inlineStr">
        <is>
          <t>Audacity Capital (FTP Instant Funding)</t>
        </is>
      </c>
      <c r="D11" s="12" t="inlineStr">
        <is>
          <t>Instant</t>
        </is>
      </c>
      <c r="E11" s="13" t="n">
        <v>240000</v>
      </c>
      <c r="F11" s="13" t="n">
        <v>1365</v>
      </c>
      <c r="G11" s="14" t="n">
        <v>0.8</v>
      </c>
      <c r="H11" s="13">
        <f>E11*G11</f>
        <v/>
      </c>
      <c r="I11" s="13">
        <f>I10+E11</f>
        <v/>
      </c>
      <c r="J11" s="13">
        <f>J10+H11</f>
        <v/>
      </c>
      <c r="K11" s="13">
        <f>K10+F11</f>
        <v/>
      </c>
    </row>
    <row r="12">
      <c r="A12" s="12" t="n">
        <v>11</v>
      </c>
      <c r="B12" s="12" t="inlineStr">
        <is>
          <t>CFD</t>
        </is>
      </c>
      <c r="C12" s="12" t="inlineStr">
        <is>
          <t>FundedForge</t>
        </is>
      </c>
      <c r="D12" s="12" t="inlineStr">
        <is>
          <t>Instant</t>
        </is>
      </c>
      <c r="E12" s="13" t="n">
        <v>100000</v>
      </c>
      <c r="F12" s="13" t="n">
        <v>650</v>
      </c>
      <c r="G12" s="14" t="n">
        <v>0.9</v>
      </c>
      <c r="H12" s="13">
        <f>E12*G12</f>
        <v/>
      </c>
      <c r="I12" s="13">
        <f>I11+E12</f>
        <v/>
      </c>
      <c r="J12" s="13">
        <f>J11+H12</f>
        <v/>
      </c>
      <c r="K12" s="13">
        <f>K11+F12</f>
        <v/>
      </c>
    </row>
    <row r="13">
      <c r="A13" s="12" t="n">
        <v>12</v>
      </c>
      <c r="B13" s="12" t="inlineStr">
        <is>
          <t>CFD</t>
        </is>
      </c>
      <c r="C13" s="12" t="inlineStr">
        <is>
          <t>We Copy Trade</t>
        </is>
      </c>
      <c r="D13" s="12" t="inlineStr">
        <is>
          <t>Instant</t>
        </is>
      </c>
      <c r="E13" s="13" t="n">
        <v>200000</v>
      </c>
      <c r="F13" s="13" t="n">
        <v>2000</v>
      </c>
      <c r="G13" s="14" t="n">
        <v>0.9</v>
      </c>
      <c r="H13" s="13">
        <f>E13*G13</f>
        <v/>
      </c>
      <c r="I13" s="13">
        <f>I12+E13</f>
        <v/>
      </c>
      <c r="J13" s="13">
        <f>J12+H13</f>
        <v/>
      </c>
      <c r="K13" s="13">
        <f>K12+F13</f>
        <v/>
      </c>
    </row>
    <row r="14">
      <c r="A14" s="12" t="n">
        <v>13</v>
      </c>
      <c r="B14" s="12" t="inlineStr">
        <is>
          <t>CFD</t>
        </is>
      </c>
      <c r="C14" s="12" t="inlineStr">
        <is>
          <t>BuoyTrade</t>
        </is>
      </c>
      <c r="D14" s="12" t="inlineStr">
        <is>
          <t>Instant</t>
        </is>
      </c>
      <c r="E14" s="13" t="n">
        <v>40000</v>
      </c>
      <c r="F14" s="13" t="n">
        <v>1980</v>
      </c>
      <c r="G14" s="14" t="n">
        <v>0.8</v>
      </c>
      <c r="H14" s="13">
        <f>E14*G14</f>
        <v/>
      </c>
      <c r="I14" s="13">
        <f>I13+E14</f>
        <v/>
      </c>
      <c r="J14" s="13">
        <f>J13+H14</f>
        <v/>
      </c>
      <c r="K14" s="13">
        <f>K13+F14</f>
        <v/>
      </c>
    </row>
    <row r="15">
      <c r="A15" s="12" t="n">
        <v>14</v>
      </c>
      <c r="B15" s="12" t="inlineStr">
        <is>
          <t>CFD</t>
        </is>
      </c>
      <c r="C15" s="12" t="inlineStr">
        <is>
          <t>Ifunds</t>
        </is>
      </c>
      <c r="D15" s="12" t="inlineStr">
        <is>
          <t>Instant</t>
        </is>
      </c>
      <c r="E15" s="13" t="n">
        <v>10000</v>
      </c>
      <c r="F15" s="13" t="n">
        <v>700</v>
      </c>
      <c r="G15" s="14" t="n">
        <v>0.5</v>
      </c>
      <c r="H15" s="13">
        <f>E15*G15</f>
        <v/>
      </c>
      <c r="I15" s="13">
        <f>I14+E15</f>
        <v/>
      </c>
      <c r="J15" s="13">
        <f>J14+H15</f>
        <v/>
      </c>
      <c r="K15" s="13">
        <f>K14+F15</f>
        <v/>
      </c>
    </row>
    <row r="16">
      <c r="A16" s="12" t="n">
        <v>15</v>
      </c>
      <c r="B16" s="12" t="inlineStr">
        <is>
          <t>CFD</t>
        </is>
      </c>
      <c r="C16" s="12" t="inlineStr">
        <is>
          <t>ADN Broker</t>
        </is>
      </c>
      <c r="D16" s="12" t="inlineStr">
        <is>
          <t>Instant</t>
        </is>
      </c>
      <c r="E16" s="13" t="n">
        <v>500000</v>
      </c>
      <c r="F16" s="13" t="n">
        <v>50000</v>
      </c>
      <c r="G16" s="14" t="n">
        <v>1</v>
      </c>
      <c r="H16" s="13">
        <f>E16*G16</f>
        <v/>
      </c>
      <c r="I16" s="13">
        <f>I15+E16</f>
        <v/>
      </c>
      <c r="J16" s="13">
        <f>J15+H16</f>
        <v/>
      </c>
      <c r="K16" s="13">
        <f>K15+F16</f>
        <v/>
      </c>
    </row>
    <row r="17">
      <c r="A17" s="12" t="n">
        <v>16</v>
      </c>
      <c r="B17" s="12" t="inlineStr">
        <is>
          <t>CFD</t>
        </is>
      </c>
      <c r="C17" s="12" t="inlineStr">
        <is>
          <t>Lux Trading Firm</t>
        </is>
      </c>
      <c r="D17" s="12" t="inlineStr">
        <is>
          <t>1 étape</t>
        </is>
      </c>
      <c r="E17" s="13" t="n">
        <v>5000000</v>
      </c>
      <c r="F17" s="13" t="n">
        <v>4995</v>
      </c>
      <c r="G17" s="14" t="n">
        <v>0.9</v>
      </c>
      <c r="H17" s="13">
        <f>E17*G17</f>
        <v/>
      </c>
      <c r="I17" s="13">
        <f>I16+E17</f>
        <v/>
      </c>
      <c r="J17" s="13">
        <f>J16+H17</f>
        <v/>
      </c>
      <c r="K17" s="13">
        <f>K16+F17</f>
        <v/>
      </c>
    </row>
    <row r="18">
      <c r="A18" s="12" t="n">
        <v>17</v>
      </c>
      <c r="B18" s="12" t="inlineStr">
        <is>
          <t>CFD</t>
        </is>
      </c>
      <c r="C18" s="12" t="inlineStr">
        <is>
          <t>PaidPex</t>
        </is>
      </c>
      <c r="D18" s="12" t="inlineStr">
        <is>
          <t>1 étape</t>
        </is>
      </c>
      <c r="E18" s="13" t="n">
        <v>6000000</v>
      </c>
      <c r="F18" s="13" t="n">
        <v>11960</v>
      </c>
      <c r="G18" s="14" t="n">
        <v>0.9</v>
      </c>
      <c r="H18" s="13">
        <f>E18*G18</f>
        <v/>
      </c>
      <c r="I18" s="13">
        <f>I17+E18</f>
        <v/>
      </c>
      <c r="J18" s="13">
        <f>J17+H18</f>
        <v/>
      </c>
      <c r="K18" s="13">
        <f>K17+F18</f>
        <v/>
      </c>
    </row>
    <row r="19">
      <c r="A19" s="12" t="n">
        <v>18</v>
      </c>
      <c r="B19" s="12" t="inlineStr">
        <is>
          <t>CFD</t>
        </is>
      </c>
      <c r="C19" s="12" t="inlineStr">
        <is>
          <t>Hola Prime</t>
        </is>
      </c>
      <c r="D19" s="12" t="inlineStr">
        <is>
          <t>1 étape</t>
        </is>
      </c>
      <c r="E19" s="13" t="n">
        <v>500000</v>
      </c>
      <c r="F19" s="13" t="n">
        <v>1236</v>
      </c>
      <c r="G19" s="14" t="n">
        <v>0.95</v>
      </c>
      <c r="H19" s="13">
        <f>E19*G19</f>
        <v/>
      </c>
      <c r="I19" s="13">
        <f>I18+E19</f>
        <v/>
      </c>
      <c r="J19" s="13">
        <f>J18+H19</f>
        <v/>
      </c>
      <c r="K19" s="13">
        <f>K18+F19</f>
        <v/>
      </c>
    </row>
    <row r="20">
      <c r="A20" s="12" t="n">
        <v>19</v>
      </c>
      <c r="B20" s="12" t="inlineStr">
        <is>
          <t>CFD</t>
        </is>
      </c>
      <c r="C20" s="12" t="inlineStr">
        <is>
          <t>FundYourFX</t>
        </is>
      </c>
      <c r="D20" s="12" t="inlineStr">
        <is>
          <t>1 étape</t>
        </is>
      </c>
      <c r="E20" s="13" t="n">
        <v>200000</v>
      </c>
      <c r="F20" s="13" t="n">
        <v>514</v>
      </c>
      <c r="G20" s="14" t="n">
        <v>1</v>
      </c>
      <c r="H20" s="13">
        <f>E20*G20</f>
        <v/>
      </c>
      <c r="I20" s="13">
        <f>I19+E20</f>
        <v/>
      </c>
      <c r="J20" s="13">
        <f>J19+H20</f>
        <v/>
      </c>
      <c r="K20" s="13">
        <f>K19+F20</f>
        <v/>
      </c>
    </row>
    <row r="21">
      <c r="A21" s="12" t="n">
        <v>20</v>
      </c>
      <c r="B21" s="12" t="inlineStr">
        <is>
          <t>CFD</t>
        </is>
      </c>
      <c r="C21" s="12" t="inlineStr">
        <is>
          <t>E8 Perpetuals</t>
        </is>
      </c>
      <c r="D21" s="12" t="inlineStr">
        <is>
          <t>1 étape</t>
        </is>
      </c>
      <c r="E21" s="13" t="n">
        <v>500000</v>
      </c>
      <c r="F21" s="13" t="n">
        <v>1300</v>
      </c>
      <c r="G21" s="14" t="n">
        <v>1</v>
      </c>
      <c r="H21" s="13">
        <f>E21*G21</f>
        <v/>
      </c>
      <c r="I21" s="13">
        <f>I20+E21</f>
        <v/>
      </c>
      <c r="J21" s="13">
        <f>J20+H21</f>
        <v/>
      </c>
      <c r="K21" s="13">
        <f>K20+F21</f>
        <v/>
      </c>
    </row>
    <row r="22">
      <c r="A22" s="12" t="n">
        <v>21</v>
      </c>
      <c r="B22" s="12" t="inlineStr">
        <is>
          <t>CFD</t>
        </is>
      </c>
      <c r="C22" s="12" t="inlineStr">
        <is>
          <t>E8 Markets</t>
        </is>
      </c>
      <c r="D22" s="12" t="inlineStr">
        <is>
          <t>1 étape</t>
        </is>
      </c>
      <c r="E22" s="13" t="n">
        <v>500000</v>
      </c>
      <c r="F22" s="13" t="n">
        <v>1300</v>
      </c>
      <c r="G22" s="14" t="n">
        <v>1</v>
      </c>
      <c r="H22" s="13">
        <f>E22*G22</f>
        <v/>
      </c>
      <c r="I22" s="13">
        <f>I21+E22</f>
        <v/>
      </c>
      <c r="J22" s="13">
        <f>J21+H22</f>
        <v/>
      </c>
      <c r="K22" s="13">
        <f>K21+F22</f>
        <v/>
      </c>
    </row>
    <row r="23">
      <c r="A23" s="12" t="n">
        <v>22</v>
      </c>
      <c r="B23" s="12" t="inlineStr">
        <is>
          <t>CFD</t>
        </is>
      </c>
      <c r="C23" s="12" t="inlineStr">
        <is>
          <t>XLTrade</t>
        </is>
      </c>
      <c r="D23" s="12" t="inlineStr">
        <is>
          <t>1 étape</t>
        </is>
      </c>
      <c r="E23" s="13" t="n">
        <v>1000000</v>
      </c>
      <c r="F23" s="13" t="n">
        <v>3168</v>
      </c>
      <c r="G23" s="14" t="n">
        <v>1</v>
      </c>
      <c r="H23" s="13">
        <f>E23*G23</f>
        <v/>
      </c>
      <c r="I23" s="13">
        <f>I22+E23</f>
        <v/>
      </c>
      <c r="J23" s="13">
        <f>J22+H23</f>
        <v/>
      </c>
      <c r="K23" s="13">
        <f>K22+F23</f>
        <v/>
      </c>
    </row>
    <row r="24">
      <c r="A24" s="12" t="n">
        <v>23</v>
      </c>
      <c r="B24" s="12" t="inlineStr">
        <is>
          <t>CFD</t>
        </is>
      </c>
      <c r="C24" s="12" t="inlineStr">
        <is>
          <t>Funded Traders Pro</t>
        </is>
      </c>
      <c r="D24" s="12" t="inlineStr">
        <is>
          <t>1 étape</t>
        </is>
      </c>
      <c r="E24" s="13" t="n">
        <v>1000000</v>
      </c>
      <c r="F24" s="13" t="n">
        <v>3500</v>
      </c>
      <c r="G24" s="14" t="n">
        <v>1</v>
      </c>
      <c r="H24" s="13">
        <f>E24*G24</f>
        <v/>
      </c>
      <c r="I24" s="13">
        <f>I23+E24</f>
        <v/>
      </c>
      <c r="J24" s="13">
        <f>J23+H24</f>
        <v/>
      </c>
      <c r="K24" s="13">
        <f>K23+F24</f>
        <v/>
      </c>
    </row>
    <row r="25">
      <c r="A25" s="12" t="n">
        <v>24</v>
      </c>
      <c r="B25" s="12" t="inlineStr">
        <is>
          <t>CFD</t>
        </is>
      </c>
      <c r="C25" s="12" t="inlineStr">
        <is>
          <t>Funded Index</t>
        </is>
      </c>
      <c r="D25" s="12" t="inlineStr">
        <is>
          <t>1 étape</t>
        </is>
      </c>
      <c r="E25" s="13" t="n">
        <v>100000</v>
      </c>
      <c r="F25" s="13" t="n">
        <v>352</v>
      </c>
      <c r="G25" s="14" t="n">
        <v>0.8</v>
      </c>
      <c r="H25" s="13">
        <f>E25*G25</f>
        <v/>
      </c>
      <c r="I25" s="13">
        <f>I24+E25</f>
        <v/>
      </c>
      <c r="J25" s="13">
        <f>J24+H25</f>
        <v/>
      </c>
      <c r="K25" s="13">
        <f>K24+F25</f>
        <v/>
      </c>
    </row>
    <row r="26">
      <c r="A26" s="12" t="n">
        <v>25</v>
      </c>
      <c r="B26" s="12" t="inlineStr">
        <is>
          <t>CFD</t>
        </is>
      </c>
      <c r="C26" s="12" t="inlineStr">
        <is>
          <t>Propanium</t>
        </is>
      </c>
      <c r="D26" s="12" t="inlineStr">
        <is>
          <t>1 étape</t>
        </is>
      </c>
      <c r="E26" s="13" t="n">
        <v>100000</v>
      </c>
      <c r="F26" s="13" t="n">
        <v>360</v>
      </c>
      <c r="G26" s="14" t="n">
        <v>1</v>
      </c>
      <c r="H26" s="13">
        <f>E26*G26</f>
        <v/>
      </c>
      <c r="I26" s="13">
        <f>I25+E26</f>
        <v/>
      </c>
      <c r="J26" s="13">
        <f>J25+H26</f>
        <v/>
      </c>
      <c r="K26" s="13">
        <f>K25+F26</f>
        <v/>
      </c>
    </row>
    <row r="27">
      <c r="A27" s="12" t="n">
        <v>26</v>
      </c>
      <c r="B27" s="12" t="inlineStr">
        <is>
          <t>CFD</t>
        </is>
      </c>
      <c r="C27" s="12" t="inlineStr">
        <is>
          <t>Blue Guardian</t>
        </is>
      </c>
      <c r="D27" s="12" t="inlineStr">
        <is>
          <t>1 étape</t>
        </is>
      </c>
      <c r="E27" s="13" t="n">
        <v>400000</v>
      </c>
      <c r="F27" s="13" t="n">
        <v>1472</v>
      </c>
      <c r="G27" s="14" t="n">
        <v>0.9</v>
      </c>
      <c r="H27" s="13">
        <f>E27*G27</f>
        <v/>
      </c>
      <c r="I27" s="13">
        <f>I26+E27</f>
        <v/>
      </c>
      <c r="J27" s="13">
        <f>J26+H27</f>
        <v/>
      </c>
      <c r="K27" s="13">
        <f>K26+F27</f>
        <v/>
      </c>
    </row>
    <row r="28">
      <c r="A28" s="12" t="n">
        <v>27</v>
      </c>
      <c r="B28" s="12" t="inlineStr">
        <is>
          <t>CFD</t>
        </is>
      </c>
      <c r="C28" s="12" t="inlineStr">
        <is>
          <t>PipFarm</t>
        </is>
      </c>
      <c r="D28" s="12" t="inlineStr">
        <is>
          <t>1 étape</t>
        </is>
      </c>
      <c r="E28" s="13" t="n">
        <v>600000</v>
      </c>
      <c r="F28" s="13" t="n">
        <v>2360</v>
      </c>
      <c r="G28" s="14" t="n">
        <v>0.99</v>
      </c>
      <c r="H28" s="13">
        <f>E28*G28</f>
        <v/>
      </c>
      <c r="I28" s="13">
        <f>I27+E28</f>
        <v/>
      </c>
      <c r="J28" s="13">
        <f>J27+H28</f>
        <v/>
      </c>
      <c r="K28" s="13">
        <f>K27+F28</f>
        <v/>
      </c>
    </row>
    <row r="29">
      <c r="A29" s="12" t="n">
        <v>28</v>
      </c>
      <c r="B29" s="12" t="inlineStr">
        <is>
          <t>CFD</t>
        </is>
      </c>
      <c r="C29" s="12" t="inlineStr">
        <is>
          <t>Foxx Funded</t>
        </is>
      </c>
      <c r="D29" s="12" t="inlineStr">
        <is>
          <t>1 étape</t>
        </is>
      </c>
      <c r="E29" s="13" t="n">
        <v>500000</v>
      </c>
      <c r="F29" s="13" t="n">
        <v>1990</v>
      </c>
      <c r="G29" s="14" t="n">
        <v>0.9</v>
      </c>
      <c r="H29" s="13">
        <f>E29*G29</f>
        <v/>
      </c>
      <c r="I29" s="13">
        <f>I28+E29</f>
        <v/>
      </c>
      <c r="J29" s="13">
        <f>J28+H29</f>
        <v/>
      </c>
      <c r="K29" s="13">
        <f>K28+F29</f>
        <v/>
      </c>
    </row>
    <row r="30">
      <c r="A30" s="12" t="n">
        <v>29</v>
      </c>
      <c r="B30" s="12" t="inlineStr">
        <is>
          <t>CFD</t>
        </is>
      </c>
      <c r="C30" s="12" t="inlineStr">
        <is>
          <t>Vanta Trading</t>
        </is>
      </c>
      <c r="D30" s="12" t="inlineStr">
        <is>
          <t>1 étape</t>
        </is>
      </c>
      <c r="E30" s="13" t="n">
        <v>125000</v>
      </c>
      <c r="F30" s="13" t="n">
        <v>498</v>
      </c>
      <c r="G30" s="14" t="n">
        <v>0.8</v>
      </c>
      <c r="H30" s="13">
        <f>E30*G30</f>
        <v/>
      </c>
      <c r="I30" s="13">
        <f>I29+E30</f>
        <v/>
      </c>
      <c r="J30" s="13">
        <f>J29+H30</f>
        <v/>
      </c>
      <c r="K30" s="13">
        <f>K29+F30</f>
        <v/>
      </c>
    </row>
    <row r="31">
      <c r="A31" s="12" t="n">
        <v>30</v>
      </c>
      <c r="B31" s="12" t="inlineStr">
        <is>
          <t>CFD</t>
        </is>
      </c>
      <c r="C31" s="12" t="inlineStr">
        <is>
          <t>Quantum Funding</t>
        </is>
      </c>
      <c r="D31" s="12" t="inlineStr">
        <is>
          <t>1 étape</t>
        </is>
      </c>
      <c r="E31" s="13" t="n">
        <v>500000</v>
      </c>
      <c r="F31" s="13" t="n">
        <v>2145</v>
      </c>
      <c r="G31" s="14" t="n">
        <v>0.8</v>
      </c>
      <c r="H31" s="13">
        <f>E31*G31</f>
        <v/>
      </c>
      <c r="I31" s="13">
        <f>I30+E31</f>
        <v/>
      </c>
      <c r="J31" s="13">
        <f>J30+H31</f>
        <v/>
      </c>
      <c r="K31" s="13">
        <f>K30+F31</f>
        <v/>
      </c>
    </row>
    <row r="32">
      <c r="A32" s="12" t="n">
        <v>31</v>
      </c>
      <c r="B32" s="12" t="inlineStr">
        <is>
          <t>CFD</t>
        </is>
      </c>
      <c r="C32" s="12" t="inlineStr">
        <is>
          <t>EverFunded</t>
        </is>
      </c>
      <c r="D32" s="12" t="inlineStr">
        <is>
          <t>1 étape</t>
        </is>
      </c>
      <c r="E32" s="13" t="n">
        <v>200000</v>
      </c>
      <c r="F32" s="13" t="n">
        <v>878</v>
      </c>
      <c r="G32" s="14" t="n">
        <v>1</v>
      </c>
      <c r="H32" s="13">
        <f>E32*G32</f>
        <v/>
      </c>
      <c r="I32" s="13">
        <f>I31+E32</f>
        <v/>
      </c>
      <c r="J32" s="13">
        <f>J31+H32</f>
        <v/>
      </c>
      <c r="K32" s="13">
        <f>K31+F32</f>
        <v/>
      </c>
    </row>
    <row r="33">
      <c r="A33" s="12" t="n">
        <v>32</v>
      </c>
      <c r="B33" s="12" t="inlineStr">
        <is>
          <t>CFD</t>
        </is>
      </c>
      <c r="C33" s="12" t="inlineStr">
        <is>
          <t>FundedFX</t>
        </is>
      </c>
      <c r="D33" s="12" t="inlineStr">
        <is>
          <t>1 étape</t>
        </is>
      </c>
      <c r="E33" s="13" t="n">
        <v>200000</v>
      </c>
      <c r="F33" s="13" t="n">
        <v>900</v>
      </c>
      <c r="G33" s="14" t="n">
        <v>0.9</v>
      </c>
      <c r="H33" s="13">
        <f>E33*G33</f>
        <v/>
      </c>
      <c r="I33" s="13">
        <f>I32+E33</f>
        <v/>
      </c>
      <c r="J33" s="13">
        <f>J32+H33</f>
        <v/>
      </c>
      <c r="K33" s="13">
        <f>K32+F33</f>
        <v/>
      </c>
    </row>
    <row r="34">
      <c r="A34" s="12" t="n">
        <v>33</v>
      </c>
      <c r="B34" s="12" t="inlineStr">
        <is>
          <t>CFD</t>
        </is>
      </c>
      <c r="C34" s="12" t="inlineStr">
        <is>
          <t>Pipcy</t>
        </is>
      </c>
      <c r="D34" s="12" t="inlineStr">
        <is>
          <t>1 étape</t>
        </is>
      </c>
      <c r="E34" s="13" t="n">
        <v>100000</v>
      </c>
      <c r="F34" s="13" t="n">
        <v>459</v>
      </c>
      <c r="G34" s="14" t="n">
        <v>1</v>
      </c>
      <c r="H34" s="13">
        <f>E34*G34</f>
        <v/>
      </c>
      <c r="I34" s="13">
        <f>I33+E34</f>
        <v/>
      </c>
      <c r="J34" s="13">
        <f>J33+H34</f>
        <v/>
      </c>
      <c r="K34" s="13">
        <f>K33+F34</f>
        <v/>
      </c>
    </row>
    <row r="35">
      <c r="A35" s="12" t="n">
        <v>34</v>
      </c>
      <c r="B35" s="12" t="inlineStr">
        <is>
          <t>CFD</t>
        </is>
      </c>
      <c r="C35" s="12" t="inlineStr">
        <is>
          <t>IQ Capital</t>
        </is>
      </c>
      <c r="D35" s="12" t="inlineStr">
        <is>
          <t>1 étape</t>
        </is>
      </c>
      <c r="E35" s="13" t="n">
        <v>1000000</v>
      </c>
      <c r="F35" s="13" t="n">
        <v>4750</v>
      </c>
      <c r="G35" s="14" t="n">
        <v>0.9</v>
      </c>
      <c r="H35" s="13">
        <f>E35*G35</f>
        <v/>
      </c>
      <c r="I35" s="13">
        <f>I34+E35</f>
        <v/>
      </c>
      <c r="J35" s="13">
        <f>J34+H35</f>
        <v/>
      </c>
      <c r="K35" s="13">
        <f>K34+F35</f>
        <v/>
      </c>
    </row>
    <row r="36">
      <c r="A36" s="12" t="n">
        <v>35</v>
      </c>
      <c r="B36" s="12" t="inlineStr">
        <is>
          <t>CFD</t>
        </is>
      </c>
      <c r="C36" s="12" t="inlineStr">
        <is>
          <t>Evercrest Funding</t>
        </is>
      </c>
      <c r="D36" s="12" t="inlineStr">
        <is>
          <t>1 étape</t>
        </is>
      </c>
      <c r="E36" s="13" t="n">
        <v>300000</v>
      </c>
      <c r="F36" s="13" t="n">
        <v>1437</v>
      </c>
      <c r="G36" s="14" t="n">
        <v>0.8</v>
      </c>
      <c r="H36" s="13">
        <f>E36*G36</f>
        <v/>
      </c>
      <c r="I36" s="13">
        <f>I35+E36</f>
        <v/>
      </c>
      <c r="J36" s="13">
        <f>J35+H36</f>
        <v/>
      </c>
      <c r="K36" s="13">
        <f>K35+F36</f>
        <v/>
      </c>
    </row>
    <row r="37">
      <c r="A37" s="12" t="n">
        <v>36</v>
      </c>
      <c r="B37" s="12" t="inlineStr">
        <is>
          <t>CFD</t>
        </is>
      </c>
      <c r="C37" s="12" t="inlineStr">
        <is>
          <t>Pipster</t>
        </is>
      </c>
      <c r="D37" s="12" t="inlineStr">
        <is>
          <t>1 étape</t>
        </is>
      </c>
      <c r="E37" s="13" t="n">
        <v>200000</v>
      </c>
      <c r="F37" s="13" t="n">
        <v>958</v>
      </c>
      <c r="G37" s="14" t="n">
        <v>0.9</v>
      </c>
      <c r="H37" s="13">
        <f>E37*G37</f>
        <v/>
      </c>
      <c r="I37" s="13">
        <f>I36+E37</f>
        <v/>
      </c>
      <c r="J37" s="13">
        <f>J36+H37</f>
        <v/>
      </c>
      <c r="K37" s="13">
        <f>K36+F37</f>
        <v/>
      </c>
    </row>
    <row r="38">
      <c r="A38" s="12" t="n">
        <v>37</v>
      </c>
      <c r="B38" s="12" t="inlineStr">
        <is>
          <t>CFD</t>
        </is>
      </c>
      <c r="C38" s="12" t="inlineStr">
        <is>
          <t>FunderPro</t>
        </is>
      </c>
      <c r="D38" s="12" t="inlineStr">
        <is>
          <t>1 étape</t>
        </is>
      </c>
      <c r="E38" s="13" t="n">
        <v>200000</v>
      </c>
      <c r="F38" s="13" t="n">
        <v>989</v>
      </c>
      <c r="G38" s="14" t="n">
        <v>0.9</v>
      </c>
      <c r="H38" s="13">
        <f>E38*G38</f>
        <v/>
      </c>
      <c r="I38" s="13">
        <f>I37+E38</f>
        <v/>
      </c>
      <c r="J38" s="13">
        <f>J37+H38</f>
        <v/>
      </c>
      <c r="K38" s="13">
        <f>K37+F38</f>
        <v/>
      </c>
    </row>
    <row r="39">
      <c r="A39" s="12" t="n">
        <v>38</v>
      </c>
      <c r="B39" s="12" t="inlineStr">
        <is>
          <t>CFD</t>
        </is>
      </c>
      <c r="C39" s="12" t="inlineStr">
        <is>
          <t>FTMO</t>
        </is>
      </c>
      <c r="D39" s="12" t="inlineStr">
        <is>
          <t>1 étape</t>
        </is>
      </c>
      <c r="E39" s="13" t="n">
        <v>400000</v>
      </c>
      <c r="F39" s="13" t="n">
        <v>1996</v>
      </c>
      <c r="G39" s="14" t="n">
        <v>0.9</v>
      </c>
      <c r="H39" s="13">
        <f>E39*G39</f>
        <v/>
      </c>
      <c r="I39" s="13">
        <f>I38+E39</f>
        <v/>
      </c>
      <c r="J39" s="13">
        <f>J38+H39</f>
        <v/>
      </c>
      <c r="K39" s="13">
        <f>K38+F39</f>
        <v/>
      </c>
    </row>
    <row r="40">
      <c r="A40" s="12" t="n">
        <v>39</v>
      </c>
      <c r="B40" s="12" t="inlineStr">
        <is>
          <t>CFD</t>
        </is>
      </c>
      <c r="C40" s="12" t="inlineStr">
        <is>
          <t>FTMO Crypto</t>
        </is>
      </c>
      <c r="D40" s="12" t="inlineStr">
        <is>
          <t>1 étape</t>
        </is>
      </c>
      <c r="E40" s="13" t="n">
        <v>400000</v>
      </c>
      <c r="F40" s="13" t="n">
        <v>1996</v>
      </c>
      <c r="G40" s="14" t="n">
        <v>0.9</v>
      </c>
      <c r="H40" s="13">
        <f>E40*G40</f>
        <v/>
      </c>
      <c r="I40" s="13">
        <f>I39+E40</f>
        <v/>
      </c>
      <c r="J40" s="13">
        <f>J39+H40</f>
        <v/>
      </c>
      <c r="K40" s="13">
        <f>K39+F40</f>
        <v/>
      </c>
    </row>
    <row r="41">
      <c r="A41" s="12" t="n">
        <v>40</v>
      </c>
      <c r="B41" s="12" t="inlineStr">
        <is>
          <t>CFD</t>
        </is>
      </c>
      <c r="C41" s="12" t="inlineStr">
        <is>
          <t>Funded Trading Plus</t>
        </is>
      </c>
      <c r="D41" s="12" t="inlineStr">
        <is>
          <t>1 étape</t>
        </is>
      </c>
      <c r="E41" s="13" t="n">
        <v>200000</v>
      </c>
      <c r="F41" s="13" t="n">
        <v>999</v>
      </c>
      <c r="G41" s="14" t="n">
        <v>0.9</v>
      </c>
      <c r="H41" s="13">
        <f>E41*G41</f>
        <v/>
      </c>
      <c r="I41" s="13">
        <f>I40+E41</f>
        <v/>
      </c>
      <c r="J41" s="13">
        <f>J40+H41</f>
        <v/>
      </c>
      <c r="K41" s="13">
        <f>K40+F41</f>
        <v/>
      </c>
    </row>
    <row r="42">
      <c r="A42" s="12" t="n">
        <v>41</v>
      </c>
      <c r="B42" s="12" t="inlineStr">
        <is>
          <t>CFD</t>
        </is>
      </c>
      <c r="C42" s="12" t="inlineStr">
        <is>
          <t>Kubera Markets</t>
        </is>
      </c>
      <c r="D42" s="12" t="inlineStr">
        <is>
          <t>1 étape</t>
        </is>
      </c>
      <c r="E42" s="13" t="n">
        <v>5000</v>
      </c>
      <c r="F42" s="13" t="n">
        <v>25</v>
      </c>
      <c r="G42" s="14" t="n">
        <v>0.5</v>
      </c>
      <c r="H42" s="13">
        <f>E42*G42</f>
        <v/>
      </c>
      <c r="I42" s="13">
        <f>I41+E42</f>
        <v/>
      </c>
      <c r="J42" s="13">
        <f>J41+H42</f>
        <v/>
      </c>
      <c r="K42" s="13">
        <f>K41+F42</f>
        <v/>
      </c>
    </row>
    <row r="43">
      <c r="A43" s="12" t="n">
        <v>42</v>
      </c>
      <c r="B43" s="12" t="inlineStr">
        <is>
          <t>CFD</t>
        </is>
      </c>
      <c r="C43" s="12" t="inlineStr">
        <is>
          <t>Perps Fund</t>
        </is>
      </c>
      <c r="D43" s="12" t="inlineStr">
        <is>
          <t>1 étape</t>
        </is>
      </c>
      <c r="E43" s="13" t="n">
        <v>5000</v>
      </c>
      <c r="F43" s="13" t="n">
        <v>25</v>
      </c>
      <c r="G43" s="14" t="n">
        <v>0.8</v>
      </c>
      <c r="H43" s="13">
        <f>E43*G43</f>
        <v/>
      </c>
      <c r="I43" s="13">
        <f>I42+E43</f>
        <v/>
      </c>
      <c r="J43" s="13">
        <f>J42+H43</f>
        <v/>
      </c>
      <c r="K43" s="13">
        <f>K42+F43</f>
        <v/>
      </c>
    </row>
    <row r="44">
      <c r="A44" s="12" t="n">
        <v>43</v>
      </c>
      <c r="B44" s="12" t="inlineStr">
        <is>
          <t>CFD</t>
        </is>
      </c>
      <c r="C44" s="12" t="inlineStr">
        <is>
          <t>TradersFlow</t>
        </is>
      </c>
      <c r="D44" s="12" t="inlineStr">
        <is>
          <t>1 étape</t>
        </is>
      </c>
      <c r="E44" s="13" t="n">
        <v>400000</v>
      </c>
      <c r="F44" s="13" t="n">
        <v>2018</v>
      </c>
      <c r="G44" s="14" t="n">
        <v>0.9</v>
      </c>
      <c r="H44" s="13">
        <f>E44*G44</f>
        <v/>
      </c>
      <c r="I44" s="13">
        <f>I43+E44</f>
        <v/>
      </c>
      <c r="J44" s="13">
        <f>J43+H44</f>
        <v/>
      </c>
      <c r="K44" s="13">
        <f>K43+F44</f>
        <v/>
      </c>
    </row>
    <row r="45">
      <c r="A45" s="12" t="n">
        <v>44</v>
      </c>
      <c r="B45" s="12" t="inlineStr">
        <is>
          <t>CFD</t>
        </is>
      </c>
      <c r="C45" s="12" t="inlineStr">
        <is>
          <t>CK Capital</t>
        </is>
      </c>
      <c r="D45" s="12" t="inlineStr">
        <is>
          <t>1 étape</t>
        </is>
      </c>
      <c r="E45" s="13" t="n">
        <v>200000</v>
      </c>
      <c r="F45" s="13" t="n">
        <v>1056</v>
      </c>
      <c r="G45" s="14" t="n">
        <v>1</v>
      </c>
      <c r="H45" s="13">
        <f>E45*G45</f>
        <v/>
      </c>
      <c r="I45" s="13">
        <f>I44+E45</f>
        <v/>
      </c>
      <c r="J45" s="13">
        <f>J44+H45</f>
        <v/>
      </c>
      <c r="K45" s="13">
        <f>K44+F45</f>
        <v/>
      </c>
    </row>
    <row r="46">
      <c r="A46" s="12" t="n">
        <v>45</v>
      </c>
      <c r="B46" s="12" t="inlineStr">
        <is>
          <t>CFD</t>
        </is>
      </c>
      <c r="C46" s="12" t="inlineStr">
        <is>
          <t>Funded Trader Markets</t>
        </is>
      </c>
      <c r="D46" s="12" t="inlineStr">
        <is>
          <t>1 étape</t>
        </is>
      </c>
      <c r="E46" s="13" t="n">
        <v>1000000</v>
      </c>
      <c r="F46" s="13" t="n">
        <v>5436</v>
      </c>
      <c r="G46" s="14" t="n">
        <v>0.9</v>
      </c>
      <c r="H46" s="13">
        <f>E46*G46</f>
        <v/>
      </c>
      <c r="I46" s="13">
        <f>I45+E46</f>
        <v/>
      </c>
      <c r="J46" s="13">
        <f>J45+H46</f>
        <v/>
      </c>
      <c r="K46" s="13">
        <f>K45+F46</f>
        <v/>
      </c>
    </row>
    <row r="47">
      <c r="A47" s="12" t="n">
        <v>46</v>
      </c>
      <c r="B47" s="12" t="inlineStr">
        <is>
          <t>CFD</t>
        </is>
      </c>
      <c r="C47" s="12" t="inlineStr">
        <is>
          <t>Velotrade</t>
        </is>
      </c>
      <c r="D47" s="12" t="inlineStr">
        <is>
          <t>1 étape</t>
        </is>
      </c>
      <c r="E47" s="13" t="n">
        <v>200000</v>
      </c>
      <c r="F47" s="13" t="n">
        <v>1114</v>
      </c>
      <c r="G47" s="14" t="n">
        <v>0.9</v>
      </c>
      <c r="H47" s="13">
        <f>E47*G47</f>
        <v/>
      </c>
      <c r="I47" s="13">
        <f>I46+E47</f>
        <v/>
      </c>
      <c r="J47" s="13">
        <f>J46+H47</f>
        <v/>
      </c>
      <c r="K47" s="13">
        <f>K46+F47</f>
        <v/>
      </c>
    </row>
    <row r="48">
      <c r="A48" s="12" t="n">
        <v>47</v>
      </c>
      <c r="B48" s="12" t="inlineStr">
        <is>
          <t>CFD</t>
        </is>
      </c>
      <c r="C48" s="12" t="inlineStr">
        <is>
          <t>The Trading Pit</t>
        </is>
      </c>
      <c r="D48" s="12" t="inlineStr">
        <is>
          <t>1 étape</t>
        </is>
      </c>
      <c r="E48" s="13" t="n">
        <v>400000</v>
      </c>
      <c r="F48" s="13" t="n">
        <v>2276</v>
      </c>
      <c r="G48" s="14" t="n">
        <v>0.8</v>
      </c>
      <c r="H48" s="13">
        <f>E48*G48</f>
        <v/>
      </c>
      <c r="I48" s="13">
        <f>I47+E48</f>
        <v/>
      </c>
      <c r="J48" s="13">
        <f>J47+H48</f>
        <v/>
      </c>
      <c r="K48" s="13">
        <f>K47+F48</f>
        <v/>
      </c>
    </row>
    <row r="49">
      <c r="A49" s="12" t="n">
        <v>48</v>
      </c>
      <c r="B49" s="12" t="inlineStr">
        <is>
          <t>CFD</t>
        </is>
      </c>
      <c r="C49" s="12" t="inlineStr">
        <is>
          <t>Space Funded</t>
        </is>
      </c>
      <c r="D49" s="12" t="inlineStr">
        <is>
          <t>1 étape</t>
        </is>
      </c>
      <c r="E49" s="13" t="n">
        <v>1000000</v>
      </c>
      <c r="F49" s="13" t="n">
        <v>5696</v>
      </c>
      <c r="G49" s="14" t="n">
        <v>0.9</v>
      </c>
      <c r="H49" s="13">
        <f>E49*G49</f>
        <v/>
      </c>
      <c r="I49" s="13">
        <f>I48+E49</f>
        <v/>
      </c>
      <c r="J49" s="13">
        <f>J48+H49</f>
        <v/>
      </c>
      <c r="K49" s="13">
        <f>K48+F49</f>
        <v/>
      </c>
    </row>
    <row r="50">
      <c r="A50" s="12" t="n">
        <v>49</v>
      </c>
      <c r="B50" s="12" t="inlineStr">
        <is>
          <t>CFD</t>
        </is>
      </c>
      <c r="C50" s="12" t="inlineStr">
        <is>
          <t>FTMO US</t>
        </is>
      </c>
      <c r="D50" s="12" t="inlineStr">
        <is>
          <t>1 étape</t>
        </is>
      </c>
      <c r="E50" s="13" t="n">
        <v>400000</v>
      </c>
      <c r="F50" s="13" t="n">
        <v>2298</v>
      </c>
      <c r="G50" s="14" t="n">
        <v>0.9</v>
      </c>
      <c r="H50" s="13">
        <f>E50*G50</f>
        <v/>
      </c>
      <c r="I50" s="13">
        <f>I49+E50</f>
        <v/>
      </c>
      <c r="J50" s="13">
        <f>J49+H50</f>
        <v/>
      </c>
      <c r="K50" s="13">
        <f>K49+F50</f>
        <v/>
      </c>
    </row>
    <row r="51">
      <c r="A51" s="12" t="n">
        <v>50</v>
      </c>
      <c r="B51" s="12" t="inlineStr">
        <is>
          <t>CFD</t>
        </is>
      </c>
      <c r="C51" s="12" t="inlineStr">
        <is>
          <t>Kickstart Trading</t>
        </is>
      </c>
      <c r="D51" s="12" t="inlineStr">
        <is>
          <t>1 étape</t>
        </is>
      </c>
      <c r="E51" s="13" t="n">
        <v>1000000</v>
      </c>
      <c r="F51" s="13" t="n">
        <v>6500</v>
      </c>
      <c r="G51" s="14" t="n">
        <v>0.9</v>
      </c>
      <c r="H51" s="13">
        <f>E51*G51</f>
        <v/>
      </c>
      <c r="I51" s="13">
        <f>I50+E51</f>
        <v/>
      </c>
      <c r="J51" s="13">
        <f>J50+H51</f>
        <v/>
      </c>
      <c r="K51" s="13">
        <f>K50+F51</f>
        <v/>
      </c>
    </row>
    <row r="52">
      <c r="A52" s="12" t="n">
        <v>51</v>
      </c>
      <c r="B52" s="12" t="inlineStr">
        <is>
          <t>CFD</t>
        </is>
      </c>
      <c r="C52" s="12" t="inlineStr">
        <is>
          <t>Leveraged Crypto</t>
        </is>
      </c>
      <c r="D52" s="12" t="inlineStr">
        <is>
          <t>1 étape</t>
        </is>
      </c>
      <c r="E52" s="13" t="n">
        <v>150000</v>
      </c>
      <c r="F52" s="13" t="n">
        <v>980</v>
      </c>
      <c r="G52" s="14" t="n">
        <v>0.8</v>
      </c>
      <c r="H52" s="13">
        <f>E52*G52</f>
        <v/>
      </c>
      <c r="I52" s="13">
        <f>I51+E52</f>
        <v/>
      </c>
      <c r="J52" s="13">
        <f>J51+H52</f>
        <v/>
      </c>
      <c r="K52" s="13">
        <f>K51+F52</f>
        <v/>
      </c>
    </row>
    <row r="53">
      <c r="A53" s="12" t="n">
        <v>52</v>
      </c>
      <c r="B53" s="12" t="inlineStr">
        <is>
          <t>CFD</t>
        </is>
      </c>
      <c r="C53" s="12" t="inlineStr">
        <is>
          <t>Get Funded Now</t>
        </is>
      </c>
      <c r="D53" s="12" t="inlineStr">
        <is>
          <t>1 étape</t>
        </is>
      </c>
      <c r="E53" s="13" t="n">
        <v>400000</v>
      </c>
      <c r="F53" s="13" t="n">
        <v>2625</v>
      </c>
      <c r="G53" s="14" t="n">
        <v>0.9</v>
      </c>
      <c r="H53" s="13">
        <f>E53*G53</f>
        <v/>
      </c>
      <c r="I53" s="13">
        <f>I52+E53</f>
        <v/>
      </c>
      <c r="J53" s="13">
        <f>J52+H53</f>
        <v/>
      </c>
      <c r="K53" s="13">
        <f>K52+F53</f>
        <v/>
      </c>
    </row>
    <row r="54">
      <c r="A54" s="12" t="n">
        <v>53</v>
      </c>
      <c r="B54" s="12" t="inlineStr">
        <is>
          <t>CFD</t>
        </is>
      </c>
      <c r="C54" s="12" t="inlineStr">
        <is>
          <t>Paid To Trade</t>
        </is>
      </c>
      <c r="D54" s="12" t="inlineStr">
        <is>
          <t>1 étape</t>
        </is>
      </c>
      <c r="E54" s="13" t="n">
        <v>100000</v>
      </c>
      <c r="F54" s="13" t="n">
        <v>699</v>
      </c>
      <c r="G54" s="14" t="n">
        <v>0.9</v>
      </c>
      <c r="H54" s="13">
        <f>E54*G54</f>
        <v/>
      </c>
      <c r="I54" s="13">
        <f>I53+E54</f>
        <v/>
      </c>
      <c r="J54" s="13">
        <f>J53+H54</f>
        <v/>
      </c>
      <c r="K54" s="13">
        <f>K53+F54</f>
        <v/>
      </c>
    </row>
    <row r="55">
      <c r="A55" s="12" t="n">
        <v>54</v>
      </c>
      <c r="B55" s="12" t="inlineStr">
        <is>
          <t>CFD</t>
        </is>
      </c>
      <c r="C55" s="12" t="inlineStr">
        <is>
          <t>Capital Mint Markets</t>
        </is>
      </c>
      <c r="D55" s="12" t="inlineStr">
        <is>
          <t>1 étape</t>
        </is>
      </c>
      <c r="E55" s="13" t="n">
        <v>100000</v>
      </c>
      <c r="F55" s="13" t="n">
        <v>699</v>
      </c>
      <c r="G55" s="14" t="n">
        <v>0.9</v>
      </c>
      <c r="H55" s="13">
        <f>E55*G55</f>
        <v/>
      </c>
      <c r="I55" s="13">
        <f>I54+E55</f>
        <v/>
      </c>
      <c r="J55" s="13">
        <f>J54+H55</f>
        <v/>
      </c>
      <c r="K55" s="13">
        <f>K54+F55</f>
        <v/>
      </c>
    </row>
    <row r="56">
      <c r="A56" s="12" t="n">
        <v>55</v>
      </c>
      <c r="B56" s="12" t="inlineStr">
        <is>
          <t>CFD</t>
        </is>
      </c>
      <c r="C56" s="12" t="inlineStr">
        <is>
          <t>Propr</t>
        </is>
      </c>
      <c r="D56" s="12" t="inlineStr">
        <is>
          <t>1 étape</t>
        </is>
      </c>
      <c r="E56" s="13" t="n">
        <v>300000</v>
      </c>
      <c r="F56" s="13" t="n">
        <v>2097</v>
      </c>
      <c r="G56" s="14" t="n">
        <v>0.8</v>
      </c>
      <c r="H56" s="13">
        <f>E56*G56</f>
        <v/>
      </c>
      <c r="I56" s="13">
        <f>I55+E56</f>
        <v/>
      </c>
      <c r="J56" s="13">
        <f>J55+H56</f>
        <v/>
      </c>
      <c r="K56" s="13">
        <f>K55+F56</f>
        <v/>
      </c>
    </row>
    <row r="57">
      <c r="A57" s="12" t="n">
        <v>56</v>
      </c>
      <c r="B57" s="12" t="inlineStr">
        <is>
          <t>CFD</t>
        </is>
      </c>
      <c r="C57" s="12" t="inlineStr">
        <is>
          <t>The Whale Order</t>
        </is>
      </c>
      <c r="D57" s="12" t="inlineStr">
        <is>
          <t>1 étape</t>
        </is>
      </c>
      <c r="E57" s="13" t="n">
        <v>2000000</v>
      </c>
      <c r="F57" s="13" t="n">
        <v>14000</v>
      </c>
      <c r="G57" s="14" t="n">
        <v>0.9</v>
      </c>
      <c r="H57" s="13">
        <f>E57*G57</f>
        <v/>
      </c>
      <c r="I57" s="13">
        <f>I56+E57</f>
        <v/>
      </c>
      <c r="J57" s="13">
        <f>J56+H57</f>
        <v/>
      </c>
      <c r="K57" s="13">
        <f>K56+F57</f>
        <v/>
      </c>
    </row>
    <row r="58">
      <c r="A58" s="12" t="n">
        <v>57</v>
      </c>
      <c r="B58" s="12" t="inlineStr">
        <is>
          <t>CFD</t>
        </is>
      </c>
      <c r="C58" s="12" t="inlineStr">
        <is>
          <t>We Fund Traders</t>
        </is>
      </c>
      <c r="D58" s="12" t="inlineStr">
        <is>
          <t>1 étape</t>
        </is>
      </c>
      <c r="E58" s="13" t="n">
        <v>925000</v>
      </c>
      <c r="F58" s="13" t="n">
        <v>6550</v>
      </c>
      <c r="G58" s="14" t="n">
        <v>0.9</v>
      </c>
      <c r="H58" s="13">
        <f>E58*G58</f>
        <v/>
      </c>
      <c r="I58" s="13">
        <f>I57+E58</f>
        <v/>
      </c>
      <c r="J58" s="13">
        <f>J57+H58</f>
        <v/>
      </c>
      <c r="K58" s="13">
        <f>K57+F58</f>
        <v/>
      </c>
    </row>
    <row r="59">
      <c r="A59" s="12" t="n">
        <v>58</v>
      </c>
      <c r="B59" s="12" t="inlineStr">
        <is>
          <t>CFD</t>
        </is>
      </c>
      <c r="C59" s="12" t="inlineStr">
        <is>
          <t>IF Crypto</t>
        </is>
      </c>
      <c r="D59" s="12" t="inlineStr">
        <is>
          <t>1 étape</t>
        </is>
      </c>
      <c r="E59" s="13" t="n">
        <v>1000000</v>
      </c>
      <c r="F59" s="13" t="n">
        <v>7390</v>
      </c>
      <c r="G59" s="14" t="n">
        <v>0.9</v>
      </c>
      <c r="H59" s="13">
        <f>E59*G59</f>
        <v/>
      </c>
      <c r="I59" s="13">
        <f>I58+E59</f>
        <v/>
      </c>
      <c r="J59" s="13">
        <f>J58+H59</f>
        <v/>
      </c>
      <c r="K59" s="13">
        <f>K58+F59</f>
        <v/>
      </c>
    </row>
    <row r="60">
      <c r="A60" s="12" t="n">
        <v>59</v>
      </c>
      <c r="B60" s="12" t="inlineStr">
        <is>
          <t>CFD</t>
        </is>
      </c>
      <c r="C60" s="12" t="inlineStr">
        <is>
          <t>Instant Funding</t>
        </is>
      </c>
      <c r="D60" s="12" t="inlineStr">
        <is>
          <t>1 étape</t>
        </is>
      </c>
      <c r="E60" s="13" t="n">
        <v>1000000</v>
      </c>
      <c r="F60" s="13" t="n">
        <v>7390</v>
      </c>
      <c r="G60" s="14" t="n">
        <v>0.9</v>
      </c>
      <c r="H60" s="13">
        <f>E60*G60</f>
        <v/>
      </c>
      <c r="I60" s="13">
        <f>I59+E60</f>
        <v/>
      </c>
      <c r="J60" s="13">
        <f>J59+H60</f>
        <v/>
      </c>
      <c r="K60" s="13">
        <f>K59+F60</f>
        <v/>
      </c>
    </row>
    <row r="61">
      <c r="A61" s="12" t="n">
        <v>60</v>
      </c>
      <c r="B61" s="12" t="inlineStr">
        <is>
          <t>CFD</t>
        </is>
      </c>
      <c r="C61" s="12" t="inlineStr">
        <is>
          <t>HyperStack</t>
        </is>
      </c>
      <c r="D61" s="12" t="inlineStr">
        <is>
          <t>1 étape</t>
        </is>
      </c>
      <c r="E61" s="13" t="n">
        <v>100000</v>
      </c>
      <c r="F61" s="13" t="n">
        <v>799</v>
      </c>
      <c r="G61" s="14" t="n">
        <v>0.9</v>
      </c>
      <c r="H61" s="13">
        <f>E61*G61</f>
        <v/>
      </c>
      <c r="I61" s="13">
        <f>I60+E61</f>
        <v/>
      </c>
      <c r="J61" s="13">
        <f>J60+H61</f>
        <v/>
      </c>
      <c r="K61" s="13">
        <f>K60+F61</f>
        <v/>
      </c>
    </row>
    <row r="62">
      <c r="A62" s="12" t="n">
        <v>61</v>
      </c>
      <c r="B62" s="12" t="inlineStr">
        <is>
          <t>CFD</t>
        </is>
      </c>
      <c r="C62" s="12" t="inlineStr">
        <is>
          <t>Investabl</t>
        </is>
      </c>
      <c r="D62" s="12" t="inlineStr">
        <is>
          <t>1 étape</t>
        </is>
      </c>
      <c r="E62" s="13" t="n">
        <v>25000</v>
      </c>
      <c r="F62" s="13" t="n">
        <v>209</v>
      </c>
      <c r="G62" s="14" t="n">
        <v>0.8</v>
      </c>
      <c r="H62" s="13">
        <f>E62*G62</f>
        <v/>
      </c>
      <c r="I62" s="13">
        <f>I61+E62</f>
        <v/>
      </c>
      <c r="J62" s="13">
        <f>J61+H62</f>
        <v/>
      </c>
      <c r="K62" s="13">
        <f>K61+F62</f>
        <v/>
      </c>
    </row>
    <row r="63">
      <c r="A63" s="12" t="n">
        <v>62</v>
      </c>
      <c r="B63" s="12" t="inlineStr">
        <is>
          <t>CFD</t>
        </is>
      </c>
      <c r="C63" s="12" t="inlineStr">
        <is>
          <t>Kingdom Wealth Funding</t>
        </is>
      </c>
      <c r="D63" s="12" t="inlineStr">
        <is>
          <t>1 étape</t>
        </is>
      </c>
      <c r="E63" s="13" t="n">
        <v>1000000</v>
      </c>
      <c r="F63" s="13" t="n">
        <v>8500</v>
      </c>
      <c r="G63" s="14" t="n">
        <v>0.8</v>
      </c>
      <c r="H63" s="13">
        <f>E63*G63</f>
        <v/>
      </c>
      <c r="I63" s="13">
        <f>I62+E63</f>
        <v/>
      </c>
      <c r="J63" s="13">
        <f>J62+H63</f>
        <v/>
      </c>
      <c r="K63" s="13">
        <f>K62+F63</f>
        <v/>
      </c>
    </row>
    <row r="64">
      <c r="A64" s="12" t="n">
        <v>63</v>
      </c>
      <c r="B64" s="12" t="inlineStr">
        <is>
          <t>CFD</t>
        </is>
      </c>
      <c r="C64" s="12" t="inlineStr">
        <is>
          <t>DojoTraders</t>
        </is>
      </c>
      <c r="D64" s="12" t="inlineStr">
        <is>
          <t>1 étape</t>
        </is>
      </c>
      <c r="E64" s="13" t="n">
        <v>500000</v>
      </c>
      <c r="F64" s="13" t="n">
        <v>4250</v>
      </c>
      <c r="G64" s="14" t="n">
        <v>0.9</v>
      </c>
      <c r="H64" s="13">
        <f>E64*G64</f>
        <v/>
      </c>
      <c r="I64" s="13">
        <f>I63+E64</f>
        <v/>
      </c>
      <c r="J64" s="13">
        <f>J63+H64</f>
        <v/>
      </c>
      <c r="K64" s="13">
        <f>K63+F64</f>
        <v/>
      </c>
    </row>
    <row r="65">
      <c r="A65" s="12" t="n">
        <v>64</v>
      </c>
      <c r="B65" s="12" t="inlineStr">
        <is>
          <t>CFD</t>
        </is>
      </c>
      <c r="C65" s="12" t="inlineStr">
        <is>
          <t>Dojifunded</t>
        </is>
      </c>
      <c r="D65" s="12" t="inlineStr">
        <is>
          <t>1 étape</t>
        </is>
      </c>
      <c r="E65" s="13" t="n">
        <v>100000</v>
      </c>
      <c r="F65" s="13" t="n">
        <v>892</v>
      </c>
      <c r="G65" s="14" t="n">
        <v>0.9</v>
      </c>
      <c r="H65" s="13">
        <f>E65*G65</f>
        <v/>
      </c>
      <c r="I65" s="13">
        <f>I64+E65</f>
        <v/>
      </c>
      <c r="J65" s="13">
        <f>J64+H65</f>
        <v/>
      </c>
      <c r="K65" s="13">
        <f>K64+F65</f>
        <v/>
      </c>
    </row>
    <row r="66">
      <c r="A66" s="12" t="n">
        <v>65</v>
      </c>
      <c r="B66" s="12" t="inlineStr">
        <is>
          <t>CFD</t>
        </is>
      </c>
      <c r="C66" s="12" t="inlineStr">
        <is>
          <t>AI Prop</t>
        </is>
      </c>
      <c r="D66" s="12" t="inlineStr">
        <is>
          <t>1 étape</t>
        </is>
      </c>
      <c r="E66" s="13" t="n">
        <v>200000</v>
      </c>
      <c r="F66" s="13" t="n">
        <v>1976</v>
      </c>
      <c r="G66" s="14" t="n">
        <v>0.95</v>
      </c>
      <c r="H66" s="13">
        <f>E66*G66</f>
        <v/>
      </c>
      <c r="I66" s="13">
        <f>I65+E66</f>
        <v/>
      </c>
      <c r="J66" s="13">
        <f>J65+H66</f>
        <v/>
      </c>
      <c r="K66" s="13">
        <f>K65+F66</f>
        <v/>
      </c>
    </row>
    <row r="67">
      <c r="A67" s="12" t="n">
        <v>66</v>
      </c>
      <c r="B67" s="12" t="inlineStr">
        <is>
          <t>CFD</t>
        </is>
      </c>
      <c r="C67" s="12" t="inlineStr">
        <is>
          <t>HyperScaled</t>
        </is>
      </c>
      <c r="D67" s="12" t="inlineStr">
        <is>
          <t>1 étape</t>
        </is>
      </c>
      <c r="E67" s="13" t="n">
        <v>100000</v>
      </c>
      <c r="F67" s="13" t="n">
        <v>999</v>
      </c>
      <c r="G67" s="14" t="n">
        <v>1</v>
      </c>
      <c r="H67" s="13">
        <f>E67*G67</f>
        <v/>
      </c>
      <c r="I67" s="13">
        <f>I66+E67</f>
        <v/>
      </c>
      <c r="J67" s="13">
        <f>J66+H67</f>
        <v/>
      </c>
      <c r="K67" s="13">
        <f>K66+F67</f>
        <v/>
      </c>
    </row>
    <row r="68">
      <c r="A68" s="12" t="n">
        <v>67</v>
      </c>
      <c r="B68" s="12" t="inlineStr">
        <is>
          <t>CFD</t>
        </is>
      </c>
      <c r="C68" s="12" t="inlineStr">
        <is>
          <t>FX Trader's EDGE</t>
        </is>
      </c>
      <c r="D68" s="12" t="inlineStr">
        <is>
          <t>1 étape</t>
        </is>
      </c>
      <c r="E68" s="13" t="n">
        <v>925000</v>
      </c>
      <c r="F68" s="13" t="n">
        <v>9250</v>
      </c>
      <c r="G68" s="14" t="n">
        <v>0.75</v>
      </c>
      <c r="H68" s="13">
        <f>E68*G68</f>
        <v/>
      </c>
      <c r="I68" s="13">
        <f>I67+E68</f>
        <v/>
      </c>
      <c r="J68" s="13">
        <f>J67+H68</f>
        <v/>
      </c>
      <c r="K68" s="13">
        <f>K67+F68</f>
        <v/>
      </c>
    </row>
    <row r="69">
      <c r="A69" s="12" t="n">
        <v>68</v>
      </c>
      <c r="B69" s="12" t="inlineStr">
        <is>
          <t>CFD</t>
        </is>
      </c>
      <c r="C69" s="12" t="inlineStr">
        <is>
          <t>BloomFunded</t>
        </is>
      </c>
      <c r="D69" s="12" t="inlineStr">
        <is>
          <t>1 étape</t>
        </is>
      </c>
      <c r="E69" s="13" t="n">
        <v>50000</v>
      </c>
      <c r="F69" s="13" t="n">
        <v>580</v>
      </c>
      <c r="G69" s="14" t="n">
        <v>0.8</v>
      </c>
      <c r="H69" s="13">
        <f>E69*G69</f>
        <v/>
      </c>
      <c r="I69" s="13">
        <f>I68+E69</f>
        <v/>
      </c>
      <c r="J69" s="13">
        <f>J68+H69</f>
        <v/>
      </c>
      <c r="K69" s="13">
        <f>K68+F69</f>
        <v/>
      </c>
    </row>
    <row r="70">
      <c r="A70" s="12" t="n">
        <v>69</v>
      </c>
      <c r="B70" s="12" t="inlineStr">
        <is>
          <t>CFD</t>
        </is>
      </c>
      <c r="C70" s="12" t="inlineStr">
        <is>
          <t>FundedWealth</t>
        </is>
      </c>
      <c r="D70" s="12" t="inlineStr">
        <is>
          <t>1 étape</t>
        </is>
      </c>
      <c r="E70" s="13" t="n">
        <v>2500000</v>
      </c>
      <c r="F70" s="13" t="n">
        <v>48499</v>
      </c>
      <c r="G70" s="14" t="n">
        <v>0.9</v>
      </c>
      <c r="H70" s="13">
        <f>E70*G70</f>
        <v/>
      </c>
      <c r="I70" s="13">
        <f>I69+E70</f>
        <v/>
      </c>
      <c r="J70" s="13">
        <f>J69+H70</f>
        <v/>
      </c>
      <c r="K70" s="13">
        <f>K69+F70</f>
        <v/>
      </c>
    </row>
    <row r="71">
      <c r="A71" s="12" t="n">
        <v>70</v>
      </c>
      <c r="B71" s="12" t="inlineStr">
        <is>
          <t>CFD</t>
        </is>
      </c>
      <c r="C71" s="12" t="inlineStr">
        <is>
          <t>Ment Funding</t>
        </is>
      </c>
      <c r="D71" s="12" t="inlineStr">
        <is>
          <t>1 étape</t>
        </is>
      </c>
      <c r="E71" s="13" t="n">
        <v>190000</v>
      </c>
      <c r="F71" s="13" t="n">
        <v>7451</v>
      </c>
      <c r="G71" s="14" t="n">
        <v>0.9</v>
      </c>
      <c r="H71" s="13">
        <f>E71*G71</f>
        <v/>
      </c>
      <c r="I71" s="13">
        <f>I70+E71</f>
        <v/>
      </c>
      <c r="J71" s="13">
        <f>J70+H71</f>
        <v/>
      </c>
      <c r="K71" s="13">
        <f>K70+F71</f>
        <v/>
      </c>
    </row>
    <row r="72">
      <c r="A72" s="12" t="n">
        <v>71</v>
      </c>
      <c r="B72" s="12" t="inlineStr">
        <is>
          <t>CFD</t>
        </is>
      </c>
      <c r="C72" s="12" t="inlineStr">
        <is>
          <t>HUMBPROP</t>
        </is>
      </c>
      <c r="D72" s="12" t="inlineStr">
        <is>
          <t>2 étapes</t>
        </is>
      </c>
      <c r="E72" s="13" t="n">
        <v>100000</v>
      </c>
      <c r="F72" s="13" t="n">
        <v>239</v>
      </c>
      <c r="G72" s="14" t="n">
        <v>0.7</v>
      </c>
      <c r="H72" s="13">
        <f>E72*G72</f>
        <v/>
      </c>
      <c r="I72" s="13">
        <f>I71+E72</f>
        <v/>
      </c>
      <c r="J72" s="13">
        <f>J71+H72</f>
        <v/>
      </c>
      <c r="K72" s="13">
        <f>K71+F72</f>
        <v/>
      </c>
    </row>
    <row r="73">
      <c r="A73" s="12" t="n">
        <v>72</v>
      </c>
      <c r="B73" s="12" t="inlineStr">
        <is>
          <t>CFD</t>
        </is>
      </c>
      <c r="C73" s="12" t="inlineStr">
        <is>
          <t>FundedCobra</t>
        </is>
      </c>
      <c r="D73" s="12" t="inlineStr">
        <is>
          <t>2 étapes</t>
        </is>
      </c>
      <c r="E73" s="13" t="n">
        <v>200000</v>
      </c>
      <c r="F73" s="13" t="n">
        <v>594</v>
      </c>
      <c r="G73" s="14" t="n">
        <v>0.9</v>
      </c>
      <c r="H73" s="13">
        <f>E73*G73</f>
        <v/>
      </c>
      <c r="I73" s="13">
        <f>I72+E73</f>
        <v/>
      </c>
      <c r="J73" s="13">
        <f>J72+H73</f>
        <v/>
      </c>
      <c r="K73" s="13">
        <f>K72+F73</f>
        <v/>
      </c>
    </row>
    <row r="74">
      <c r="A74" s="12" t="n">
        <v>73</v>
      </c>
      <c r="B74" s="12" t="inlineStr">
        <is>
          <t>CFD</t>
        </is>
      </c>
      <c r="C74" s="12" t="inlineStr">
        <is>
          <t>The Proven Trader</t>
        </is>
      </c>
      <c r="D74" s="12" t="inlineStr">
        <is>
          <t>2 étapes</t>
        </is>
      </c>
      <c r="E74" s="13" t="n">
        <v>1000000</v>
      </c>
      <c r="F74" s="13" t="n">
        <v>3000</v>
      </c>
      <c r="G74" s="14" t="n">
        <v>0.9</v>
      </c>
      <c r="H74" s="13">
        <f>E74*G74</f>
        <v/>
      </c>
      <c r="I74" s="13">
        <f>I73+E74</f>
        <v/>
      </c>
      <c r="J74" s="13">
        <f>J73+H74</f>
        <v/>
      </c>
      <c r="K74" s="13">
        <f>K73+F74</f>
        <v/>
      </c>
    </row>
    <row r="75">
      <c r="A75" s="12" t="n">
        <v>74</v>
      </c>
      <c r="B75" s="12" t="inlineStr">
        <is>
          <t>CFD</t>
        </is>
      </c>
      <c r="C75" s="12" t="inlineStr">
        <is>
          <t>Core Funded</t>
        </is>
      </c>
      <c r="D75" s="12" t="inlineStr">
        <is>
          <t>2 étapes</t>
        </is>
      </c>
      <c r="E75" s="13" t="n">
        <v>500000</v>
      </c>
      <c r="F75" s="13" t="n">
        <v>1695</v>
      </c>
      <c r="G75" s="14" t="n">
        <v>0.95</v>
      </c>
      <c r="H75" s="13">
        <f>E75*G75</f>
        <v/>
      </c>
      <c r="I75" s="13">
        <f>I74+E75</f>
        <v/>
      </c>
      <c r="J75" s="13">
        <f>J74+H75</f>
        <v/>
      </c>
      <c r="K75" s="13">
        <f>K74+F75</f>
        <v/>
      </c>
    </row>
    <row r="76">
      <c r="A76" s="12" t="n">
        <v>75</v>
      </c>
      <c r="B76" s="12" t="inlineStr">
        <is>
          <t>CFD</t>
        </is>
      </c>
      <c r="C76" s="12" t="inlineStr">
        <is>
          <t>FundingRock</t>
        </is>
      </c>
      <c r="D76" s="12" t="inlineStr">
        <is>
          <t>2 étapes</t>
        </is>
      </c>
      <c r="E76" s="13" t="n">
        <v>200000</v>
      </c>
      <c r="F76" s="13" t="n">
        <v>700</v>
      </c>
      <c r="G76" s="14" t="n">
        <v>0.95</v>
      </c>
      <c r="H76" s="13">
        <f>E76*G76</f>
        <v/>
      </c>
      <c r="I76" s="13">
        <f>I75+E76</f>
        <v/>
      </c>
      <c r="J76" s="13">
        <f>J75+H76</f>
        <v/>
      </c>
      <c r="K76" s="13">
        <f>K75+F76</f>
        <v/>
      </c>
    </row>
    <row r="77">
      <c r="A77" s="12" t="n">
        <v>76</v>
      </c>
      <c r="B77" s="12" t="inlineStr">
        <is>
          <t>CFD</t>
        </is>
      </c>
      <c r="C77" s="12" t="inlineStr">
        <is>
          <t>BullRush</t>
        </is>
      </c>
      <c r="D77" s="12" t="inlineStr">
        <is>
          <t>2 étapes</t>
        </is>
      </c>
      <c r="E77" s="13" t="n">
        <v>200000</v>
      </c>
      <c r="F77" s="13" t="n">
        <v>718</v>
      </c>
      <c r="G77" s="14" t="n">
        <v>0.9</v>
      </c>
      <c r="H77" s="13">
        <f>E77*G77</f>
        <v/>
      </c>
      <c r="I77" s="13">
        <f>I76+E77</f>
        <v/>
      </c>
      <c r="J77" s="13">
        <f>J76+H77</f>
        <v/>
      </c>
      <c r="K77" s="13">
        <f>K76+F77</f>
        <v/>
      </c>
    </row>
    <row r="78">
      <c r="A78" s="12" t="n">
        <v>77</v>
      </c>
      <c r="B78" s="12" t="inlineStr">
        <is>
          <t>CFD</t>
        </is>
      </c>
      <c r="C78" s="12" t="inlineStr">
        <is>
          <t>Zeno Traders</t>
        </is>
      </c>
      <c r="D78" s="12" t="inlineStr">
        <is>
          <t>2 étapes</t>
        </is>
      </c>
      <c r="E78" s="13" t="n">
        <v>200000</v>
      </c>
      <c r="F78" s="13" t="n">
        <v>749</v>
      </c>
      <c r="G78" s="14" t="n">
        <v>0.8</v>
      </c>
      <c r="H78" s="13">
        <f>E78*G78</f>
        <v/>
      </c>
      <c r="I78" s="13">
        <f>I77+E78</f>
        <v/>
      </c>
      <c r="J78" s="13">
        <f>J77+H78</f>
        <v/>
      </c>
      <c r="K78" s="13">
        <f>K77+F78</f>
        <v/>
      </c>
    </row>
    <row r="79">
      <c r="A79" s="12" t="n">
        <v>78</v>
      </c>
      <c r="B79" s="12" t="inlineStr">
        <is>
          <t>CFD</t>
        </is>
      </c>
      <c r="C79" s="12" t="inlineStr">
        <is>
          <t>MFunded</t>
        </is>
      </c>
      <c r="D79" s="12" t="inlineStr">
        <is>
          <t>2 étapes</t>
        </is>
      </c>
      <c r="E79" s="13" t="n">
        <v>100000</v>
      </c>
      <c r="F79" s="13" t="n">
        <v>399</v>
      </c>
      <c r="G79" s="14" t="n">
        <v>0.8</v>
      </c>
      <c r="H79" s="13">
        <f>E79*G79</f>
        <v/>
      </c>
      <c r="I79" s="13">
        <f>I78+E79</f>
        <v/>
      </c>
      <c r="J79" s="13">
        <f>J78+H79</f>
        <v/>
      </c>
      <c r="K79" s="13">
        <f>K78+F79</f>
        <v/>
      </c>
    </row>
    <row r="80">
      <c r="A80" s="12" t="n">
        <v>79</v>
      </c>
      <c r="B80" s="12" t="inlineStr">
        <is>
          <t>CFD</t>
        </is>
      </c>
      <c r="C80" s="12" t="inlineStr">
        <is>
          <t>T4TCapital</t>
        </is>
      </c>
      <c r="D80" s="12" t="inlineStr">
        <is>
          <t>2 étapes</t>
        </is>
      </c>
      <c r="E80" s="13" t="n">
        <v>200000</v>
      </c>
      <c r="F80" s="13" t="n">
        <v>800</v>
      </c>
      <c r="G80" s="14" t="n">
        <v>0.9</v>
      </c>
      <c r="H80" s="13">
        <f>E80*G80</f>
        <v/>
      </c>
      <c r="I80" s="13">
        <f>I79+E80</f>
        <v/>
      </c>
      <c r="J80" s="13">
        <f>J79+H80</f>
        <v/>
      </c>
      <c r="K80" s="13">
        <f>K79+F80</f>
        <v/>
      </c>
    </row>
    <row r="81">
      <c r="A81" s="12" t="n">
        <v>80</v>
      </c>
      <c r="B81" s="12" t="inlineStr">
        <is>
          <t>CFD</t>
        </is>
      </c>
      <c r="C81" s="12" t="inlineStr">
        <is>
          <t>Quant Tekel (QT | FUNDED)</t>
        </is>
      </c>
      <c r="D81" s="12" t="inlineStr">
        <is>
          <t>2 étapes</t>
        </is>
      </c>
      <c r="E81" s="13" t="n">
        <v>300000</v>
      </c>
      <c r="F81" s="13" t="n">
        <v>1260</v>
      </c>
      <c r="G81" s="14" t="n">
        <v>0.8</v>
      </c>
      <c r="H81" s="13">
        <f>E81*G81</f>
        <v/>
      </c>
      <c r="I81" s="13">
        <f>I80+E81</f>
        <v/>
      </c>
      <c r="J81" s="13">
        <f>J80+H81</f>
        <v/>
      </c>
      <c r="K81" s="13">
        <f>K80+F81</f>
        <v/>
      </c>
    </row>
    <row r="82">
      <c r="A82" s="12" t="n">
        <v>81</v>
      </c>
      <c r="B82" s="12" t="inlineStr">
        <is>
          <t>CFD</t>
        </is>
      </c>
      <c r="C82" s="12" t="inlineStr">
        <is>
          <t>TrioFunded</t>
        </is>
      </c>
      <c r="D82" s="12" t="inlineStr">
        <is>
          <t>2 étapes</t>
        </is>
      </c>
      <c r="E82" s="13" t="n">
        <v>500000</v>
      </c>
      <c r="F82" s="13" t="n">
        <v>2104</v>
      </c>
      <c r="G82" s="14" t="n">
        <v>0.9</v>
      </c>
      <c r="H82" s="13">
        <f>E82*G82</f>
        <v/>
      </c>
      <c r="I82" s="13">
        <f>I81+E82</f>
        <v/>
      </c>
      <c r="J82" s="13">
        <f>J81+H82</f>
        <v/>
      </c>
      <c r="K82" s="13">
        <f>K81+F82</f>
        <v/>
      </c>
    </row>
    <row r="83">
      <c r="A83" s="12" t="n">
        <v>82</v>
      </c>
      <c r="B83" s="12" t="inlineStr">
        <is>
          <t>CFD</t>
        </is>
      </c>
      <c r="C83" s="12" t="inlineStr">
        <is>
          <t>EverBlue Trader</t>
        </is>
      </c>
      <c r="D83" s="12" t="inlineStr">
        <is>
          <t>2 étapes</t>
        </is>
      </c>
      <c r="E83" s="13" t="n">
        <v>400000</v>
      </c>
      <c r="F83" s="13" t="n">
        <v>1699</v>
      </c>
      <c r="G83" s="14" t="n">
        <v>0.8</v>
      </c>
      <c r="H83" s="13">
        <f>E83*G83</f>
        <v/>
      </c>
      <c r="I83" s="13">
        <f>I82+E83</f>
        <v/>
      </c>
      <c r="J83" s="13">
        <f>J82+H83</f>
        <v/>
      </c>
      <c r="K83" s="13">
        <f>K82+F83</f>
        <v/>
      </c>
    </row>
    <row r="84">
      <c r="A84" s="12" t="n">
        <v>83</v>
      </c>
      <c r="B84" s="12" t="inlineStr">
        <is>
          <t>CFD</t>
        </is>
      </c>
      <c r="C84" s="12" t="inlineStr">
        <is>
          <t>Mainet Funded</t>
        </is>
      </c>
      <c r="D84" s="12" t="inlineStr">
        <is>
          <t>2 étapes</t>
        </is>
      </c>
      <c r="E84" s="13" t="n">
        <v>700000</v>
      </c>
      <c r="F84" s="13" t="n">
        <v>2975</v>
      </c>
      <c r="G84" s="14" t="n">
        <v>0.95</v>
      </c>
      <c r="H84" s="13">
        <f>E84*G84</f>
        <v/>
      </c>
      <c r="I84" s="13">
        <f>I83+E84</f>
        <v/>
      </c>
      <c r="J84" s="13">
        <f>J83+H84</f>
        <v/>
      </c>
      <c r="K84" s="13">
        <f>K83+F84</f>
        <v/>
      </c>
    </row>
    <row r="85">
      <c r="A85" s="12" t="n">
        <v>84</v>
      </c>
      <c r="B85" s="12" t="inlineStr">
        <is>
          <t>CFD</t>
        </is>
      </c>
      <c r="C85" s="12" t="inlineStr">
        <is>
          <t>SFX Funded</t>
        </is>
      </c>
      <c r="D85" s="12" t="inlineStr">
        <is>
          <t>2 étapes</t>
        </is>
      </c>
      <c r="E85" s="13" t="n">
        <v>495000</v>
      </c>
      <c r="F85" s="13" t="n">
        <v>2125</v>
      </c>
      <c r="G85" s="14" t="n">
        <v>1</v>
      </c>
      <c r="H85" s="13">
        <f>E85*G85</f>
        <v/>
      </c>
      <c r="I85" s="13">
        <f>I84+E85</f>
        <v/>
      </c>
      <c r="J85" s="13">
        <f>J84+H85</f>
        <v/>
      </c>
      <c r="K85" s="13">
        <f>K84+F85</f>
        <v/>
      </c>
    </row>
    <row r="86">
      <c r="A86" s="12" t="n">
        <v>85</v>
      </c>
      <c r="B86" s="12" t="inlineStr">
        <is>
          <t>CFD</t>
        </is>
      </c>
      <c r="C86" s="12" t="inlineStr">
        <is>
          <t>Ultimate Traders</t>
        </is>
      </c>
      <c r="D86" s="12" t="inlineStr">
        <is>
          <t>2 étapes</t>
        </is>
      </c>
      <c r="E86" s="13" t="n">
        <v>400000</v>
      </c>
      <c r="F86" s="13" t="n">
        <v>1798</v>
      </c>
      <c r="G86" s="14" t="n">
        <v>0.9</v>
      </c>
      <c r="H86" s="13">
        <f>E86*G86</f>
        <v/>
      </c>
      <c r="I86" s="13">
        <f>I85+E86</f>
        <v/>
      </c>
      <c r="J86" s="13">
        <f>J85+H86</f>
        <v/>
      </c>
      <c r="K86" s="13">
        <f>K85+F86</f>
        <v/>
      </c>
    </row>
    <row r="87">
      <c r="A87" s="12" t="n">
        <v>86</v>
      </c>
      <c r="B87" s="12" t="inlineStr">
        <is>
          <t>CFD</t>
        </is>
      </c>
      <c r="C87" s="12" t="inlineStr">
        <is>
          <t>TradersEdgeFX</t>
        </is>
      </c>
      <c r="D87" s="12" t="inlineStr">
        <is>
          <t>2 étapes</t>
        </is>
      </c>
      <c r="E87" s="13" t="n">
        <v>200000</v>
      </c>
      <c r="F87" s="13" t="n">
        <v>899</v>
      </c>
      <c r="G87" s="14" t="n">
        <v>0.8</v>
      </c>
      <c r="H87" s="13">
        <f>E87*G87</f>
        <v/>
      </c>
      <c r="I87" s="13">
        <f>I86+E87</f>
        <v/>
      </c>
      <c r="J87" s="13">
        <f>J86+H87</f>
        <v/>
      </c>
      <c r="K87" s="13">
        <f>K86+F87</f>
        <v/>
      </c>
    </row>
    <row r="88">
      <c r="A88" s="12" t="n">
        <v>87</v>
      </c>
      <c r="B88" s="12" t="inlineStr">
        <is>
          <t>CFD</t>
        </is>
      </c>
      <c r="C88" s="12" t="inlineStr">
        <is>
          <t>Funded Roll</t>
        </is>
      </c>
      <c r="D88" s="12" t="inlineStr">
        <is>
          <t>2 étapes</t>
        </is>
      </c>
      <c r="E88" s="13" t="n">
        <v>200000</v>
      </c>
      <c r="F88" s="13" t="n">
        <v>899</v>
      </c>
      <c r="G88" s="14" t="n">
        <v>0.9</v>
      </c>
      <c r="H88" s="13">
        <f>E88*G88</f>
        <v/>
      </c>
      <c r="I88" s="13">
        <f>I87+E88</f>
        <v/>
      </c>
      <c r="J88" s="13">
        <f>J87+H88</f>
        <v/>
      </c>
      <c r="K88" s="13">
        <f>K87+F88</f>
        <v/>
      </c>
    </row>
    <row r="89">
      <c r="A89" s="12" t="n">
        <v>88</v>
      </c>
      <c r="B89" s="12" t="inlineStr">
        <is>
          <t>CFD</t>
        </is>
      </c>
      <c r="C89" s="12" t="inlineStr">
        <is>
          <t>NowTradeFunded</t>
        </is>
      </c>
      <c r="D89" s="12" t="inlineStr">
        <is>
          <t>2 étapes</t>
        </is>
      </c>
      <c r="E89" s="13" t="n">
        <v>200000</v>
      </c>
      <c r="F89" s="13" t="n">
        <v>900</v>
      </c>
      <c r="G89" s="14" t="n">
        <v>0.8</v>
      </c>
      <c r="H89" s="13">
        <f>E89*G89</f>
        <v/>
      </c>
      <c r="I89" s="13">
        <f>I88+E89</f>
        <v/>
      </c>
      <c r="J89" s="13">
        <f>J88+H89</f>
        <v/>
      </c>
      <c r="K89" s="13">
        <f>K88+F89</f>
        <v/>
      </c>
    </row>
    <row r="90">
      <c r="A90" s="12" t="n">
        <v>89</v>
      </c>
      <c r="B90" s="12" t="inlineStr">
        <is>
          <t>CFD</t>
        </is>
      </c>
      <c r="C90" s="12" t="inlineStr">
        <is>
          <t>OFunded</t>
        </is>
      </c>
      <c r="D90" s="12" t="inlineStr">
        <is>
          <t>2 étapes</t>
        </is>
      </c>
      <c r="E90" s="13" t="n">
        <v>250000</v>
      </c>
      <c r="F90" s="13" t="n">
        <v>1125</v>
      </c>
      <c r="G90" s="14" t="n">
        <v>0.9</v>
      </c>
      <c r="H90" s="13">
        <f>E90*G90</f>
        <v/>
      </c>
      <c r="I90" s="13">
        <f>I89+E90</f>
        <v/>
      </c>
      <c r="J90" s="13">
        <f>J89+H90</f>
        <v/>
      </c>
      <c r="K90" s="13">
        <f>K89+F90</f>
        <v/>
      </c>
    </row>
    <row r="91">
      <c r="A91" s="12" t="n">
        <v>90</v>
      </c>
      <c r="B91" s="12" t="inlineStr">
        <is>
          <t>CFD</t>
        </is>
      </c>
      <c r="C91" s="12" t="inlineStr">
        <is>
          <t>GoFunding</t>
        </is>
      </c>
      <c r="D91" s="12" t="inlineStr">
        <is>
          <t>2 étapes</t>
        </is>
      </c>
      <c r="E91" s="13" t="n">
        <v>800000</v>
      </c>
      <c r="F91" s="13" t="n">
        <v>3600</v>
      </c>
      <c r="G91" s="14" t="n">
        <v>0.8</v>
      </c>
      <c r="H91" s="13">
        <f>E91*G91</f>
        <v/>
      </c>
      <c r="I91" s="13">
        <f>I90+E91</f>
        <v/>
      </c>
      <c r="J91" s="13">
        <f>J90+H91</f>
        <v/>
      </c>
      <c r="K91" s="13">
        <f>K90+F91</f>
        <v/>
      </c>
    </row>
    <row r="92">
      <c r="A92" s="12" t="n">
        <v>91</v>
      </c>
      <c r="B92" s="12" t="inlineStr">
        <is>
          <t>CFD</t>
        </is>
      </c>
      <c r="C92" s="12" t="inlineStr">
        <is>
          <t>Fill88</t>
        </is>
      </c>
      <c r="D92" s="12" t="inlineStr">
        <is>
          <t>2 étapes</t>
        </is>
      </c>
      <c r="E92" s="13" t="n">
        <v>640000</v>
      </c>
      <c r="F92" s="13" t="n">
        <v>2885</v>
      </c>
      <c r="G92" s="14" t="n">
        <v>0.9</v>
      </c>
      <c r="H92" s="13">
        <f>E92*G92</f>
        <v/>
      </c>
      <c r="I92" s="13">
        <f>I91+E92</f>
        <v/>
      </c>
      <c r="J92" s="13">
        <f>J91+H92</f>
        <v/>
      </c>
      <c r="K92" s="13">
        <f>K91+F92</f>
        <v/>
      </c>
    </row>
    <row r="93">
      <c r="A93" s="12" t="n">
        <v>92</v>
      </c>
      <c r="B93" s="12" t="inlineStr">
        <is>
          <t>CFD</t>
        </is>
      </c>
      <c r="C93" s="12" t="inlineStr">
        <is>
          <t>Pro Traders Fund</t>
        </is>
      </c>
      <c r="D93" s="12" t="inlineStr">
        <is>
          <t>2 étapes</t>
        </is>
      </c>
      <c r="E93" s="13" t="n">
        <v>900000</v>
      </c>
      <c r="F93" s="13" t="n">
        <v>4197</v>
      </c>
      <c r="G93" s="14" t="n">
        <v>0.9</v>
      </c>
      <c r="H93" s="13">
        <f>E93*G93</f>
        <v/>
      </c>
      <c r="I93" s="13">
        <f>I92+E93</f>
        <v/>
      </c>
      <c r="J93" s="13">
        <f>J92+H93</f>
        <v/>
      </c>
      <c r="K93" s="13">
        <f>K92+F93</f>
        <v/>
      </c>
    </row>
    <row r="94">
      <c r="A94" s="12" t="n">
        <v>93</v>
      </c>
      <c r="B94" s="12" t="inlineStr">
        <is>
          <t>CFD</t>
        </is>
      </c>
      <c r="C94" s="12" t="inlineStr">
        <is>
          <t>Clarity Traders</t>
        </is>
      </c>
      <c r="D94" s="12" t="inlineStr">
        <is>
          <t>2 étapes</t>
        </is>
      </c>
      <c r="E94" s="13" t="n">
        <v>300000</v>
      </c>
      <c r="F94" s="13" t="n">
        <v>1399</v>
      </c>
      <c r="G94" s="14" t="n">
        <v>1</v>
      </c>
      <c r="H94" s="13">
        <f>E94*G94</f>
        <v/>
      </c>
      <c r="I94" s="13">
        <f>I93+E94</f>
        <v/>
      </c>
      <c r="J94" s="13">
        <f>J93+H94</f>
        <v/>
      </c>
      <c r="K94" s="13">
        <f>K93+F94</f>
        <v/>
      </c>
    </row>
    <row r="95">
      <c r="A95" s="12" t="n">
        <v>94</v>
      </c>
      <c r="B95" s="12" t="inlineStr">
        <is>
          <t>CFD</t>
        </is>
      </c>
      <c r="C95" s="12" t="inlineStr">
        <is>
          <t>ArroxFund</t>
        </is>
      </c>
      <c r="D95" s="12" t="inlineStr">
        <is>
          <t>2 étapes</t>
        </is>
      </c>
      <c r="E95" s="13" t="n">
        <v>150000</v>
      </c>
      <c r="F95" s="13" t="n">
        <v>708</v>
      </c>
      <c r="G95" s="14" t="n">
        <v>0.8</v>
      </c>
      <c r="H95" s="13">
        <f>E95*G95</f>
        <v/>
      </c>
      <c r="I95" s="13">
        <f>I94+E95</f>
        <v/>
      </c>
      <c r="J95" s="13">
        <f>J94+H95</f>
        <v/>
      </c>
      <c r="K95" s="13">
        <f>K94+F95</f>
        <v/>
      </c>
    </row>
    <row r="96">
      <c r="A96" s="12" t="n">
        <v>95</v>
      </c>
      <c r="B96" s="12" t="inlineStr">
        <is>
          <t>CFD</t>
        </is>
      </c>
      <c r="C96" s="12" t="inlineStr">
        <is>
          <t>BrightFunded</t>
        </is>
      </c>
      <c r="D96" s="12" t="inlineStr">
        <is>
          <t>2 étapes</t>
        </is>
      </c>
      <c r="E96" s="13" t="n">
        <v>400000</v>
      </c>
      <c r="F96" s="13" t="n">
        <v>1894</v>
      </c>
      <c r="G96" s="14" t="n">
        <v>0.9</v>
      </c>
      <c r="H96" s="13">
        <f>E96*G96</f>
        <v/>
      </c>
      <c r="I96" s="13">
        <f>I95+E96</f>
        <v/>
      </c>
      <c r="J96" s="13">
        <f>J95+H96</f>
        <v/>
      </c>
      <c r="K96" s="13">
        <f>K95+F96</f>
        <v/>
      </c>
    </row>
    <row r="97">
      <c r="A97" s="12" t="n">
        <v>96</v>
      </c>
      <c r="B97" s="12" t="inlineStr">
        <is>
          <t>CFD</t>
        </is>
      </c>
      <c r="C97" s="12" t="inlineStr">
        <is>
          <t>Mubite</t>
        </is>
      </c>
      <c r="D97" s="12" t="inlineStr">
        <is>
          <t>2 étapes</t>
        </is>
      </c>
      <c r="E97" s="13" t="n">
        <v>200000</v>
      </c>
      <c r="F97" s="13" t="n">
        <v>949</v>
      </c>
      <c r="G97" s="14" t="n">
        <v>0.9</v>
      </c>
      <c r="H97" s="13">
        <f>E97*G97</f>
        <v/>
      </c>
      <c r="I97" s="13">
        <f>I96+E97</f>
        <v/>
      </c>
      <c r="J97" s="13">
        <f>J96+H97</f>
        <v/>
      </c>
      <c r="K97" s="13">
        <f>K96+F97</f>
        <v/>
      </c>
    </row>
    <row r="98">
      <c r="A98" s="12" t="n">
        <v>97</v>
      </c>
      <c r="B98" s="12" t="inlineStr">
        <is>
          <t>CFD</t>
        </is>
      </c>
      <c r="C98" s="12" t="inlineStr">
        <is>
          <t>Seven Go Funding</t>
        </is>
      </c>
      <c r="D98" s="12" t="inlineStr">
        <is>
          <t>2 étapes</t>
        </is>
      </c>
      <c r="E98" s="13" t="n">
        <v>1000000</v>
      </c>
      <c r="F98" s="13" t="n">
        <v>4800</v>
      </c>
      <c r="G98" s="14" t="n">
        <v>0.8</v>
      </c>
      <c r="H98" s="13">
        <f>E98*G98</f>
        <v/>
      </c>
      <c r="I98" s="13">
        <f>I97+E98</f>
        <v/>
      </c>
      <c r="J98" s="13">
        <f>J97+H98</f>
        <v/>
      </c>
      <c r="K98" s="13">
        <f>K97+F98</f>
        <v/>
      </c>
    </row>
    <row r="99">
      <c r="A99" s="12" t="n">
        <v>98</v>
      </c>
      <c r="B99" s="12" t="inlineStr">
        <is>
          <t>CFD</t>
        </is>
      </c>
      <c r="C99" s="12" t="inlineStr">
        <is>
          <t>Mockapital</t>
        </is>
      </c>
      <c r="D99" s="12" t="inlineStr">
        <is>
          <t>2 étapes</t>
        </is>
      </c>
      <c r="E99" s="13" t="n">
        <v>300000</v>
      </c>
      <c r="F99" s="13" t="n">
        <v>1450</v>
      </c>
      <c r="G99" s="14" t="n">
        <v>0.8</v>
      </c>
      <c r="H99" s="13">
        <f>E99*G99</f>
        <v/>
      </c>
      <c r="I99" s="13">
        <f>I98+E99</f>
        <v/>
      </c>
      <c r="J99" s="13">
        <f>J98+H99</f>
        <v/>
      </c>
      <c r="K99" s="13">
        <f>K98+F99</f>
        <v/>
      </c>
    </row>
    <row r="100">
      <c r="A100" s="12" t="n">
        <v>99</v>
      </c>
      <c r="B100" s="12" t="inlineStr">
        <is>
          <t>CFD</t>
        </is>
      </c>
      <c r="C100" s="12" t="inlineStr">
        <is>
          <t>NeomAAA Funds (NEOM Funded)</t>
        </is>
      </c>
      <c r="D100" s="12" t="inlineStr">
        <is>
          <t>2 étapes</t>
        </is>
      </c>
      <c r="E100" s="13" t="n">
        <v>400000</v>
      </c>
      <c r="F100" s="13" t="n">
        <v>1940</v>
      </c>
      <c r="G100" s="14" t="n">
        <v>0.9</v>
      </c>
      <c r="H100" s="13">
        <f>E100*G100</f>
        <v/>
      </c>
      <c r="I100" s="13">
        <f>I99+E100</f>
        <v/>
      </c>
      <c r="J100" s="13">
        <f>J99+H100</f>
        <v/>
      </c>
      <c r="K100" s="13">
        <f>K99+F100</f>
        <v/>
      </c>
    </row>
    <row r="101">
      <c r="A101" s="12" t="n">
        <v>100</v>
      </c>
      <c r="B101" s="12" t="inlineStr">
        <is>
          <t>CFD</t>
        </is>
      </c>
      <c r="C101" s="12" t="inlineStr">
        <is>
          <t>NEOM Funded</t>
        </is>
      </c>
      <c r="D101" s="12" t="inlineStr">
        <is>
          <t>2 étapes</t>
        </is>
      </c>
      <c r="E101" s="13" t="n">
        <v>400000</v>
      </c>
      <c r="F101" s="13" t="n">
        <v>1940</v>
      </c>
      <c r="G101" s="14" t="n">
        <v>0.9</v>
      </c>
      <c r="H101" s="13">
        <f>E101*G101</f>
        <v/>
      </c>
      <c r="I101" s="13">
        <f>I100+E101</f>
        <v/>
      </c>
      <c r="J101" s="13">
        <f>J100+H101</f>
        <v/>
      </c>
      <c r="K101" s="13">
        <f>K100+F101</f>
        <v/>
      </c>
    </row>
    <row r="102">
      <c r="A102" s="12" t="n">
        <v>101</v>
      </c>
      <c r="B102" s="12" t="inlineStr">
        <is>
          <t>CFD</t>
        </is>
      </c>
      <c r="C102" s="12" t="inlineStr">
        <is>
          <t>Nordic Funder</t>
        </is>
      </c>
      <c r="D102" s="12" t="inlineStr">
        <is>
          <t>2 étapes</t>
        </is>
      </c>
      <c r="E102" s="13" t="n">
        <v>500000</v>
      </c>
      <c r="F102" s="13" t="n">
        <v>2450</v>
      </c>
      <c r="G102" s="14" t="n">
        <v>0.9</v>
      </c>
      <c r="H102" s="13">
        <f>E102*G102</f>
        <v/>
      </c>
      <c r="I102" s="13">
        <f>I101+E102</f>
        <v/>
      </c>
      <c r="J102" s="13">
        <f>J101+H102</f>
        <v/>
      </c>
      <c r="K102" s="13">
        <f>K101+F102</f>
        <v/>
      </c>
    </row>
    <row r="103">
      <c r="A103" s="12" t="n">
        <v>102</v>
      </c>
      <c r="B103" s="12" t="inlineStr">
        <is>
          <t>CFD</t>
        </is>
      </c>
      <c r="C103" s="12" t="inlineStr">
        <is>
          <t>NYS Markets</t>
        </is>
      </c>
      <c r="D103" s="12" t="inlineStr">
        <is>
          <t>2 étapes</t>
        </is>
      </c>
      <c r="E103" s="13" t="n">
        <v>400000</v>
      </c>
      <c r="F103" s="13" t="n">
        <v>1974</v>
      </c>
      <c r="G103" s="14" t="n">
        <v>1</v>
      </c>
      <c r="H103" s="13">
        <f>E103*G103</f>
        <v/>
      </c>
      <c r="I103" s="13">
        <f>I102+E103</f>
        <v/>
      </c>
      <c r="J103" s="13">
        <f>J102+H103</f>
        <v/>
      </c>
      <c r="K103" s="13">
        <f>K102+F103</f>
        <v/>
      </c>
    </row>
    <row r="104">
      <c r="A104" s="12" t="n">
        <v>103</v>
      </c>
      <c r="B104" s="12" t="inlineStr">
        <is>
          <t>CFD</t>
        </is>
      </c>
      <c r="C104" s="12" t="inlineStr">
        <is>
          <t>Sway Funded</t>
        </is>
      </c>
      <c r="D104" s="12" t="inlineStr">
        <is>
          <t>2 étapes</t>
        </is>
      </c>
      <c r="E104" s="13" t="n">
        <v>1000000</v>
      </c>
      <c r="F104" s="13" t="n">
        <v>4945</v>
      </c>
      <c r="G104" s="14" t="n">
        <v>1</v>
      </c>
      <c r="H104" s="13">
        <f>E104*G104</f>
        <v/>
      </c>
      <c r="I104" s="13">
        <f>I103+E104</f>
        <v/>
      </c>
      <c r="J104" s="13">
        <f>J103+H104</f>
        <v/>
      </c>
      <c r="K104" s="13">
        <f>K103+F104</f>
        <v/>
      </c>
    </row>
    <row r="105">
      <c r="A105" s="12" t="n">
        <v>104</v>
      </c>
      <c r="B105" s="12" t="inlineStr">
        <is>
          <t>CFD</t>
        </is>
      </c>
      <c r="C105" s="12" t="inlineStr">
        <is>
          <t>Exclusive Funded Programme</t>
        </is>
      </c>
      <c r="D105" s="12" t="inlineStr">
        <is>
          <t>2 étapes</t>
        </is>
      </c>
      <c r="E105" s="13" t="n">
        <v>300000</v>
      </c>
      <c r="F105" s="13" t="n">
        <v>1497</v>
      </c>
      <c r="G105" s="14" t="n">
        <v>0.8</v>
      </c>
      <c r="H105" s="13">
        <f>E105*G105</f>
        <v/>
      </c>
      <c r="I105" s="13">
        <f>I104+E105</f>
        <v/>
      </c>
      <c r="J105" s="13">
        <f>J104+H105</f>
        <v/>
      </c>
      <c r="K105" s="13">
        <f>K104+F105</f>
        <v/>
      </c>
    </row>
    <row r="106">
      <c r="A106" s="12" t="n">
        <v>105</v>
      </c>
      <c r="B106" s="12" t="inlineStr">
        <is>
          <t>CFD</t>
        </is>
      </c>
      <c r="C106" s="12" t="inlineStr">
        <is>
          <t>Quant Funded</t>
        </is>
      </c>
      <c r="D106" s="12" t="inlineStr">
        <is>
          <t>2 étapes</t>
        </is>
      </c>
      <c r="E106" s="13" t="n">
        <v>400000</v>
      </c>
      <c r="F106" s="13" t="n">
        <v>1996</v>
      </c>
      <c r="G106" s="14" t="n">
        <v>0.8</v>
      </c>
      <c r="H106" s="13">
        <f>E106*G106</f>
        <v/>
      </c>
      <c r="I106" s="13">
        <f>I105+E106</f>
        <v/>
      </c>
      <c r="J106" s="13">
        <f>J105+H106</f>
        <v/>
      </c>
      <c r="K106" s="13">
        <f>K105+F106</f>
        <v/>
      </c>
    </row>
    <row r="107">
      <c r="A107" s="12" t="n">
        <v>106</v>
      </c>
      <c r="B107" s="12" t="inlineStr">
        <is>
          <t>CFD</t>
        </is>
      </c>
      <c r="C107" s="12" t="inlineStr">
        <is>
          <t>IC Funded</t>
        </is>
      </c>
      <c r="D107" s="12" t="inlineStr">
        <is>
          <t>2 étapes</t>
        </is>
      </c>
      <c r="E107" s="13" t="n">
        <v>500000</v>
      </c>
      <c r="F107" s="13" t="n">
        <v>2495</v>
      </c>
      <c r="G107" s="14" t="n">
        <v>0.9</v>
      </c>
      <c r="H107" s="13">
        <f>E107*G107</f>
        <v/>
      </c>
      <c r="I107" s="13">
        <f>I106+E107</f>
        <v/>
      </c>
      <c r="J107" s="13">
        <f>J106+H107</f>
        <v/>
      </c>
      <c r="K107" s="13">
        <f>K106+F107</f>
        <v/>
      </c>
    </row>
    <row r="108">
      <c r="A108" s="12" t="n">
        <v>107</v>
      </c>
      <c r="B108" s="12" t="inlineStr">
        <is>
          <t>CFD</t>
        </is>
      </c>
      <c r="C108" s="12" t="inlineStr">
        <is>
          <t>Exclusive Markets Prop</t>
        </is>
      </c>
      <c r="D108" s="12" t="inlineStr">
        <is>
          <t>2 étapes</t>
        </is>
      </c>
      <c r="E108" s="13" t="n">
        <v>300000</v>
      </c>
      <c r="F108" s="13" t="n">
        <v>1497</v>
      </c>
      <c r="G108" s="14" t="n">
        <v>0.8</v>
      </c>
      <c r="H108" s="13">
        <f>E108*G108</f>
        <v/>
      </c>
      <c r="I108" s="13">
        <f>I107+E108</f>
        <v/>
      </c>
      <c r="J108" s="13">
        <f>J107+H108</f>
        <v/>
      </c>
      <c r="K108" s="13">
        <f>K107+F108</f>
        <v/>
      </c>
    </row>
    <row r="109">
      <c r="A109" s="12" t="n">
        <v>108</v>
      </c>
      <c r="B109" s="12" t="inlineStr">
        <is>
          <t>CFD</t>
        </is>
      </c>
      <c r="C109" s="12" t="inlineStr">
        <is>
          <t>Bold Fund</t>
        </is>
      </c>
      <c r="D109" s="12" t="inlineStr">
        <is>
          <t>2 étapes</t>
        </is>
      </c>
      <c r="E109" s="13" t="n">
        <v>100000</v>
      </c>
      <c r="F109" s="13" t="n">
        <v>499</v>
      </c>
      <c r="G109" s="14" t="n">
        <v>0.9</v>
      </c>
      <c r="H109" s="13">
        <f>E109*G109</f>
        <v/>
      </c>
      <c r="I109" s="13">
        <f>I108+E109</f>
        <v/>
      </c>
      <c r="J109" s="13">
        <f>J108+H109</f>
        <v/>
      </c>
      <c r="K109" s="13">
        <f>K108+F109</f>
        <v/>
      </c>
    </row>
    <row r="110">
      <c r="A110" s="12" t="n">
        <v>109</v>
      </c>
      <c r="B110" s="12" t="inlineStr">
        <is>
          <t>CFD</t>
        </is>
      </c>
      <c r="C110" s="12" t="inlineStr">
        <is>
          <t>TTT Markets</t>
        </is>
      </c>
      <c r="D110" s="12" t="inlineStr">
        <is>
          <t>2 étapes</t>
        </is>
      </c>
      <c r="E110" s="13" t="n">
        <v>600000</v>
      </c>
      <c r="F110" s="13" t="n">
        <v>2994</v>
      </c>
      <c r="G110" s="14" t="n">
        <v>0.9</v>
      </c>
      <c r="H110" s="13">
        <f>E110*G110</f>
        <v/>
      </c>
      <c r="I110" s="13">
        <f>I109+E110</f>
        <v/>
      </c>
      <c r="J110" s="13">
        <f>J109+H110</f>
        <v/>
      </c>
      <c r="K110" s="13">
        <f>K109+F110</f>
        <v/>
      </c>
    </row>
    <row r="111">
      <c r="A111" s="12" t="n">
        <v>110</v>
      </c>
      <c r="B111" s="12" t="inlineStr">
        <is>
          <t>CFD</t>
        </is>
      </c>
      <c r="C111" s="12" t="inlineStr">
        <is>
          <t>Instant Funding Pakistan</t>
        </is>
      </c>
      <c r="D111" s="12" t="inlineStr">
        <is>
          <t>2 étapes</t>
        </is>
      </c>
      <c r="E111" s="13" t="n">
        <v>1000000</v>
      </c>
      <c r="F111" s="13" t="n">
        <v>4990</v>
      </c>
      <c r="G111" s="14" t="n">
        <v>0.9</v>
      </c>
      <c r="H111" s="13">
        <f>E111*G111</f>
        <v/>
      </c>
      <c r="I111" s="13">
        <f>I110+E111</f>
        <v/>
      </c>
      <c r="J111" s="13">
        <f>J110+H111</f>
        <v/>
      </c>
      <c r="K111" s="13">
        <f>K110+F111</f>
        <v/>
      </c>
    </row>
    <row r="112">
      <c r="A112" s="12" t="n">
        <v>111</v>
      </c>
      <c r="B112" s="12" t="inlineStr">
        <is>
          <t>CFD</t>
        </is>
      </c>
      <c r="C112" s="12" t="inlineStr">
        <is>
          <t>Super Funded</t>
        </is>
      </c>
      <c r="D112" s="12" t="inlineStr">
        <is>
          <t>2 étapes</t>
        </is>
      </c>
      <c r="E112" s="13" t="n">
        <v>200000</v>
      </c>
      <c r="F112" s="13" t="n">
        <v>999</v>
      </c>
      <c r="G112" s="14" t="n">
        <v>0.9</v>
      </c>
      <c r="H112" s="13">
        <f>E112*G112</f>
        <v/>
      </c>
      <c r="I112" s="13">
        <f>I111+E112</f>
        <v/>
      </c>
      <c r="J112" s="13">
        <f>J111+H112</f>
        <v/>
      </c>
      <c r="K112" s="13">
        <f>K111+F112</f>
        <v/>
      </c>
    </row>
    <row r="113">
      <c r="A113" s="12" t="n">
        <v>112</v>
      </c>
      <c r="B113" s="12" t="inlineStr">
        <is>
          <t>CFD</t>
        </is>
      </c>
      <c r="C113" s="12" t="inlineStr">
        <is>
          <t>The Nomad Trader</t>
        </is>
      </c>
      <c r="D113" s="12" t="inlineStr">
        <is>
          <t>2 étapes</t>
        </is>
      </c>
      <c r="E113" s="13" t="n">
        <v>400000</v>
      </c>
      <c r="F113" s="13" t="n">
        <v>2000</v>
      </c>
      <c r="G113" s="14" t="n">
        <v>0.95</v>
      </c>
      <c r="H113" s="13">
        <f>E113*G113</f>
        <v/>
      </c>
      <c r="I113" s="13">
        <f>I112+E113</f>
        <v/>
      </c>
      <c r="J113" s="13">
        <f>J112+H113</f>
        <v/>
      </c>
      <c r="K113" s="13">
        <f>K112+F113</f>
        <v/>
      </c>
    </row>
    <row r="114">
      <c r="A114" s="12" t="n">
        <v>113</v>
      </c>
      <c r="B114" s="12" t="inlineStr">
        <is>
          <t>CFD</t>
        </is>
      </c>
      <c r="C114" s="12" t="inlineStr">
        <is>
          <t>Investiqa</t>
        </is>
      </c>
      <c r="D114" s="12" t="inlineStr">
        <is>
          <t>2 étapes</t>
        </is>
      </c>
      <c r="E114" s="13" t="n">
        <v>1000000</v>
      </c>
      <c r="F114" s="13" t="n">
        <v>5040</v>
      </c>
      <c r="G114" s="14" t="n">
        <v>0.9</v>
      </c>
      <c r="H114" s="13">
        <f>E114*G114</f>
        <v/>
      </c>
      <c r="I114" s="13">
        <f>I113+E114</f>
        <v/>
      </c>
      <c r="J114" s="13">
        <f>J113+H114</f>
        <v/>
      </c>
      <c r="K114" s="13">
        <f>K113+F114</f>
        <v/>
      </c>
    </row>
    <row r="115">
      <c r="A115" s="12" t="n">
        <v>114</v>
      </c>
      <c r="B115" s="12" t="inlineStr">
        <is>
          <t>CFD</t>
        </is>
      </c>
      <c r="C115" s="12" t="inlineStr">
        <is>
          <t>Vertex Funding</t>
        </is>
      </c>
      <c r="D115" s="12" t="inlineStr">
        <is>
          <t>2 étapes</t>
        </is>
      </c>
      <c r="E115" s="13" t="n">
        <v>500000</v>
      </c>
      <c r="F115" s="13" t="n">
        <v>2525</v>
      </c>
      <c r="G115" s="14" t="n">
        <v>0.9</v>
      </c>
      <c r="H115" s="13">
        <f>E115*G115</f>
        <v/>
      </c>
      <c r="I115" s="13">
        <f>I114+E115</f>
        <v/>
      </c>
      <c r="J115" s="13">
        <f>J114+H115</f>
        <v/>
      </c>
      <c r="K115" s="13">
        <f>K114+F115</f>
        <v/>
      </c>
    </row>
    <row r="116">
      <c r="A116" s="12" t="n">
        <v>115</v>
      </c>
      <c r="B116" s="12" t="inlineStr">
        <is>
          <t>CFD</t>
        </is>
      </c>
      <c r="C116" s="12" t="inlineStr">
        <is>
          <t>Cyber Funded</t>
        </is>
      </c>
      <c r="D116" s="12" t="inlineStr">
        <is>
          <t>2 étapes</t>
        </is>
      </c>
      <c r="E116" s="13" t="n">
        <v>200000</v>
      </c>
      <c r="F116" s="13" t="n">
        <v>1038</v>
      </c>
      <c r="G116" s="14" t="n">
        <v>0.9</v>
      </c>
      <c r="H116" s="13">
        <f>E116*G116</f>
        <v/>
      </c>
      <c r="I116" s="13">
        <f>I115+E116</f>
        <v/>
      </c>
      <c r="J116" s="13">
        <f>J115+H116</f>
        <v/>
      </c>
      <c r="K116" s="13">
        <f>K115+F116</f>
        <v/>
      </c>
    </row>
    <row r="117">
      <c r="A117" s="12" t="n">
        <v>116</v>
      </c>
      <c r="B117" s="12" t="inlineStr">
        <is>
          <t>CFD</t>
        </is>
      </c>
      <c r="C117" s="12" t="inlineStr">
        <is>
          <t>Audacity Capital</t>
        </is>
      </c>
      <c r="D117" s="12" t="inlineStr">
        <is>
          <t>2 étapes</t>
        </is>
      </c>
      <c r="E117" s="13" t="n">
        <v>400000</v>
      </c>
      <c r="F117" s="13" t="n">
        <v>2098</v>
      </c>
      <c r="G117" s="14" t="n">
        <v>0.9</v>
      </c>
      <c r="H117" s="13">
        <f>E117*G117</f>
        <v/>
      </c>
      <c r="I117" s="13">
        <f>I116+E117</f>
        <v/>
      </c>
      <c r="J117" s="13">
        <f>J116+H117</f>
        <v/>
      </c>
      <c r="K117" s="13">
        <f>K116+F117</f>
        <v/>
      </c>
    </row>
    <row r="118">
      <c r="A118" s="12" t="n">
        <v>117</v>
      </c>
      <c r="B118" s="12" t="inlineStr">
        <is>
          <t>CFD</t>
        </is>
      </c>
      <c r="C118" s="12" t="inlineStr">
        <is>
          <t>FNC Funding</t>
        </is>
      </c>
      <c r="D118" s="12" t="inlineStr">
        <is>
          <t>2 étapes</t>
        </is>
      </c>
      <c r="E118" s="13" t="n">
        <v>500000</v>
      </c>
      <c r="F118" s="13" t="n">
        <v>2625</v>
      </c>
      <c r="G118" s="14" t="n">
        <v>0.9</v>
      </c>
      <c r="H118" s="13">
        <f>E118*G118</f>
        <v/>
      </c>
      <c r="I118" s="13">
        <f>I117+E118</f>
        <v/>
      </c>
      <c r="J118" s="13">
        <f>J117+H118</f>
        <v/>
      </c>
      <c r="K118" s="13">
        <f>K117+F118</f>
        <v/>
      </c>
    </row>
    <row r="119">
      <c r="A119" s="12" t="n">
        <v>118</v>
      </c>
      <c r="B119" s="12" t="inlineStr">
        <is>
          <t>CFD</t>
        </is>
      </c>
      <c r="C119" s="12" t="inlineStr">
        <is>
          <t>thePropTrade</t>
        </is>
      </c>
      <c r="D119" s="12" t="inlineStr">
        <is>
          <t>2 étapes</t>
        </is>
      </c>
      <c r="E119" s="13" t="n">
        <v>400000</v>
      </c>
      <c r="F119" s="13" t="n">
        <v>2116</v>
      </c>
      <c r="G119" s="14" t="n">
        <v>0.9</v>
      </c>
      <c r="H119" s="13">
        <f>E119*G119</f>
        <v/>
      </c>
      <c r="I119" s="13">
        <f>I118+E119</f>
        <v/>
      </c>
      <c r="J119" s="13">
        <f>J118+H119</f>
        <v/>
      </c>
      <c r="K119" s="13">
        <f>K118+F119</f>
        <v/>
      </c>
    </row>
    <row r="120">
      <c r="A120" s="12" t="n">
        <v>119</v>
      </c>
      <c r="B120" s="12" t="inlineStr">
        <is>
          <t>CFD</t>
        </is>
      </c>
      <c r="C120" s="12" t="inlineStr">
        <is>
          <t>LegionFunding</t>
        </is>
      </c>
      <c r="D120" s="12" t="inlineStr">
        <is>
          <t>2 étapes</t>
        </is>
      </c>
      <c r="E120" s="13" t="n">
        <v>400000</v>
      </c>
      <c r="F120" s="13" t="n">
        <v>2116</v>
      </c>
      <c r="G120" s="14" t="n">
        <v>0.8</v>
      </c>
      <c r="H120" s="13">
        <f>E120*G120</f>
        <v/>
      </c>
      <c r="I120" s="13">
        <f>I119+E120</f>
        <v/>
      </c>
      <c r="J120" s="13">
        <f>J119+H120</f>
        <v/>
      </c>
      <c r="K120" s="13">
        <f>K119+F120</f>
        <v/>
      </c>
    </row>
    <row r="121">
      <c r="A121" s="12" t="n">
        <v>120</v>
      </c>
      <c r="B121" s="12" t="inlineStr">
        <is>
          <t>CFD</t>
        </is>
      </c>
      <c r="C121" s="12" t="inlineStr">
        <is>
          <t>Prop Number One</t>
        </is>
      </c>
      <c r="D121" s="12" t="inlineStr">
        <is>
          <t>2 étapes</t>
        </is>
      </c>
      <c r="E121" s="13" t="n">
        <v>300000</v>
      </c>
      <c r="F121" s="13" t="n">
        <v>1592</v>
      </c>
      <c r="G121" s="14" t="n">
        <v>1</v>
      </c>
      <c r="H121" s="13">
        <f>E121*G121</f>
        <v/>
      </c>
      <c r="I121" s="13">
        <f>I120+E121</f>
        <v/>
      </c>
      <c r="J121" s="13">
        <f>J120+H121</f>
        <v/>
      </c>
      <c r="K121" s="13">
        <f>K120+F121</f>
        <v/>
      </c>
    </row>
    <row r="122">
      <c r="A122" s="12" t="n">
        <v>121</v>
      </c>
      <c r="B122" s="12" t="inlineStr">
        <is>
          <t>CFD</t>
        </is>
      </c>
      <c r="C122" s="12" t="inlineStr">
        <is>
          <t>MasterFunders</t>
        </is>
      </c>
      <c r="D122" s="12" t="inlineStr">
        <is>
          <t>2 étapes</t>
        </is>
      </c>
      <c r="E122" s="13" t="n">
        <v>100000</v>
      </c>
      <c r="F122" s="13" t="n">
        <v>549</v>
      </c>
      <c r="G122" s="14" t="n">
        <v>0.8</v>
      </c>
      <c r="H122" s="13">
        <f>E122*G122</f>
        <v/>
      </c>
      <c r="I122" s="13">
        <f>I121+E122</f>
        <v/>
      </c>
      <c r="J122" s="13">
        <f>J121+H122</f>
        <v/>
      </c>
      <c r="K122" s="13">
        <f>K121+F122</f>
        <v/>
      </c>
    </row>
    <row r="123">
      <c r="A123" s="12" t="n">
        <v>122</v>
      </c>
      <c r="B123" s="12" t="inlineStr">
        <is>
          <t>CFD</t>
        </is>
      </c>
      <c r="C123" s="12" t="inlineStr">
        <is>
          <t>WSFunded</t>
        </is>
      </c>
      <c r="D123" s="12" t="inlineStr">
        <is>
          <t>2 étapes</t>
        </is>
      </c>
      <c r="E123" s="13" t="n">
        <v>400000</v>
      </c>
      <c r="F123" s="13" t="n">
        <v>2236</v>
      </c>
      <c r="G123" s="14" t="n">
        <v>0.8</v>
      </c>
      <c r="H123" s="13">
        <f>E123*G123</f>
        <v/>
      </c>
      <c r="I123" s="13">
        <f>I122+E123</f>
        <v/>
      </c>
      <c r="J123" s="13">
        <f>J122+H123</f>
        <v/>
      </c>
      <c r="K123" s="13">
        <f>K122+F123</f>
        <v/>
      </c>
    </row>
    <row r="124">
      <c r="A124" s="12" t="n">
        <v>123</v>
      </c>
      <c r="B124" s="12" t="inlineStr">
        <is>
          <t>CFD</t>
        </is>
      </c>
      <c r="C124" s="12" t="inlineStr">
        <is>
          <t>FT9JA</t>
        </is>
      </c>
      <c r="D124" s="12" t="inlineStr">
        <is>
          <t>2 étapes</t>
        </is>
      </c>
      <c r="E124" s="13" t="n">
        <v>25000</v>
      </c>
      <c r="F124" s="13" t="n">
        <v>141</v>
      </c>
      <c r="G124" s="14" t="n">
        <v>0.9</v>
      </c>
      <c r="H124" s="13">
        <f>E124*G124</f>
        <v/>
      </c>
      <c r="I124" s="13">
        <f>I123+E124</f>
        <v/>
      </c>
      <c r="J124" s="13">
        <f>J123+H124</f>
        <v/>
      </c>
      <c r="K124" s="13">
        <f>K123+F124</f>
        <v/>
      </c>
    </row>
    <row r="125">
      <c r="A125" s="12" t="n">
        <v>124</v>
      </c>
      <c r="B125" s="12" t="inlineStr">
        <is>
          <t>CFD</t>
        </is>
      </c>
      <c r="C125" s="12" t="inlineStr">
        <is>
          <t>Prop Funders</t>
        </is>
      </c>
      <c r="D125" s="12" t="inlineStr">
        <is>
          <t>2 étapes</t>
        </is>
      </c>
      <c r="E125" s="13" t="n">
        <v>100000</v>
      </c>
      <c r="F125" s="13" t="n">
        <v>579</v>
      </c>
      <c r="G125" s="14" t="n">
        <v>0.95</v>
      </c>
      <c r="H125" s="13">
        <f>E125*G125</f>
        <v/>
      </c>
      <c r="I125" s="13">
        <f>I124+E125</f>
        <v/>
      </c>
      <c r="J125" s="13">
        <f>J124+H125</f>
        <v/>
      </c>
      <c r="K125" s="13">
        <f>K124+F125</f>
        <v/>
      </c>
    </row>
    <row r="126">
      <c r="A126" s="12" t="n">
        <v>125</v>
      </c>
      <c r="B126" s="12" t="inlineStr">
        <is>
          <t>CFD</t>
        </is>
      </c>
      <c r="C126" s="12" t="inlineStr">
        <is>
          <t>Tradeify Crypto</t>
        </is>
      </c>
      <c r="D126" s="12" t="inlineStr">
        <is>
          <t>2 étapes</t>
        </is>
      </c>
      <c r="E126" s="13" t="n">
        <v>300000</v>
      </c>
      <c r="F126" s="13" t="n">
        <v>1740</v>
      </c>
      <c r="G126" s="14" t="n">
        <v>0.95</v>
      </c>
      <c r="H126" s="13">
        <f>E126*G126</f>
        <v/>
      </c>
      <c r="I126" s="13">
        <f>I125+E126</f>
        <v/>
      </c>
      <c r="J126" s="13">
        <f>J125+H126</f>
        <v/>
      </c>
      <c r="K126" s="13">
        <f>K125+F126</f>
        <v/>
      </c>
    </row>
    <row r="127">
      <c r="A127" s="12" t="n">
        <v>126</v>
      </c>
      <c r="B127" s="12" t="inlineStr">
        <is>
          <t>CFD</t>
        </is>
      </c>
      <c r="C127" s="12" t="inlineStr">
        <is>
          <t>Tradeify 247</t>
        </is>
      </c>
      <c r="D127" s="12" t="inlineStr">
        <is>
          <t>2 étapes</t>
        </is>
      </c>
      <c r="E127" s="13" t="n">
        <v>300000</v>
      </c>
      <c r="F127" s="13" t="n">
        <v>1740</v>
      </c>
      <c r="G127" s="14" t="n">
        <v>0.95</v>
      </c>
      <c r="H127" s="13">
        <f>E127*G127</f>
        <v/>
      </c>
      <c r="I127" s="13">
        <f>I126+E127</f>
        <v/>
      </c>
      <c r="J127" s="13">
        <f>J126+H127</f>
        <v/>
      </c>
      <c r="K127" s="13">
        <f>K126+F127</f>
        <v/>
      </c>
    </row>
    <row r="128">
      <c r="A128" s="12" t="n">
        <v>127</v>
      </c>
      <c r="B128" s="12" t="inlineStr">
        <is>
          <t>CFD</t>
        </is>
      </c>
      <c r="C128" s="12" t="inlineStr">
        <is>
          <t>Funded Mission</t>
        </is>
      </c>
      <c r="D128" s="12" t="inlineStr">
        <is>
          <t>2 étapes</t>
        </is>
      </c>
      <c r="E128" s="13" t="n">
        <v>1000000</v>
      </c>
      <c r="F128" s="13" t="n">
        <v>5883</v>
      </c>
      <c r="G128" s="14" t="n">
        <v>0.9</v>
      </c>
      <c r="H128" s="13">
        <f>E128*G128</f>
        <v/>
      </c>
      <c r="I128" s="13">
        <f>I127+E128</f>
        <v/>
      </c>
      <c r="J128" s="13">
        <f>J127+H128</f>
        <v/>
      </c>
      <c r="K128" s="13">
        <f>K127+F128</f>
        <v/>
      </c>
    </row>
    <row r="129">
      <c r="A129" s="12" t="n">
        <v>128</v>
      </c>
      <c r="B129" s="12" t="inlineStr">
        <is>
          <t>CFD</t>
        </is>
      </c>
      <c r="C129" s="12" t="inlineStr">
        <is>
          <t>The Upside Funding</t>
        </is>
      </c>
      <c r="D129" s="12" t="inlineStr">
        <is>
          <t>2 étapes</t>
        </is>
      </c>
      <c r="E129" s="13" t="n">
        <v>100000</v>
      </c>
      <c r="F129" s="13" t="n">
        <v>589</v>
      </c>
      <c r="G129" s="14" t="n">
        <v>0.95</v>
      </c>
      <c r="H129" s="13">
        <f>E129*G129</f>
        <v/>
      </c>
      <c r="I129" s="13">
        <f>I128+E129</f>
        <v/>
      </c>
      <c r="J129" s="13">
        <f>J128+H129</f>
        <v/>
      </c>
      <c r="K129" s="13">
        <f>K128+F129</f>
        <v/>
      </c>
    </row>
    <row r="130">
      <c r="A130" s="12" t="n">
        <v>129</v>
      </c>
      <c r="B130" s="12" t="inlineStr">
        <is>
          <t>CFD</t>
        </is>
      </c>
      <c r="C130" s="12" t="inlineStr">
        <is>
          <t>NextGen Funding</t>
        </is>
      </c>
      <c r="D130" s="12" t="inlineStr">
        <is>
          <t>2 étapes</t>
        </is>
      </c>
      <c r="E130" s="13" t="n">
        <v>200000</v>
      </c>
      <c r="F130" s="13" t="n">
        <v>1178</v>
      </c>
      <c r="G130" s="14" t="n">
        <v>0.9</v>
      </c>
      <c r="H130" s="13">
        <f>E130*G130</f>
        <v/>
      </c>
      <c r="I130" s="13">
        <f>I129+E130</f>
        <v/>
      </c>
      <c r="J130" s="13">
        <f>J129+H130</f>
        <v/>
      </c>
      <c r="K130" s="13">
        <f>K129+F130</f>
        <v/>
      </c>
    </row>
    <row r="131">
      <c r="A131" s="12" t="n">
        <v>130</v>
      </c>
      <c r="B131" s="12" t="inlineStr">
        <is>
          <t>CFD</t>
        </is>
      </c>
      <c r="C131" s="12" t="inlineStr">
        <is>
          <t>LevaFX</t>
        </is>
      </c>
      <c r="D131" s="12" t="inlineStr">
        <is>
          <t>2 étapes</t>
        </is>
      </c>
      <c r="E131" s="13" t="n">
        <v>25000</v>
      </c>
      <c r="F131" s="13" t="n">
        <v>149</v>
      </c>
      <c r="G131" s="14" t="n">
        <v>0.9</v>
      </c>
      <c r="H131" s="13">
        <f>E131*G131</f>
        <v/>
      </c>
      <c r="I131" s="13">
        <f>I130+E131</f>
        <v/>
      </c>
      <c r="J131" s="13">
        <f>J130+H131</f>
        <v/>
      </c>
      <c r="K131" s="13">
        <f>K130+F131</f>
        <v/>
      </c>
    </row>
    <row r="132">
      <c r="A132" s="12" t="n">
        <v>131</v>
      </c>
      <c r="B132" s="12" t="inlineStr">
        <is>
          <t>CFD</t>
        </is>
      </c>
      <c r="C132" s="12" t="inlineStr">
        <is>
          <t>Eightcap Challenges</t>
        </is>
      </c>
      <c r="D132" s="12" t="inlineStr">
        <is>
          <t>2 étapes</t>
        </is>
      </c>
      <c r="E132" s="13" t="n">
        <v>600000</v>
      </c>
      <c r="F132" s="13" t="n">
        <v>3594</v>
      </c>
      <c r="G132" s="14" t="n">
        <v>1</v>
      </c>
      <c r="H132" s="13">
        <f>E132*G132</f>
        <v/>
      </c>
      <c r="I132" s="13">
        <f>I131+E132</f>
        <v/>
      </c>
      <c r="J132" s="13">
        <f>J131+H132</f>
        <v/>
      </c>
      <c r="K132" s="13">
        <f>K131+F132</f>
        <v/>
      </c>
    </row>
    <row r="133">
      <c r="A133" s="12" t="n">
        <v>132</v>
      </c>
      <c r="B133" s="12" t="inlineStr">
        <is>
          <t>CFD</t>
        </is>
      </c>
      <c r="C133" s="12" t="inlineStr">
        <is>
          <t>PropFunding</t>
        </is>
      </c>
      <c r="D133" s="12" t="inlineStr">
        <is>
          <t>2 étapes</t>
        </is>
      </c>
      <c r="E133" s="13" t="n">
        <v>25000</v>
      </c>
      <c r="F133" s="13" t="n">
        <v>150</v>
      </c>
      <c r="G133" s="14" t="n">
        <v>0.8</v>
      </c>
      <c r="H133" s="13">
        <f>E133*G133</f>
        <v/>
      </c>
      <c r="I133" s="13">
        <f>I132+E133</f>
        <v/>
      </c>
      <c r="J133" s="13">
        <f>J132+H133</f>
        <v/>
      </c>
      <c r="K133" s="13">
        <f>K132+F133</f>
        <v/>
      </c>
    </row>
    <row r="134">
      <c r="A134" s="12" t="n">
        <v>133</v>
      </c>
      <c r="B134" s="12" t="inlineStr">
        <is>
          <t>CFD</t>
        </is>
      </c>
      <c r="C134" s="12" t="inlineStr">
        <is>
          <t>Tradexprop</t>
        </is>
      </c>
      <c r="D134" s="12" t="inlineStr">
        <is>
          <t>2 étapes</t>
        </is>
      </c>
      <c r="E134" s="13" t="n">
        <v>1000000</v>
      </c>
      <c r="F134" s="13" t="n">
        <v>6150</v>
      </c>
      <c r="G134" s="14" t="n">
        <v>0.9</v>
      </c>
      <c r="H134" s="13">
        <f>E134*G134</f>
        <v/>
      </c>
      <c r="I134" s="13">
        <f>I133+E134</f>
        <v/>
      </c>
      <c r="J134" s="13">
        <f>J133+H134</f>
        <v/>
      </c>
      <c r="K134" s="13">
        <f>K133+F134</f>
        <v/>
      </c>
    </row>
    <row r="135">
      <c r="A135" s="12" t="n">
        <v>134</v>
      </c>
      <c r="B135" s="12" t="inlineStr">
        <is>
          <t>CFD</t>
        </is>
      </c>
      <c r="C135" s="12" t="inlineStr">
        <is>
          <t>Crypto Fund Trader</t>
        </is>
      </c>
      <c r="D135" s="12" t="inlineStr">
        <is>
          <t>2 étapes</t>
        </is>
      </c>
      <c r="E135" s="13" t="n">
        <v>200000</v>
      </c>
      <c r="F135" s="13" t="n">
        <v>1250</v>
      </c>
      <c r="G135" s="14" t="n">
        <v>0.8</v>
      </c>
      <c r="H135" s="13">
        <f>E135*G135</f>
        <v/>
      </c>
      <c r="I135" s="13">
        <f>I134+E135</f>
        <v/>
      </c>
      <c r="J135" s="13">
        <f>J134+H135</f>
        <v/>
      </c>
      <c r="K135" s="13">
        <f>K134+F135</f>
        <v/>
      </c>
    </row>
    <row r="136">
      <c r="A136" s="12" t="n">
        <v>135</v>
      </c>
      <c r="B136" s="12" t="inlineStr">
        <is>
          <t>CFD</t>
        </is>
      </c>
      <c r="C136" s="12" t="inlineStr">
        <is>
          <t>Myfundedcapital</t>
        </is>
      </c>
      <c r="D136" s="12" t="inlineStr">
        <is>
          <t>2 étapes</t>
        </is>
      </c>
      <c r="E136" s="13" t="n">
        <v>300000</v>
      </c>
      <c r="F136" s="13" t="n">
        <v>1905</v>
      </c>
      <c r="G136" s="14" t="n">
        <v>1</v>
      </c>
      <c r="H136" s="13">
        <f>E136*G136</f>
        <v/>
      </c>
      <c r="I136" s="13">
        <f>I135+E136</f>
        <v/>
      </c>
      <c r="J136" s="13">
        <f>J135+H136</f>
        <v/>
      </c>
      <c r="K136" s="13">
        <f>K135+F136</f>
        <v/>
      </c>
    </row>
    <row r="137">
      <c r="A137" s="12" t="n">
        <v>136</v>
      </c>
      <c r="B137" s="12" t="inlineStr">
        <is>
          <t>CFD</t>
        </is>
      </c>
      <c r="C137" s="12" t="inlineStr">
        <is>
          <t>Key to Prop</t>
        </is>
      </c>
      <c r="D137" s="12" t="inlineStr">
        <is>
          <t>2 étapes</t>
        </is>
      </c>
      <c r="E137" s="13" t="n">
        <v>100000</v>
      </c>
      <c r="F137" s="13" t="n">
        <v>650</v>
      </c>
      <c r="G137" s="14" t="n">
        <v>1</v>
      </c>
      <c r="H137" s="13">
        <f>E137*G137</f>
        <v/>
      </c>
      <c r="I137" s="13">
        <f>I136+E137</f>
        <v/>
      </c>
      <c r="J137" s="13">
        <f>J136+H137</f>
        <v/>
      </c>
      <c r="K137" s="13">
        <f>K136+F137</f>
        <v/>
      </c>
    </row>
    <row r="138">
      <c r="A138" s="12" t="n">
        <v>137</v>
      </c>
      <c r="B138" s="12" t="inlineStr">
        <is>
          <t>CFD</t>
        </is>
      </c>
      <c r="C138" s="12" t="inlineStr">
        <is>
          <t>Hyper Funding</t>
        </is>
      </c>
      <c r="D138" s="12" t="inlineStr">
        <is>
          <t>2 étapes</t>
        </is>
      </c>
      <c r="E138" s="13" t="n">
        <v>1000000</v>
      </c>
      <c r="F138" s="13" t="n">
        <v>6803</v>
      </c>
      <c r="G138" s="14" t="n">
        <v>0.9</v>
      </c>
      <c r="H138" s="13">
        <f>E138*G138</f>
        <v/>
      </c>
      <c r="I138" s="13">
        <f>I137+E138</f>
        <v/>
      </c>
      <c r="J138" s="13">
        <f>J137+H138</f>
        <v/>
      </c>
      <c r="K138" s="13">
        <f>K137+F138</f>
        <v/>
      </c>
    </row>
    <row r="139">
      <c r="A139" s="12" t="n">
        <v>138</v>
      </c>
      <c r="B139" s="12" t="inlineStr">
        <is>
          <t>CFD</t>
        </is>
      </c>
      <c r="C139" s="12" t="inlineStr">
        <is>
          <t>Texaris</t>
        </is>
      </c>
      <c r="D139" s="12" t="inlineStr">
        <is>
          <t>2 étapes</t>
        </is>
      </c>
      <c r="E139" s="13" t="n">
        <v>400000</v>
      </c>
      <c r="F139" s="13" t="n">
        <v>2796</v>
      </c>
      <c r="G139" s="14" t="n">
        <v>0.8</v>
      </c>
      <c r="H139" s="13">
        <f>E139*G139</f>
        <v/>
      </c>
      <c r="I139" s="13">
        <f>I138+E139</f>
        <v/>
      </c>
      <c r="J139" s="13">
        <f>J138+H139</f>
        <v/>
      </c>
      <c r="K139" s="13">
        <f>K138+F139</f>
        <v/>
      </c>
    </row>
    <row r="140">
      <c r="A140" s="12" t="n">
        <v>139</v>
      </c>
      <c r="B140" s="12" t="inlineStr">
        <is>
          <t>CFD</t>
        </is>
      </c>
      <c r="C140" s="12" t="inlineStr">
        <is>
          <t>Upcomers</t>
        </is>
      </c>
      <c r="D140" s="12" t="inlineStr">
        <is>
          <t>2 étapes</t>
        </is>
      </c>
      <c r="E140" s="13" t="n">
        <v>4000000</v>
      </c>
      <c r="F140" s="13" t="n">
        <v>30795</v>
      </c>
      <c r="G140" s="14" t="n">
        <v>1</v>
      </c>
      <c r="H140" s="13">
        <f>E140*G140</f>
        <v/>
      </c>
      <c r="I140" s="13">
        <f>I139+E140</f>
        <v/>
      </c>
      <c r="J140" s="13">
        <f>J139+H140</f>
        <v/>
      </c>
      <c r="K140" s="13">
        <f>K139+F140</f>
        <v/>
      </c>
    </row>
    <row r="141">
      <c r="A141" s="12" t="n">
        <v>140</v>
      </c>
      <c r="B141" s="12" t="inlineStr">
        <is>
          <t>CFD</t>
        </is>
      </c>
      <c r="C141" s="12" t="inlineStr">
        <is>
          <t>Nova Funded</t>
        </is>
      </c>
      <c r="D141" s="12" t="inlineStr">
        <is>
          <t>2 étapes</t>
        </is>
      </c>
      <c r="E141" s="13" t="n">
        <v>1000000</v>
      </c>
      <c r="F141" s="13" t="n">
        <v>7920</v>
      </c>
      <c r="G141" s="14" t="n">
        <v>0.9</v>
      </c>
      <c r="H141" s="13">
        <f>E141*G141</f>
        <v/>
      </c>
      <c r="I141" s="13">
        <f>I140+E141</f>
        <v/>
      </c>
      <c r="J141" s="13">
        <f>J140+H141</f>
        <v/>
      </c>
      <c r="K141" s="13">
        <f>K140+F141</f>
        <v/>
      </c>
    </row>
    <row r="142">
      <c r="A142" s="12" t="n">
        <v>141</v>
      </c>
      <c r="B142" s="12" t="inlineStr">
        <is>
          <t>CFD</t>
        </is>
      </c>
      <c r="C142" s="12" t="inlineStr">
        <is>
          <t>Finotive Funding</t>
        </is>
      </c>
      <c r="D142" s="12" t="inlineStr">
        <is>
          <t>2 étapes</t>
        </is>
      </c>
      <c r="E142" s="13" t="n">
        <v>1400000</v>
      </c>
      <c r="F142" s="13" t="n">
        <v>11200</v>
      </c>
      <c r="G142" s="14" t="n">
        <v>1</v>
      </c>
      <c r="H142" s="13">
        <f>E142*G142</f>
        <v/>
      </c>
      <c r="I142" s="13">
        <f>I141+E142</f>
        <v/>
      </c>
      <c r="J142" s="13">
        <f>J141+H142</f>
        <v/>
      </c>
      <c r="K142" s="13">
        <f>K141+F142</f>
        <v/>
      </c>
    </row>
    <row r="143">
      <c r="A143" s="12" t="n">
        <v>142</v>
      </c>
      <c r="B143" s="12" t="inlineStr">
        <is>
          <t>CFD</t>
        </is>
      </c>
      <c r="C143" s="12" t="inlineStr">
        <is>
          <t>Thetradercapital</t>
        </is>
      </c>
      <c r="D143" s="12" t="inlineStr">
        <is>
          <t>2 étapes</t>
        </is>
      </c>
      <c r="E143" s="13" t="n">
        <v>3000</v>
      </c>
      <c r="F143" s="13" t="n">
        <v>55</v>
      </c>
      <c r="G143" s="14" t="n">
        <v>0.95</v>
      </c>
      <c r="H143" s="13">
        <f>E143*G143</f>
        <v/>
      </c>
      <c r="I143" s="13">
        <f>I142+E143</f>
        <v/>
      </c>
      <c r="J143" s="13">
        <f>J142+H143</f>
        <v/>
      </c>
      <c r="K143" s="13">
        <f>K142+F143</f>
        <v/>
      </c>
    </row>
    <row r="144">
      <c r="A144" s="12" t="n">
        <v>143</v>
      </c>
      <c r="B144" s="12" t="inlineStr">
        <is>
          <t>CFD</t>
        </is>
      </c>
      <c r="C144" s="12" t="inlineStr">
        <is>
          <t>NairaFunded</t>
        </is>
      </c>
      <c r="D144" s="12" t="inlineStr">
        <is>
          <t>2 étapes</t>
        </is>
      </c>
      <c r="E144" s="13" t="n">
        <v>1500000</v>
      </c>
      <c r="F144" s="13" t="n">
        <v>58000</v>
      </c>
      <c r="G144" s="14" t="n">
        <v>0.5</v>
      </c>
      <c r="H144" s="13">
        <f>E144*G144</f>
        <v/>
      </c>
      <c r="I144" s="13">
        <f>I143+E144</f>
        <v/>
      </c>
      <c r="J144" s="13">
        <f>J143+H144</f>
        <v/>
      </c>
      <c r="K144" s="13">
        <f>K143+F144</f>
        <v/>
      </c>
    </row>
    <row r="145">
      <c r="A145" s="12" t="n">
        <v>144</v>
      </c>
      <c r="B145" s="12" t="inlineStr">
        <is>
          <t>CFD</t>
        </is>
      </c>
      <c r="C145" s="12" t="inlineStr">
        <is>
          <t>NairaProp</t>
        </is>
      </c>
      <c r="D145" s="12" t="inlineStr">
        <is>
          <t>2 étapes</t>
        </is>
      </c>
      <c r="E145" s="13" t="n">
        <v>3000000</v>
      </c>
      <c r="F145" s="13" t="n">
        <v>135000</v>
      </c>
      <c r="G145" s="14" t="n">
        <v>0.95</v>
      </c>
      <c r="H145" s="13">
        <f>E145*G145</f>
        <v/>
      </c>
      <c r="I145" s="13">
        <f>I144+E145</f>
        <v/>
      </c>
      <c r="J145" s="13">
        <f>J144+H145</f>
        <v/>
      </c>
      <c r="K145" s="13">
        <f>K144+F145</f>
        <v/>
      </c>
    </row>
    <row r="146">
      <c r="A146" s="12" t="n">
        <v>145</v>
      </c>
      <c r="B146" s="12" t="inlineStr">
        <is>
          <t>CFD</t>
        </is>
      </c>
      <c r="C146" s="12" t="inlineStr">
        <is>
          <t>The Concept Trading</t>
        </is>
      </c>
      <c r="D146" s="12" t="inlineStr">
        <is>
          <t>2 étapes</t>
        </is>
      </c>
      <c r="E146" s="13" t="n">
        <v>300000</v>
      </c>
      <c r="F146" s="13" t="n">
        <v>15000</v>
      </c>
      <c r="G146" s="14" t="n">
        <v>0.9</v>
      </c>
      <c r="H146" s="13">
        <f>E146*G146</f>
        <v/>
      </c>
      <c r="I146" s="13">
        <f>I145+E146</f>
        <v/>
      </c>
      <c r="J146" s="13">
        <f>J145+H146</f>
        <v/>
      </c>
      <c r="K146" s="13">
        <f>K145+F146</f>
        <v/>
      </c>
    </row>
    <row r="147">
      <c r="A147" s="12" t="n">
        <v>146</v>
      </c>
      <c r="B147" s="12" t="inlineStr">
        <is>
          <t>CFD</t>
        </is>
      </c>
      <c r="C147" s="12" t="inlineStr">
        <is>
          <t>The5ers</t>
        </is>
      </c>
      <c r="D147" s="12" t="inlineStr">
        <is>
          <t>3 étapes</t>
        </is>
      </c>
      <c r="E147" s="13" t="n">
        <v>120000</v>
      </c>
      <c r="F147" s="13" t="n">
        <v>117</v>
      </c>
      <c r="G147" s="14" t="n">
        <v>1</v>
      </c>
      <c r="H147" s="13">
        <f>E147*G147</f>
        <v/>
      </c>
      <c r="I147" s="13">
        <f>I146+E147</f>
        <v/>
      </c>
      <c r="J147" s="13">
        <f>J146+H147</f>
        <v/>
      </c>
      <c r="K147" s="13">
        <f>K146+F147</f>
        <v/>
      </c>
    </row>
    <row r="148">
      <c r="A148" s="12" t="n">
        <v>147</v>
      </c>
      <c r="B148" s="12" t="inlineStr">
        <is>
          <t>CFD</t>
        </is>
      </c>
      <c r="C148" s="12" t="inlineStr">
        <is>
          <t>The5ers Crypto</t>
        </is>
      </c>
      <c r="D148" s="12" t="inlineStr">
        <is>
          <t>3 étapes</t>
        </is>
      </c>
      <c r="E148" s="13" t="n">
        <v>120000</v>
      </c>
      <c r="F148" s="13" t="n">
        <v>117</v>
      </c>
      <c r="G148" s="14" t="n">
        <v>1</v>
      </c>
      <c r="H148" s="13">
        <f>E148*G148</f>
        <v/>
      </c>
      <c r="I148" s="13">
        <f>I147+E148</f>
        <v/>
      </c>
      <c r="J148" s="13">
        <f>J147+H148</f>
        <v/>
      </c>
      <c r="K148" s="13">
        <f>K147+F148</f>
        <v/>
      </c>
    </row>
    <row r="149">
      <c r="A149" s="12" t="n">
        <v>148</v>
      </c>
      <c r="B149" s="12" t="inlineStr">
        <is>
          <t>CFD</t>
        </is>
      </c>
      <c r="C149" s="12" t="inlineStr">
        <is>
          <t>Htrader</t>
        </is>
      </c>
      <c r="D149" s="12" t="inlineStr">
        <is>
          <t>3 étapes</t>
        </is>
      </c>
      <c r="E149" s="13" t="n">
        <v>300000</v>
      </c>
      <c r="F149" s="13" t="n">
        <v>798</v>
      </c>
      <c r="G149" s="14" t="n">
        <v>0.95</v>
      </c>
      <c r="H149" s="13">
        <f>E149*G149</f>
        <v/>
      </c>
      <c r="I149" s="13">
        <f>I148+E149</f>
        <v/>
      </c>
      <c r="J149" s="13">
        <f>J148+H149</f>
        <v/>
      </c>
      <c r="K149" s="13">
        <f>K148+F149</f>
        <v/>
      </c>
    </row>
    <row r="150">
      <c r="A150" s="12" t="n">
        <v>149</v>
      </c>
      <c r="B150" s="12" t="inlineStr">
        <is>
          <t>CFD</t>
        </is>
      </c>
      <c r="C150" s="12" t="inlineStr">
        <is>
          <t>Atlas Funded</t>
        </is>
      </c>
      <c r="D150" s="12" t="inlineStr">
        <is>
          <t>3 étapes</t>
        </is>
      </c>
      <c r="E150" s="13" t="n">
        <v>400000</v>
      </c>
      <c r="F150" s="13" t="n">
        <v>1182</v>
      </c>
      <c r="G150" s="14" t="n">
        <v>1</v>
      </c>
      <c r="H150" s="13">
        <f>E150*G150</f>
        <v/>
      </c>
      <c r="I150" s="13">
        <f>I149+E150</f>
        <v/>
      </c>
      <c r="J150" s="13">
        <f>J149+H150</f>
        <v/>
      </c>
      <c r="K150" s="13">
        <f>K149+F150</f>
        <v/>
      </c>
    </row>
    <row r="151">
      <c r="A151" s="12" t="n">
        <v>150</v>
      </c>
      <c r="B151" s="12" t="inlineStr">
        <is>
          <t>CFD</t>
        </is>
      </c>
      <c r="C151" s="12" t="inlineStr">
        <is>
          <t>Get Leveraged</t>
        </is>
      </c>
      <c r="D151" s="12" t="inlineStr">
        <is>
          <t>3 étapes</t>
        </is>
      </c>
      <c r="E151" s="13" t="n">
        <v>1000000</v>
      </c>
      <c r="F151" s="13" t="n">
        <v>2996</v>
      </c>
      <c r="G151" s="14" t="n">
        <v>0.8</v>
      </c>
      <c r="H151" s="13">
        <f>E151*G151</f>
        <v/>
      </c>
      <c r="I151" s="13">
        <f>I150+E151</f>
        <v/>
      </c>
      <c r="J151" s="13">
        <f>J150+H151</f>
        <v/>
      </c>
      <c r="K151" s="13">
        <f>K150+F151</f>
        <v/>
      </c>
    </row>
    <row r="152">
      <c r="A152" s="12" t="n">
        <v>151</v>
      </c>
      <c r="B152" s="12" t="inlineStr">
        <is>
          <t>CFD</t>
        </is>
      </c>
      <c r="C152" s="12" t="inlineStr">
        <is>
          <t>Leveraged</t>
        </is>
      </c>
      <c r="D152" s="12" t="inlineStr">
        <is>
          <t>3 étapes</t>
        </is>
      </c>
      <c r="E152" s="13" t="n">
        <v>1000000</v>
      </c>
      <c r="F152" s="13" t="n">
        <v>2996</v>
      </c>
      <c r="G152" s="14" t="n">
        <v>0.8</v>
      </c>
      <c r="H152" s="13">
        <f>E152*G152</f>
        <v/>
      </c>
      <c r="I152" s="13">
        <f>I151+E152</f>
        <v/>
      </c>
      <c r="J152" s="13">
        <f>J151+H152</f>
        <v/>
      </c>
      <c r="K152" s="13">
        <f>K151+F152</f>
        <v/>
      </c>
    </row>
    <row r="153">
      <c r="A153" s="12" t="n">
        <v>152</v>
      </c>
      <c r="B153" s="12" t="inlineStr">
        <is>
          <t>CFD</t>
        </is>
      </c>
      <c r="C153" s="12" t="inlineStr">
        <is>
          <t>AquaFunded</t>
        </is>
      </c>
      <c r="D153" s="12" t="inlineStr">
        <is>
          <t>3 étapes</t>
        </is>
      </c>
      <c r="E153" s="13" t="n">
        <v>400000</v>
      </c>
      <c r="F153" s="13" t="n">
        <v>1354</v>
      </c>
      <c r="G153" s="14" t="n">
        <v>1</v>
      </c>
      <c r="H153" s="13">
        <f>E153*G153</f>
        <v/>
      </c>
      <c r="I153" s="13">
        <f>I152+E153</f>
        <v/>
      </c>
      <c r="J153" s="13">
        <f>J152+H153</f>
        <v/>
      </c>
      <c r="K153" s="13">
        <f>K152+F153</f>
        <v/>
      </c>
    </row>
    <row r="154">
      <c r="A154" s="12" t="n">
        <v>153</v>
      </c>
      <c r="B154" s="12" t="inlineStr">
        <is>
          <t>CFD</t>
        </is>
      </c>
      <c r="C154" s="12" t="inlineStr">
        <is>
          <t>Lark Funding</t>
        </is>
      </c>
      <c r="D154" s="12" t="inlineStr">
        <is>
          <t>3 étapes</t>
        </is>
      </c>
      <c r="E154" s="13" t="n">
        <v>400000</v>
      </c>
      <c r="F154" s="13" t="n">
        <v>1400</v>
      </c>
      <c r="G154" s="14" t="n">
        <v>0.9</v>
      </c>
      <c r="H154" s="13">
        <f>E154*G154</f>
        <v/>
      </c>
      <c r="I154" s="13">
        <f>I153+E154</f>
        <v/>
      </c>
      <c r="J154" s="13">
        <f>J153+H154</f>
        <v/>
      </c>
      <c r="K154" s="13">
        <f>K153+F154</f>
        <v/>
      </c>
    </row>
    <row r="155">
      <c r="A155" s="12" t="n">
        <v>154</v>
      </c>
      <c r="B155" s="12" t="inlineStr">
        <is>
          <t>CFD</t>
        </is>
      </c>
      <c r="C155" s="12" t="inlineStr">
        <is>
          <t>Blink Funding</t>
        </is>
      </c>
      <c r="D155" s="12" t="inlineStr">
        <is>
          <t>3 étapes</t>
        </is>
      </c>
      <c r="E155" s="13" t="n">
        <v>500000</v>
      </c>
      <c r="F155" s="13" t="n">
        <v>1800</v>
      </c>
      <c r="G155" s="14" t="n">
        <v>0.9</v>
      </c>
      <c r="H155" s="13">
        <f>E155*G155</f>
        <v/>
      </c>
      <c r="I155" s="13">
        <f>I154+E155</f>
        <v/>
      </c>
      <c r="J155" s="13">
        <f>J154+H155</f>
        <v/>
      </c>
      <c r="K155" s="13">
        <f>K154+F155</f>
        <v/>
      </c>
    </row>
    <row r="156">
      <c r="A156" s="12" t="n">
        <v>155</v>
      </c>
      <c r="B156" s="12" t="inlineStr">
        <is>
          <t>CFD</t>
        </is>
      </c>
      <c r="C156" s="12" t="inlineStr">
        <is>
          <t>Orion Funded</t>
        </is>
      </c>
      <c r="D156" s="12" t="inlineStr">
        <is>
          <t>3 étapes</t>
        </is>
      </c>
      <c r="E156" s="13" t="n">
        <v>400000</v>
      </c>
      <c r="F156" s="13" t="n">
        <v>1478</v>
      </c>
      <c r="G156" s="14" t="n">
        <v>0.9</v>
      </c>
      <c r="H156" s="13">
        <f>E156*G156</f>
        <v/>
      </c>
      <c r="I156" s="13">
        <f>I155+E156</f>
        <v/>
      </c>
      <c r="J156" s="13">
        <f>J155+H156</f>
        <v/>
      </c>
      <c r="K156" s="13">
        <f>K155+F156</f>
        <v/>
      </c>
    </row>
    <row r="157">
      <c r="A157" s="12" t="n">
        <v>156</v>
      </c>
      <c r="B157" s="12" t="inlineStr">
        <is>
          <t>CFD</t>
        </is>
      </c>
      <c r="C157" s="12" t="inlineStr">
        <is>
          <t>Monevis</t>
        </is>
      </c>
      <c r="D157" s="12" t="inlineStr">
        <is>
          <t>3 étapes</t>
        </is>
      </c>
      <c r="E157" s="13" t="n">
        <v>200000</v>
      </c>
      <c r="F157" s="13" t="n">
        <v>770</v>
      </c>
      <c r="G157" s="14" t="n">
        <v>0.9</v>
      </c>
      <c r="H157" s="13">
        <f>E157*G157</f>
        <v/>
      </c>
      <c r="I157" s="13">
        <f>I156+E157</f>
        <v/>
      </c>
      <c r="J157" s="13">
        <f>J156+H157</f>
        <v/>
      </c>
      <c r="K157" s="13">
        <f>K156+F157</f>
        <v/>
      </c>
    </row>
    <row r="158">
      <c r="A158" s="12" t="n">
        <v>157</v>
      </c>
      <c r="B158" s="12" t="inlineStr">
        <is>
          <t>CFD</t>
        </is>
      </c>
      <c r="C158" s="12" t="inlineStr">
        <is>
          <t>Turbo Trade Fund</t>
        </is>
      </c>
      <c r="D158" s="12" t="inlineStr">
        <is>
          <t>3 étapes</t>
        </is>
      </c>
      <c r="E158" s="13" t="n">
        <v>200000</v>
      </c>
      <c r="F158" s="13" t="n">
        <v>799</v>
      </c>
      <c r="G158" s="14" t="n">
        <v>0.8</v>
      </c>
      <c r="H158" s="13">
        <f>E158*G158</f>
        <v/>
      </c>
      <c r="I158" s="13">
        <f>I157+E158</f>
        <v/>
      </c>
      <c r="J158" s="13">
        <f>J157+H158</f>
        <v/>
      </c>
      <c r="K158" s="13">
        <f>K157+F158</f>
        <v/>
      </c>
    </row>
    <row r="159">
      <c r="A159" s="12" t="n">
        <v>158</v>
      </c>
      <c r="B159" s="12" t="inlineStr">
        <is>
          <t>CFD</t>
        </is>
      </c>
      <c r="C159" s="12" t="inlineStr">
        <is>
          <t>Get Crypto Funded</t>
        </is>
      </c>
      <c r="D159" s="12" t="inlineStr">
        <is>
          <t>3 étapes</t>
        </is>
      </c>
      <c r="E159" s="13" t="n">
        <v>400000</v>
      </c>
      <c r="F159" s="13" t="n">
        <v>1648</v>
      </c>
      <c r="G159" s="14" t="n">
        <v>0.95</v>
      </c>
      <c r="H159" s="13">
        <f>E159*G159</f>
        <v/>
      </c>
      <c r="I159" s="13">
        <f>I158+E159</f>
        <v/>
      </c>
      <c r="J159" s="13">
        <f>J158+H159</f>
        <v/>
      </c>
      <c r="K159" s="13">
        <f>K158+F159</f>
        <v/>
      </c>
    </row>
    <row r="160">
      <c r="A160" s="12" t="n">
        <v>159</v>
      </c>
      <c r="B160" s="12" t="inlineStr">
        <is>
          <t>CFD</t>
        </is>
      </c>
      <c r="C160" s="12" t="inlineStr">
        <is>
          <t>Fintokei</t>
        </is>
      </c>
      <c r="D160" s="12" t="inlineStr">
        <is>
          <t>3 étapes</t>
        </is>
      </c>
      <c r="E160" s="13" t="n">
        <v>700000</v>
      </c>
      <c r="F160" s="13" t="n">
        <v>2933</v>
      </c>
      <c r="G160" s="14" t="n">
        <v>1</v>
      </c>
      <c r="H160" s="13">
        <f>E160*G160</f>
        <v/>
      </c>
      <c r="I160" s="13">
        <f>I159+E160</f>
        <v/>
      </c>
      <c r="J160" s="13">
        <f>J159+H160</f>
        <v/>
      </c>
      <c r="K160" s="13">
        <f>K159+F160</f>
        <v/>
      </c>
    </row>
    <row r="161">
      <c r="A161" s="12" t="n">
        <v>160</v>
      </c>
      <c r="B161" s="12" t="inlineStr">
        <is>
          <t>CFD</t>
        </is>
      </c>
      <c r="C161" s="12" t="inlineStr">
        <is>
          <t>BestProp4U</t>
        </is>
      </c>
      <c r="D161" s="12" t="inlineStr">
        <is>
          <t>4 étapes+</t>
        </is>
      </c>
      <c r="E161" s="13" t="n">
        <v>1000000</v>
      </c>
      <c r="F161" s="13" t="n">
        <v>4500</v>
      </c>
      <c r="G161" s="14" t="n">
        <v>0.9</v>
      </c>
      <c r="H161" s="13">
        <f>E161*G161</f>
        <v/>
      </c>
      <c r="I161" s="13">
        <f>I160+E161</f>
        <v/>
      </c>
      <c r="J161" s="13">
        <f>J160+H161</f>
        <v/>
      </c>
      <c r="K161" s="13">
        <f>K160+F161</f>
        <v/>
      </c>
    </row>
    <row r="162">
      <c r="A162" s="12" t="n">
        <v>161</v>
      </c>
      <c r="B162" s="12" t="inlineStr">
        <is>
          <t>Futures</t>
        </is>
      </c>
      <c r="C162" s="12" t="inlineStr">
        <is>
          <t>PropEd Capital</t>
        </is>
      </c>
      <c r="D162" s="12" t="inlineStr">
        <is>
          <t>Instant</t>
        </is>
      </c>
      <c r="E162" s="13" t="n">
        <v>600000</v>
      </c>
      <c r="F162" s="13" t="n">
        <v>5196</v>
      </c>
      <c r="G162" s="14" t="n">
        <v>0.9</v>
      </c>
      <c r="H162" s="13">
        <f>E162*G162</f>
        <v/>
      </c>
      <c r="I162" s="13">
        <f>I161+E162</f>
        <v/>
      </c>
      <c r="J162" s="13">
        <f>J161+H162</f>
        <v/>
      </c>
      <c r="K162" s="13">
        <f>K161+F162</f>
        <v/>
      </c>
    </row>
    <row r="163">
      <c r="A163" s="12" t="n">
        <v>162</v>
      </c>
      <c r="B163" s="12" t="inlineStr">
        <is>
          <t>Futures</t>
        </is>
      </c>
      <c r="C163" s="12" t="inlineStr">
        <is>
          <t>BluSky Trading Co</t>
        </is>
      </c>
      <c r="D163" s="12" t="inlineStr">
        <is>
          <t>1 étape</t>
        </is>
      </c>
      <c r="E163" s="13" t="n">
        <v>900000</v>
      </c>
      <c r="F163" s="13" t="n">
        <v>672</v>
      </c>
      <c r="G163" s="14" t="n">
        <v>0.9</v>
      </c>
      <c r="H163" s="13">
        <f>E163*G163</f>
        <v/>
      </c>
      <c r="I163" s="13">
        <f>I162+E163</f>
        <v/>
      </c>
      <c r="J163" s="13">
        <f>J162+H163</f>
        <v/>
      </c>
      <c r="K163" s="13">
        <f>K162+F163</f>
        <v/>
      </c>
    </row>
    <row r="164">
      <c r="A164" s="12" t="n">
        <v>163</v>
      </c>
      <c r="B164" s="12" t="inlineStr">
        <is>
          <t>Futures</t>
        </is>
      </c>
      <c r="C164" s="12" t="inlineStr">
        <is>
          <t>BluSky</t>
        </is>
      </c>
      <c r="D164" s="12" t="inlineStr">
        <is>
          <t>1 étape</t>
        </is>
      </c>
      <c r="E164" s="13" t="n">
        <v>900000</v>
      </c>
      <c r="F164" s="13" t="n">
        <v>672</v>
      </c>
      <c r="G164" s="14" t="n">
        <v>0.8</v>
      </c>
      <c r="H164" s="13">
        <f>E164*G164</f>
        <v/>
      </c>
      <c r="I164" s="13">
        <f>I163+E164</f>
        <v/>
      </c>
      <c r="J164" s="13">
        <f>J163+H164</f>
        <v/>
      </c>
      <c r="K164" s="13">
        <f>K163+F164</f>
        <v/>
      </c>
    </row>
    <row r="165">
      <c r="A165" s="12" t="n">
        <v>164</v>
      </c>
      <c r="B165" s="12" t="inlineStr">
        <is>
          <t>Futures</t>
        </is>
      </c>
      <c r="C165" s="12" t="inlineStr">
        <is>
          <t>Zenit Funding</t>
        </is>
      </c>
      <c r="D165" s="12" t="inlineStr">
        <is>
          <t>1 étape</t>
        </is>
      </c>
      <c r="E165" s="13" t="n">
        <v>150000</v>
      </c>
      <c r="F165" s="13" t="n">
        <v>147</v>
      </c>
      <c r="G165" s="14" t="n">
        <v>0.9</v>
      </c>
      <c r="H165" s="13">
        <f>E165*G165</f>
        <v/>
      </c>
      <c r="I165" s="13">
        <f>I164+E165</f>
        <v/>
      </c>
      <c r="J165" s="13">
        <f>J164+H165</f>
        <v/>
      </c>
      <c r="K165" s="13">
        <f>K164+F165</f>
        <v/>
      </c>
    </row>
    <row r="166">
      <c r="A166" s="12" t="n">
        <v>165</v>
      </c>
      <c r="B166" s="12" t="inlineStr">
        <is>
          <t>Futures</t>
        </is>
      </c>
      <c r="C166" s="12" t="inlineStr">
        <is>
          <t>Tradeify Futures</t>
        </is>
      </c>
      <c r="D166" s="12" t="inlineStr">
        <is>
          <t>1 étape</t>
        </is>
      </c>
      <c r="E166" s="13" t="n">
        <v>1650000</v>
      </c>
      <c r="F166" s="13" t="n">
        <v>2114</v>
      </c>
      <c r="G166" s="14" t="n">
        <v>0.9</v>
      </c>
      <c r="H166" s="13">
        <f>E166*G166</f>
        <v/>
      </c>
      <c r="I166" s="13">
        <f>I165+E166</f>
        <v/>
      </c>
      <c r="J166" s="13">
        <f>J165+H166</f>
        <v/>
      </c>
      <c r="K166" s="13">
        <f>K165+F166</f>
        <v/>
      </c>
    </row>
    <row r="167">
      <c r="A167" s="12" t="n">
        <v>166</v>
      </c>
      <c r="B167" s="12" t="inlineStr">
        <is>
          <t>Futures</t>
        </is>
      </c>
      <c r="C167" s="12" t="inlineStr">
        <is>
          <t>Tradeify</t>
        </is>
      </c>
      <c r="D167" s="12" t="inlineStr">
        <is>
          <t>1 étape</t>
        </is>
      </c>
      <c r="E167" s="13" t="n">
        <v>1650000</v>
      </c>
      <c r="F167" s="13" t="n">
        <v>2114</v>
      </c>
      <c r="G167" s="14" t="n">
        <v>0.9</v>
      </c>
      <c r="H167" s="13">
        <f>E167*G167</f>
        <v/>
      </c>
      <c r="I167" s="13">
        <f>I166+E167</f>
        <v/>
      </c>
      <c r="J167" s="13">
        <f>J166+H167</f>
        <v/>
      </c>
      <c r="K167" s="13">
        <f>K166+F167</f>
        <v/>
      </c>
    </row>
    <row r="168">
      <c r="A168" s="12" t="n">
        <v>167</v>
      </c>
      <c r="B168" s="12" t="inlineStr">
        <is>
          <t>Futures</t>
        </is>
      </c>
      <c r="C168" s="12" t="inlineStr">
        <is>
          <t>PitBullTraders</t>
        </is>
      </c>
      <c r="D168" s="12" t="inlineStr">
        <is>
          <t>1 étape</t>
        </is>
      </c>
      <c r="E168" s="13" t="n">
        <v>300000</v>
      </c>
      <c r="F168" s="13" t="n">
        <v>398</v>
      </c>
      <c r="G168" s="14" t="n">
        <v>0.9</v>
      </c>
      <c r="H168" s="13">
        <f>E168*G168</f>
        <v/>
      </c>
      <c r="I168" s="13">
        <f>I167+E168</f>
        <v/>
      </c>
      <c r="J168" s="13">
        <f>J167+H168</f>
        <v/>
      </c>
      <c r="K168" s="13">
        <f>K167+F168</f>
        <v/>
      </c>
    </row>
    <row r="169">
      <c r="A169" s="12" t="n">
        <v>168</v>
      </c>
      <c r="B169" s="12" t="inlineStr">
        <is>
          <t>Futures</t>
        </is>
      </c>
      <c r="C169" s="12" t="inlineStr">
        <is>
          <t>Astrofund</t>
        </is>
      </c>
      <c r="D169" s="12" t="inlineStr">
        <is>
          <t>1 étape</t>
        </is>
      </c>
      <c r="E169" s="13" t="n">
        <v>200000</v>
      </c>
      <c r="F169" s="13" t="n">
        <v>286</v>
      </c>
      <c r="G169" s="14" t="n">
        <v>0.9</v>
      </c>
      <c r="H169" s="13">
        <f>E169*G169</f>
        <v/>
      </c>
      <c r="I169" s="13">
        <f>I168+E169</f>
        <v/>
      </c>
      <c r="J169" s="13">
        <f>J168+H169</f>
        <v/>
      </c>
      <c r="K169" s="13">
        <f>K168+F169</f>
        <v/>
      </c>
    </row>
    <row r="170">
      <c r="A170" s="12" t="n">
        <v>169</v>
      </c>
      <c r="B170" s="12" t="inlineStr">
        <is>
          <t>Futures</t>
        </is>
      </c>
      <c r="C170" s="12" t="inlineStr">
        <is>
          <t>FunderPro Futures</t>
        </is>
      </c>
      <c r="D170" s="12" t="inlineStr">
        <is>
          <t>1 étape</t>
        </is>
      </c>
      <c r="E170" s="13" t="n">
        <v>750000</v>
      </c>
      <c r="F170" s="13" t="n">
        <v>1095</v>
      </c>
      <c r="G170" s="14" t="n">
        <v>0.9</v>
      </c>
      <c r="H170" s="13">
        <f>E170*G170</f>
        <v/>
      </c>
      <c r="I170" s="13">
        <f>I169+E170</f>
        <v/>
      </c>
      <c r="J170" s="13">
        <f>J169+H170</f>
        <v/>
      </c>
      <c r="K170" s="13">
        <f>K169+F170</f>
        <v/>
      </c>
    </row>
    <row r="171">
      <c r="A171" s="12" t="n">
        <v>170</v>
      </c>
      <c r="B171" s="12" t="inlineStr">
        <is>
          <t>Futures</t>
        </is>
      </c>
      <c r="C171" s="12" t="inlineStr">
        <is>
          <t>FTMO Futures</t>
        </is>
      </c>
      <c r="D171" s="12" t="inlineStr">
        <is>
          <t>1 étape</t>
        </is>
      </c>
      <c r="E171" s="13" t="n">
        <v>450000</v>
      </c>
      <c r="F171" s="13" t="n">
        <v>687</v>
      </c>
      <c r="G171" s="14" t="n">
        <v>0.9</v>
      </c>
      <c r="H171" s="13">
        <f>E171*G171</f>
        <v/>
      </c>
      <c r="I171" s="13">
        <f>I170+E171</f>
        <v/>
      </c>
      <c r="J171" s="13">
        <f>J170+H171</f>
        <v/>
      </c>
      <c r="K171" s="13">
        <f>K170+F171</f>
        <v/>
      </c>
    </row>
    <row r="172">
      <c r="A172" s="12" t="n">
        <v>171</v>
      </c>
      <c r="B172" s="12" t="inlineStr">
        <is>
          <t>Futures</t>
        </is>
      </c>
      <c r="C172" s="12" t="inlineStr">
        <is>
          <t>Lucid Direct</t>
        </is>
      </c>
      <c r="D172" s="12" t="inlineStr">
        <is>
          <t>1 étape</t>
        </is>
      </c>
      <c r="E172" s="13" t="n">
        <v>750000</v>
      </c>
      <c r="F172" s="13" t="n">
        <v>1402</v>
      </c>
      <c r="G172" s="14" t="n">
        <v>0.9</v>
      </c>
      <c r="H172" s="13">
        <f>E172*G172</f>
        <v/>
      </c>
      <c r="I172" s="13">
        <f>I171+E172</f>
        <v/>
      </c>
      <c r="J172" s="13">
        <f>J171+H172</f>
        <v/>
      </c>
      <c r="K172" s="13">
        <f>K171+F172</f>
        <v/>
      </c>
    </row>
    <row r="173">
      <c r="A173" s="12" t="n">
        <v>172</v>
      </c>
      <c r="B173" s="12" t="inlineStr">
        <is>
          <t>Futures</t>
        </is>
      </c>
      <c r="C173" s="12" t="inlineStr">
        <is>
          <t>The Trading Pit Futures</t>
        </is>
      </c>
      <c r="D173" s="12" t="inlineStr">
        <is>
          <t>1 étape</t>
        </is>
      </c>
      <c r="E173" s="13" t="n">
        <v>750000</v>
      </c>
      <c r="F173" s="13" t="n">
        <v>1445</v>
      </c>
      <c r="G173" s="14" t="n">
        <v>0.8</v>
      </c>
      <c r="H173" s="13">
        <f>E173*G173</f>
        <v/>
      </c>
      <c r="I173" s="13">
        <f>I172+E173</f>
        <v/>
      </c>
      <c r="J173" s="13">
        <f>J172+H173</f>
        <v/>
      </c>
      <c r="K173" s="13">
        <f>K172+F173</f>
        <v/>
      </c>
    </row>
    <row r="174">
      <c r="A174" s="12" t="n">
        <v>173</v>
      </c>
      <c r="B174" s="12" t="inlineStr">
        <is>
          <t>Futures</t>
        </is>
      </c>
      <c r="C174" s="12" t="inlineStr">
        <is>
          <t>Bulenox</t>
        </is>
      </c>
      <c r="D174" s="12" t="inlineStr">
        <is>
          <t>1 étape</t>
        </is>
      </c>
      <c r="E174" s="13" t="n">
        <v>750000</v>
      </c>
      <c r="F174" s="13" t="n">
        <v>1625</v>
      </c>
      <c r="G174" s="14" t="n">
        <v>1</v>
      </c>
      <c r="H174" s="13">
        <f>E174*G174</f>
        <v/>
      </c>
      <c r="I174" s="13">
        <f>I173+E174</f>
        <v/>
      </c>
      <c r="J174" s="13">
        <f>J173+H174</f>
        <v/>
      </c>
      <c r="K174" s="13">
        <f>K173+F174</f>
        <v/>
      </c>
    </row>
    <row r="175">
      <c r="A175" s="12" t="n">
        <v>174</v>
      </c>
      <c r="B175" s="12" t="inlineStr">
        <is>
          <t>Futures</t>
        </is>
      </c>
      <c r="C175" s="12" t="inlineStr">
        <is>
          <t>Halcyon Trader Funding</t>
        </is>
      </c>
      <c r="D175" s="12" t="inlineStr">
        <is>
          <t>1 étape</t>
        </is>
      </c>
      <c r="E175" s="13" t="n">
        <v>450000</v>
      </c>
      <c r="F175" s="13" t="n">
        <v>1077</v>
      </c>
      <c r="G175" s="14" t="n">
        <v>0.9</v>
      </c>
      <c r="H175" s="13">
        <f>E175*G175</f>
        <v/>
      </c>
      <c r="I175" s="13">
        <f>I174+E175</f>
        <v/>
      </c>
      <c r="J175" s="13">
        <f>J174+H175</f>
        <v/>
      </c>
      <c r="K175" s="13">
        <f>K174+F175</f>
        <v/>
      </c>
    </row>
    <row r="176">
      <c r="A176" s="12" t="n">
        <v>175</v>
      </c>
      <c r="B176" s="12" t="inlineStr">
        <is>
          <t>Futures</t>
        </is>
      </c>
      <c r="C176" s="12" t="inlineStr">
        <is>
          <t>Atlas Funded Futures</t>
        </is>
      </c>
      <c r="D176" s="12" t="inlineStr">
        <is>
          <t>1 étape</t>
        </is>
      </c>
      <c r="E176" s="13" t="n">
        <v>400000</v>
      </c>
      <c r="F176" s="13" t="n">
        <v>1058</v>
      </c>
      <c r="G176" s="14" t="n">
        <v>1</v>
      </c>
      <c r="H176" s="13">
        <f>E176*G176</f>
        <v/>
      </c>
      <c r="I176" s="13">
        <f>I175+E176</f>
        <v/>
      </c>
      <c r="J176" s="13">
        <f>J175+H176</f>
        <v/>
      </c>
      <c r="K176" s="13">
        <f>K175+F176</f>
        <v/>
      </c>
    </row>
    <row r="177">
      <c r="A177" s="12" t="n">
        <v>176</v>
      </c>
      <c r="B177" s="12" t="inlineStr">
        <is>
          <t>Futures</t>
        </is>
      </c>
      <c r="C177" s="12" t="inlineStr">
        <is>
          <t>Finotive Futures</t>
        </is>
      </c>
      <c r="D177" s="12" t="inlineStr">
        <is>
          <t>1 étape</t>
        </is>
      </c>
      <c r="E177" s="13" t="n">
        <v>1000000</v>
      </c>
      <c r="F177" s="13" t="n">
        <v>2693</v>
      </c>
      <c r="G177" s="14" t="n">
        <v>0.9</v>
      </c>
      <c r="H177" s="13">
        <f>E177*G177</f>
        <v/>
      </c>
      <c r="I177" s="13">
        <f>I176+E177</f>
        <v/>
      </c>
      <c r="J177" s="13">
        <f>J176+H177</f>
        <v/>
      </c>
      <c r="K177" s="13">
        <f>K176+F177</f>
        <v/>
      </c>
    </row>
    <row r="178">
      <c r="A178" s="12" t="n">
        <v>177</v>
      </c>
      <c r="B178" s="12" t="inlineStr">
        <is>
          <t>Futures</t>
        </is>
      </c>
      <c r="C178" s="12" t="inlineStr">
        <is>
          <t>FundYourEdge</t>
        </is>
      </c>
      <c r="D178" s="12" t="inlineStr">
        <is>
          <t>1 étape</t>
        </is>
      </c>
      <c r="E178" s="13" t="n">
        <v>450000</v>
      </c>
      <c r="F178" s="13" t="n">
        <v>1287</v>
      </c>
      <c r="G178" s="14" t="n">
        <v>0.9</v>
      </c>
      <c r="H178" s="13">
        <f>E178*G178</f>
        <v/>
      </c>
      <c r="I178" s="13">
        <f>I177+E178</f>
        <v/>
      </c>
      <c r="J178" s="13">
        <f>J177+H178</f>
        <v/>
      </c>
      <c r="K178" s="13">
        <f>K177+F178</f>
        <v/>
      </c>
    </row>
    <row r="179">
      <c r="A179" s="12" t="n">
        <v>178</v>
      </c>
      <c r="B179" s="12" t="inlineStr">
        <is>
          <t>Futures</t>
        </is>
      </c>
      <c r="C179" s="12" t="inlineStr">
        <is>
          <t>MyFundedPerps</t>
        </is>
      </c>
      <c r="D179" s="12" t="inlineStr">
        <is>
          <t>1 étape</t>
        </is>
      </c>
      <c r="E179" s="13" t="n">
        <v>300000</v>
      </c>
      <c r="F179" s="13" t="n">
        <v>864</v>
      </c>
      <c r="G179" s="14" t="n">
        <v>0.8</v>
      </c>
      <c r="H179" s="13">
        <f>E179*G179</f>
        <v/>
      </c>
      <c r="I179" s="13">
        <f>I178+E179</f>
        <v/>
      </c>
      <c r="J179" s="13">
        <f>J178+H179</f>
        <v/>
      </c>
      <c r="K179" s="13">
        <f>K178+F179</f>
        <v/>
      </c>
    </row>
    <row r="180">
      <c r="A180" s="12" t="n">
        <v>179</v>
      </c>
      <c r="B180" s="12" t="inlineStr">
        <is>
          <t>Futures</t>
        </is>
      </c>
      <c r="C180" s="12" t="inlineStr">
        <is>
          <t>MyFundedPerps (Funding Perpetuals)</t>
        </is>
      </c>
      <c r="D180" s="12" t="inlineStr">
        <is>
          <t>1 étape</t>
        </is>
      </c>
      <c r="E180" s="13" t="n">
        <v>300000</v>
      </c>
      <c r="F180" s="13" t="n">
        <v>864</v>
      </c>
      <c r="G180" s="14" t="n">
        <v>0.8</v>
      </c>
      <c r="H180" s="13">
        <f>E180*G180</f>
        <v/>
      </c>
      <c r="I180" s="13">
        <f>I179+E180</f>
        <v/>
      </c>
      <c r="J180" s="13">
        <f>J179+H180</f>
        <v/>
      </c>
      <c r="K180" s="13">
        <f>K179+F180</f>
        <v/>
      </c>
    </row>
    <row r="181">
      <c r="A181" s="12" t="n">
        <v>180</v>
      </c>
      <c r="B181" s="12" t="inlineStr">
        <is>
          <t>Futures</t>
        </is>
      </c>
      <c r="C181" s="12" t="inlineStr">
        <is>
          <t>10FOUR</t>
        </is>
      </c>
      <c r="D181" s="12" t="inlineStr">
        <is>
          <t>1 étape</t>
        </is>
      </c>
      <c r="E181" s="13" t="n">
        <v>750000</v>
      </c>
      <c r="F181" s="13" t="n">
        <v>2321</v>
      </c>
      <c r="G181" s="14" t="n">
        <v>0.9</v>
      </c>
      <c r="H181" s="13">
        <f>E181*G181</f>
        <v/>
      </c>
      <c r="I181" s="13">
        <f>I180+E181</f>
        <v/>
      </c>
      <c r="J181" s="13">
        <f>J180+H181</f>
        <v/>
      </c>
      <c r="K181" s="13">
        <f>K180+F181</f>
        <v/>
      </c>
    </row>
    <row r="182">
      <c r="A182" s="12" t="n">
        <v>181</v>
      </c>
      <c r="B182" s="12" t="inlineStr">
        <is>
          <t>Futures</t>
        </is>
      </c>
      <c r="C182" s="12" t="inlineStr">
        <is>
          <t>LVL Trading</t>
        </is>
      </c>
      <c r="D182" s="12" t="inlineStr">
        <is>
          <t>1 étape</t>
        </is>
      </c>
      <c r="E182" s="13" t="n">
        <v>10000000</v>
      </c>
      <c r="F182" s="13" t="n">
        <v>34000</v>
      </c>
      <c r="G182" s="14" t="n">
        <v>1</v>
      </c>
      <c r="H182" s="13">
        <f>E182*G182</f>
        <v/>
      </c>
      <c r="I182" s="13">
        <f>I181+E182</f>
        <v/>
      </c>
      <c r="J182" s="13">
        <f>J181+H182</f>
        <v/>
      </c>
      <c r="K182" s="13">
        <f>K181+F182</f>
        <v/>
      </c>
    </row>
    <row r="183">
      <c r="A183" s="12" t="n">
        <v>182</v>
      </c>
      <c r="B183" s="12" t="inlineStr">
        <is>
          <t>Futures</t>
        </is>
      </c>
      <c r="C183" s="12" t="inlineStr">
        <is>
          <t>Hypernova</t>
        </is>
      </c>
      <c r="D183" s="12" t="inlineStr">
        <is>
          <t>1 étape</t>
        </is>
      </c>
      <c r="E183" s="13" t="n">
        <v>200000</v>
      </c>
      <c r="F183" s="13" t="n">
        <v>800</v>
      </c>
      <c r="G183" s="14" t="n">
        <v>0.8</v>
      </c>
      <c r="H183" s="13">
        <f>E183*G183</f>
        <v/>
      </c>
      <c r="I183" s="13">
        <f>I182+E183</f>
        <v/>
      </c>
      <c r="J183" s="13">
        <f>J182+H183</f>
        <v/>
      </c>
      <c r="K183" s="13">
        <f>K182+F183</f>
        <v/>
      </c>
    </row>
    <row r="184">
      <c r="A184" s="12" t="n">
        <v>183</v>
      </c>
      <c r="B184" s="12" t="inlineStr">
        <is>
          <t>Futures</t>
        </is>
      </c>
      <c r="C184" s="12" t="inlineStr">
        <is>
          <t>Cointracts</t>
        </is>
      </c>
      <c r="D184" s="12" t="inlineStr">
        <is>
          <t>1 étape</t>
        </is>
      </c>
      <c r="E184" s="13" t="n">
        <v>100000</v>
      </c>
      <c r="F184" s="13" t="n">
        <v>579</v>
      </c>
      <c r="G184" s="14" t="n">
        <v>1</v>
      </c>
      <c r="H184" s="13">
        <f>E184*G184</f>
        <v/>
      </c>
      <c r="I184" s="13">
        <f>I183+E184</f>
        <v/>
      </c>
      <c r="J184" s="13">
        <f>J183+H184</f>
        <v/>
      </c>
      <c r="K184" s="13">
        <f>K183+F184</f>
        <v/>
      </c>
    </row>
    <row r="185">
      <c r="A185" s="12" t="n">
        <v>184</v>
      </c>
      <c r="B185" s="12" t="inlineStr">
        <is>
          <t>Futures</t>
        </is>
      </c>
      <c r="C185" s="12" t="inlineStr">
        <is>
          <t>Ment Funding Futures</t>
        </is>
      </c>
      <c r="D185" s="12" t="inlineStr">
        <is>
          <t>1 étape</t>
        </is>
      </c>
      <c r="E185" s="13" t="n">
        <v>1000000</v>
      </c>
      <c r="F185" s="13" t="n">
        <v>9000</v>
      </c>
      <c r="G185" s="14" t="n">
        <v>0.9</v>
      </c>
      <c r="H185" s="13">
        <f>E185*G185</f>
        <v/>
      </c>
      <c r="I185" s="13">
        <f>I184+E185</f>
        <v/>
      </c>
      <c r="J185" s="13">
        <f>J184+H185</f>
        <v/>
      </c>
      <c r="K185" s="13">
        <f>K184+F185</f>
        <v/>
      </c>
    </row>
    <row r="186">
      <c r="A186" s="12" t="n">
        <v>185</v>
      </c>
      <c r="B186" s="12" t="inlineStr">
        <is>
          <t>Futures</t>
        </is>
      </c>
      <c r="C186" s="12" t="inlineStr">
        <is>
          <t>18th Street Trading</t>
        </is>
      </c>
      <c r="D186" s="12" t="inlineStr">
        <is>
          <t>1 étape</t>
        </is>
      </c>
      <c r="E186" s="13" t="n">
        <v>325000</v>
      </c>
      <c r="F186" s="13" t="n">
        <v>3385</v>
      </c>
      <c r="G186" s="14" t="n">
        <v>0.9</v>
      </c>
      <c r="H186" s="13">
        <f>E186*G186</f>
        <v/>
      </c>
      <c r="I186" s="13">
        <f>I185+E186</f>
        <v/>
      </c>
      <c r="J186" s="13">
        <f>J185+H186</f>
        <v/>
      </c>
      <c r="K186" s="13">
        <f>K185+F186</f>
        <v/>
      </c>
    </row>
    <row r="187">
      <c r="A187" s="12" t="n">
        <v>186</v>
      </c>
      <c r="B187" s="12" t="inlineStr">
        <is>
          <t>Futures</t>
        </is>
      </c>
      <c r="C187" s="12" t="inlineStr">
        <is>
          <t>Upcomers Futures</t>
        </is>
      </c>
      <c r="D187" s="12" t="inlineStr">
        <is>
          <t>1 étape</t>
        </is>
      </c>
      <c r="E187" s="13" t="n">
        <v>400000</v>
      </c>
      <c r="F187" s="13" t="n">
        <v>4840</v>
      </c>
      <c r="G187" s="14" t="n">
        <v>1</v>
      </c>
      <c r="H187" s="13">
        <f>E187*G187</f>
        <v/>
      </c>
      <c r="I187" s="13">
        <f>I186+E187</f>
        <v/>
      </c>
      <c r="J187" s="13">
        <f>J186+H187</f>
        <v/>
      </c>
      <c r="K187" s="13">
        <f>K186+F187</f>
        <v/>
      </c>
    </row>
    <row r="188">
      <c r="A188" s="12" t="n">
        <v>187</v>
      </c>
      <c r="B188" s="12" t="inlineStr">
        <is>
          <t>Futures</t>
        </is>
      </c>
      <c r="C188" s="12" t="inlineStr">
        <is>
          <t>5P Investimentos (Cinco Por Cento)</t>
        </is>
      </c>
      <c r="D188" s="12" t="inlineStr">
        <is>
          <t>1 étape</t>
        </is>
      </c>
      <c r="E188" s="13" t="n">
        <v>72000</v>
      </c>
      <c r="F188" s="13" t="n">
        <v>21720</v>
      </c>
      <c r="G188" s="14" t="n">
        <v>0.9</v>
      </c>
      <c r="H188" s="13">
        <f>E188*G188</f>
        <v/>
      </c>
      <c r="I188" s="13">
        <f>I187+E188</f>
        <v/>
      </c>
      <c r="J188" s="13">
        <f>J187+H188</f>
        <v/>
      </c>
      <c r="K188" s="13">
        <f>K187+F188</f>
        <v/>
      </c>
    </row>
    <row r="189">
      <c r="A189" s="12" t="n">
        <v>188</v>
      </c>
      <c r="B189" s="12" t="inlineStr">
        <is>
          <t>Futures</t>
        </is>
      </c>
      <c r="C189" s="12" t="inlineStr">
        <is>
          <t>Euroinvest</t>
        </is>
      </c>
      <c r="D189" s="12" t="inlineStr">
        <is>
          <t>1 étape</t>
        </is>
      </c>
      <c r="E189" s="13" t="n">
        <v>540</v>
      </c>
      <c r="F189" s="13" t="n">
        <v>41994</v>
      </c>
      <c r="G189" s="14" t="n">
        <v>0.95</v>
      </c>
      <c r="H189" s="13">
        <f>E189*G189</f>
        <v/>
      </c>
      <c r="I189" s="13">
        <f>I188+E189</f>
        <v/>
      </c>
      <c r="J189" s="13">
        <f>J188+H189</f>
        <v/>
      </c>
      <c r="K189" s="13">
        <f>K188+F189</f>
        <v/>
      </c>
    </row>
    <row r="190">
      <c r="A190" s="12" t="n">
        <v>189</v>
      </c>
      <c r="B190" s="12" t="inlineStr">
        <is>
          <t>Futures</t>
        </is>
      </c>
      <c r="C190" s="12" t="inlineStr">
        <is>
          <t>HyroTrader</t>
        </is>
      </c>
      <c r="D190" s="12" t="inlineStr">
        <is>
          <t>2 étapes</t>
        </is>
      </c>
      <c r="E190" s="13" t="n">
        <v>200000</v>
      </c>
      <c r="F190" s="13" t="n">
        <v>999</v>
      </c>
      <c r="G190" s="14" t="n">
        <v>0.9</v>
      </c>
      <c r="H190" s="13">
        <f>E190*G190</f>
        <v/>
      </c>
      <c r="I190" s="13">
        <f>I189+E190</f>
        <v/>
      </c>
      <c r="J190" s="13">
        <f>J189+H190</f>
        <v/>
      </c>
      <c r="K190" s="13">
        <f>K189+F190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15" customWidth="1" min="7" max="7"/>
    <col width="11" customWidth="1" min="8" max="8"/>
    <col width="16" customWidth="1" min="9" max="9"/>
    <col width="13" customWidth="1" min="10" max="10"/>
    <col width="13" customWidth="1" min="11" max="11"/>
    <col width="17" customWidth="1" min="12" max="12"/>
    <col width="13" customWidth="1" min="13" max="13"/>
  </cols>
  <sheetData>
    <row r="1" ht="32" customHeight="1">
      <c r="A1" s="11" t="inlineStr">
        <is>
          <t>Mois</t>
        </is>
      </c>
      <c r="B1" s="11" t="inlineStr">
        <is>
          <t>Firmes au début</t>
        </is>
      </c>
      <c r="C1" s="11" t="inlineStr">
        <is>
          <t>Capital actif ($)</t>
        </is>
      </c>
      <c r="D1" s="11" t="inlineStr">
        <is>
          <t>Profit brut ($)</t>
        </is>
      </c>
      <c r="E1" s="11" t="inlineStr">
        <is>
          <t>Salaire net ($)</t>
        </is>
      </c>
      <c r="F1" s="11" t="inlineStr">
        <is>
          <t>Réinvesti ($)</t>
        </is>
      </c>
      <c r="G1" s="11" t="inlineStr">
        <is>
          <t>Investi cumulé ($)</t>
        </is>
      </c>
      <c r="H1" s="11" t="inlineStr">
        <is>
          <t>Firmes à la fin</t>
        </is>
      </c>
      <c r="I1" s="11" t="inlineStr">
        <is>
          <t>Capital financé ($)</t>
        </is>
      </c>
      <c r="J1" s="11" t="inlineStr">
        <is>
          <t>CFD ($)</t>
        </is>
      </c>
      <c r="K1" s="11" t="inlineStr">
        <is>
          <t>Futures ($)</t>
        </is>
      </c>
      <c r="L1" s="11" t="inlineStr">
        <is>
          <t>Salaire net cumulé ($)</t>
        </is>
      </c>
      <c r="M1" s="11" t="inlineStr">
        <is>
          <t>Trésorerie ($)</t>
        </is>
      </c>
    </row>
    <row r="2">
      <c r="A2" s="12" t="n">
        <v>1</v>
      </c>
      <c r="B2" s="12">
        <f>IF(1=1,0,H1)</f>
        <v/>
      </c>
      <c r="C2" s="13">
        <f>Paramètres!$B$4+IFERROR(INDEX(Données!$I$2:$I$190,$B2),0)</f>
        <v/>
      </c>
      <c r="D2" s="13">
        <f>C2*Paramètres!$B$3</f>
        <v/>
      </c>
      <c r="E2" s="15">
        <f>(Paramètres!$B$4*Paramètres!$B$6+IFERROR(INDEX(Données!$J$2:$J$190,$B2),0))*Paramètres!$B$3</f>
        <v/>
      </c>
      <c r="F2" s="13">
        <f>E2*Paramètres!$B$5</f>
        <v/>
      </c>
      <c r="G2" s="13">
        <f>IF(1=1,F2,G1+F2)</f>
        <v/>
      </c>
      <c r="H2" s="12">
        <f>MIN(189,$B2+Paramètres!$B$7,COUNTIF(Données!$K$2:$K$190,"&lt;="&amp;G2))</f>
        <v/>
      </c>
      <c r="I2" s="15">
        <f>Paramètres!$B$4+IFERROR(INDEX(Données!$I$2:$I$190,$H2),0)</f>
        <v/>
      </c>
      <c r="J2" s="13">
        <f>Paramètres!$B$4+IFERROR(INDEX(Données!$I$2:$I$190,MIN($H2,160)),0)</f>
        <v/>
      </c>
      <c r="K2" s="13">
        <f>I2-J2</f>
        <v/>
      </c>
      <c r="L2" s="13">
        <f>IF(1=1,E2,L1+E2)</f>
        <v/>
      </c>
      <c r="M2" s="13">
        <f>G2-IFERROR(INDEX(Données!$K$2:$K$190,$H2),0)</f>
        <v/>
      </c>
    </row>
    <row r="3">
      <c r="A3" s="12" t="n">
        <v>2</v>
      </c>
      <c r="B3" s="12">
        <f>IF(2=1,0,H2)</f>
        <v/>
      </c>
      <c r="C3" s="13">
        <f>Paramètres!$B$4+IFERROR(INDEX(Données!$I$2:$I$190,$B3),0)</f>
        <v/>
      </c>
      <c r="D3" s="13">
        <f>C3*Paramètres!$B$3</f>
        <v/>
      </c>
      <c r="E3" s="15">
        <f>(Paramètres!$B$4*Paramètres!$B$6+IFERROR(INDEX(Données!$J$2:$J$190,$B3),0))*Paramètres!$B$3</f>
        <v/>
      </c>
      <c r="F3" s="13">
        <f>E3*Paramètres!$B$5</f>
        <v/>
      </c>
      <c r="G3" s="13">
        <f>IF(2=1,F3,G2+F3)</f>
        <v/>
      </c>
      <c r="H3" s="12">
        <f>MIN(189,$B3+Paramètres!$B$7,COUNTIF(Données!$K$2:$K$190,"&lt;="&amp;G3))</f>
        <v/>
      </c>
      <c r="I3" s="15">
        <f>Paramètres!$B$4+IFERROR(INDEX(Données!$I$2:$I$190,$H3),0)</f>
        <v/>
      </c>
      <c r="J3" s="13">
        <f>Paramètres!$B$4+IFERROR(INDEX(Données!$I$2:$I$190,MIN($H3,160)),0)</f>
        <v/>
      </c>
      <c r="K3" s="13">
        <f>I3-J3</f>
        <v/>
      </c>
      <c r="L3" s="13">
        <f>IF(2=1,E3,L2+E3)</f>
        <v/>
      </c>
      <c r="M3" s="13">
        <f>G3-IFERROR(INDEX(Données!$K$2:$K$190,$H3),0)</f>
        <v/>
      </c>
    </row>
    <row r="4">
      <c r="A4" s="12" t="n">
        <v>3</v>
      </c>
      <c r="B4" s="12">
        <f>IF(3=1,0,H3)</f>
        <v/>
      </c>
      <c r="C4" s="13">
        <f>Paramètres!$B$4+IFERROR(INDEX(Données!$I$2:$I$190,$B4),0)</f>
        <v/>
      </c>
      <c r="D4" s="13">
        <f>C4*Paramètres!$B$3</f>
        <v/>
      </c>
      <c r="E4" s="15">
        <f>(Paramètres!$B$4*Paramètres!$B$6+IFERROR(INDEX(Données!$J$2:$J$190,$B4),0))*Paramètres!$B$3</f>
        <v/>
      </c>
      <c r="F4" s="13">
        <f>E4*Paramètres!$B$5</f>
        <v/>
      </c>
      <c r="G4" s="13">
        <f>IF(3=1,F4,G3+F4)</f>
        <v/>
      </c>
      <c r="H4" s="12">
        <f>MIN(189,$B4+Paramètres!$B$7,COUNTIF(Données!$K$2:$K$190,"&lt;="&amp;G4))</f>
        <v/>
      </c>
      <c r="I4" s="15">
        <f>Paramètres!$B$4+IFERROR(INDEX(Données!$I$2:$I$190,$H4),0)</f>
        <v/>
      </c>
      <c r="J4" s="13">
        <f>Paramètres!$B$4+IFERROR(INDEX(Données!$I$2:$I$190,MIN($H4,160)),0)</f>
        <v/>
      </c>
      <c r="K4" s="13">
        <f>I4-J4</f>
        <v/>
      </c>
      <c r="L4" s="13">
        <f>IF(3=1,E4,L3+E4)</f>
        <v/>
      </c>
      <c r="M4" s="13">
        <f>G4-IFERROR(INDEX(Données!$K$2:$K$190,$H4),0)</f>
        <v/>
      </c>
    </row>
    <row r="5">
      <c r="A5" s="12" t="n">
        <v>4</v>
      </c>
      <c r="B5" s="12">
        <f>IF(4=1,0,H4)</f>
        <v/>
      </c>
      <c r="C5" s="13">
        <f>Paramètres!$B$4+IFERROR(INDEX(Données!$I$2:$I$190,$B5),0)</f>
        <v/>
      </c>
      <c r="D5" s="13">
        <f>C5*Paramètres!$B$3</f>
        <v/>
      </c>
      <c r="E5" s="15">
        <f>(Paramètres!$B$4*Paramètres!$B$6+IFERROR(INDEX(Données!$J$2:$J$190,$B5),0))*Paramètres!$B$3</f>
        <v/>
      </c>
      <c r="F5" s="13">
        <f>E5*Paramètres!$B$5</f>
        <v/>
      </c>
      <c r="G5" s="13">
        <f>IF(4=1,F5,G4+F5)</f>
        <v/>
      </c>
      <c r="H5" s="12">
        <f>MIN(189,$B5+Paramètres!$B$7,COUNTIF(Données!$K$2:$K$190,"&lt;="&amp;G5))</f>
        <v/>
      </c>
      <c r="I5" s="15">
        <f>Paramètres!$B$4+IFERROR(INDEX(Données!$I$2:$I$190,$H5),0)</f>
        <v/>
      </c>
      <c r="J5" s="13">
        <f>Paramètres!$B$4+IFERROR(INDEX(Données!$I$2:$I$190,MIN($H5,160)),0)</f>
        <v/>
      </c>
      <c r="K5" s="13">
        <f>I5-J5</f>
        <v/>
      </c>
      <c r="L5" s="13">
        <f>IF(4=1,E5,L4+E5)</f>
        <v/>
      </c>
      <c r="M5" s="13">
        <f>G5-IFERROR(INDEX(Données!$K$2:$K$190,$H5),0)</f>
        <v/>
      </c>
    </row>
    <row r="6">
      <c r="A6" s="12" t="n">
        <v>5</v>
      </c>
      <c r="B6" s="12">
        <f>IF(5=1,0,H5)</f>
        <v/>
      </c>
      <c r="C6" s="13">
        <f>Paramètres!$B$4+IFERROR(INDEX(Données!$I$2:$I$190,$B6),0)</f>
        <v/>
      </c>
      <c r="D6" s="13">
        <f>C6*Paramètres!$B$3</f>
        <v/>
      </c>
      <c r="E6" s="15">
        <f>(Paramètres!$B$4*Paramètres!$B$6+IFERROR(INDEX(Données!$J$2:$J$190,$B6),0))*Paramètres!$B$3</f>
        <v/>
      </c>
      <c r="F6" s="13">
        <f>E6*Paramètres!$B$5</f>
        <v/>
      </c>
      <c r="G6" s="13">
        <f>IF(5=1,F6,G5+F6)</f>
        <v/>
      </c>
      <c r="H6" s="12">
        <f>MIN(189,$B6+Paramètres!$B$7,COUNTIF(Données!$K$2:$K$190,"&lt;="&amp;G6))</f>
        <v/>
      </c>
      <c r="I6" s="15">
        <f>Paramètres!$B$4+IFERROR(INDEX(Données!$I$2:$I$190,$H6),0)</f>
        <v/>
      </c>
      <c r="J6" s="13">
        <f>Paramètres!$B$4+IFERROR(INDEX(Données!$I$2:$I$190,MIN($H6,160)),0)</f>
        <v/>
      </c>
      <c r="K6" s="13">
        <f>I6-J6</f>
        <v/>
      </c>
      <c r="L6" s="13">
        <f>IF(5=1,E6,L5+E6)</f>
        <v/>
      </c>
      <c r="M6" s="13">
        <f>G6-IFERROR(INDEX(Données!$K$2:$K$190,$H6),0)</f>
        <v/>
      </c>
    </row>
    <row r="7">
      <c r="A7" s="12" t="n">
        <v>6</v>
      </c>
      <c r="B7" s="12">
        <f>IF(6=1,0,H6)</f>
        <v/>
      </c>
      <c r="C7" s="13">
        <f>Paramètres!$B$4+IFERROR(INDEX(Données!$I$2:$I$190,$B7),0)</f>
        <v/>
      </c>
      <c r="D7" s="13">
        <f>C7*Paramètres!$B$3</f>
        <v/>
      </c>
      <c r="E7" s="15">
        <f>(Paramètres!$B$4*Paramètres!$B$6+IFERROR(INDEX(Données!$J$2:$J$190,$B7),0))*Paramètres!$B$3</f>
        <v/>
      </c>
      <c r="F7" s="13">
        <f>E7*Paramètres!$B$5</f>
        <v/>
      </c>
      <c r="G7" s="13">
        <f>IF(6=1,F7,G6+F7)</f>
        <v/>
      </c>
      <c r="H7" s="12">
        <f>MIN(189,$B7+Paramètres!$B$7,COUNTIF(Données!$K$2:$K$190,"&lt;="&amp;G7))</f>
        <v/>
      </c>
      <c r="I7" s="15">
        <f>Paramètres!$B$4+IFERROR(INDEX(Données!$I$2:$I$190,$H7),0)</f>
        <v/>
      </c>
      <c r="J7" s="13">
        <f>Paramètres!$B$4+IFERROR(INDEX(Données!$I$2:$I$190,MIN($H7,160)),0)</f>
        <v/>
      </c>
      <c r="K7" s="13">
        <f>I7-J7</f>
        <v/>
      </c>
      <c r="L7" s="13">
        <f>IF(6=1,E7,L6+E7)</f>
        <v/>
      </c>
      <c r="M7" s="13">
        <f>G7-IFERROR(INDEX(Données!$K$2:$K$190,$H7),0)</f>
        <v/>
      </c>
    </row>
    <row r="8">
      <c r="A8" s="12" t="n">
        <v>7</v>
      </c>
      <c r="B8" s="12">
        <f>IF(7=1,0,H7)</f>
        <v/>
      </c>
      <c r="C8" s="13">
        <f>Paramètres!$B$4+IFERROR(INDEX(Données!$I$2:$I$190,$B8),0)</f>
        <v/>
      </c>
      <c r="D8" s="13">
        <f>C8*Paramètres!$B$3</f>
        <v/>
      </c>
      <c r="E8" s="15">
        <f>(Paramètres!$B$4*Paramètres!$B$6+IFERROR(INDEX(Données!$J$2:$J$190,$B8),0))*Paramètres!$B$3</f>
        <v/>
      </c>
      <c r="F8" s="13">
        <f>E8*Paramètres!$B$5</f>
        <v/>
      </c>
      <c r="G8" s="13">
        <f>IF(7=1,F8,G7+F8)</f>
        <v/>
      </c>
      <c r="H8" s="12">
        <f>MIN(189,$B8+Paramètres!$B$7,COUNTIF(Données!$K$2:$K$190,"&lt;="&amp;G8))</f>
        <v/>
      </c>
      <c r="I8" s="15">
        <f>Paramètres!$B$4+IFERROR(INDEX(Données!$I$2:$I$190,$H8),0)</f>
        <v/>
      </c>
      <c r="J8" s="13">
        <f>Paramètres!$B$4+IFERROR(INDEX(Données!$I$2:$I$190,MIN($H8,160)),0)</f>
        <v/>
      </c>
      <c r="K8" s="13">
        <f>I8-J8</f>
        <v/>
      </c>
      <c r="L8" s="13">
        <f>IF(7=1,E8,L7+E8)</f>
        <v/>
      </c>
      <c r="M8" s="13">
        <f>G8-IFERROR(INDEX(Données!$K$2:$K$190,$H8),0)</f>
        <v/>
      </c>
    </row>
    <row r="9">
      <c r="A9" s="12" t="n">
        <v>8</v>
      </c>
      <c r="B9" s="12">
        <f>IF(8=1,0,H8)</f>
        <v/>
      </c>
      <c r="C9" s="13">
        <f>Paramètres!$B$4+IFERROR(INDEX(Données!$I$2:$I$190,$B9),0)</f>
        <v/>
      </c>
      <c r="D9" s="13">
        <f>C9*Paramètres!$B$3</f>
        <v/>
      </c>
      <c r="E9" s="15">
        <f>(Paramètres!$B$4*Paramètres!$B$6+IFERROR(INDEX(Données!$J$2:$J$190,$B9),0))*Paramètres!$B$3</f>
        <v/>
      </c>
      <c r="F9" s="13">
        <f>E9*Paramètres!$B$5</f>
        <v/>
      </c>
      <c r="G9" s="13">
        <f>IF(8=1,F9,G8+F9)</f>
        <v/>
      </c>
      <c r="H9" s="12">
        <f>MIN(189,$B9+Paramètres!$B$7,COUNTIF(Données!$K$2:$K$190,"&lt;="&amp;G9))</f>
        <v/>
      </c>
      <c r="I9" s="15">
        <f>Paramètres!$B$4+IFERROR(INDEX(Données!$I$2:$I$190,$H9),0)</f>
        <v/>
      </c>
      <c r="J9" s="13">
        <f>Paramètres!$B$4+IFERROR(INDEX(Données!$I$2:$I$190,MIN($H9,160)),0)</f>
        <v/>
      </c>
      <c r="K9" s="13">
        <f>I9-J9</f>
        <v/>
      </c>
      <c r="L9" s="13">
        <f>IF(8=1,E9,L8+E9)</f>
        <v/>
      </c>
      <c r="M9" s="13">
        <f>G9-IFERROR(INDEX(Données!$K$2:$K$190,$H9),0)</f>
        <v/>
      </c>
    </row>
    <row r="10">
      <c r="A10" s="12" t="n">
        <v>9</v>
      </c>
      <c r="B10" s="12">
        <f>IF(9=1,0,H9)</f>
        <v/>
      </c>
      <c r="C10" s="13">
        <f>Paramètres!$B$4+IFERROR(INDEX(Données!$I$2:$I$190,$B10),0)</f>
        <v/>
      </c>
      <c r="D10" s="13">
        <f>C10*Paramètres!$B$3</f>
        <v/>
      </c>
      <c r="E10" s="15">
        <f>(Paramètres!$B$4*Paramètres!$B$6+IFERROR(INDEX(Données!$J$2:$J$190,$B10),0))*Paramètres!$B$3</f>
        <v/>
      </c>
      <c r="F10" s="13">
        <f>E10*Paramètres!$B$5</f>
        <v/>
      </c>
      <c r="G10" s="13">
        <f>IF(9=1,F10,G9+F10)</f>
        <v/>
      </c>
      <c r="H10" s="12">
        <f>MIN(189,$B10+Paramètres!$B$7,COUNTIF(Données!$K$2:$K$190,"&lt;="&amp;G10))</f>
        <v/>
      </c>
      <c r="I10" s="15">
        <f>Paramètres!$B$4+IFERROR(INDEX(Données!$I$2:$I$190,$H10),0)</f>
        <v/>
      </c>
      <c r="J10" s="13">
        <f>Paramètres!$B$4+IFERROR(INDEX(Données!$I$2:$I$190,MIN($H10,160)),0)</f>
        <v/>
      </c>
      <c r="K10" s="13">
        <f>I10-J10</f>
        <v/>
      </c>
      <c r="L10" s="13">
        <f>IF(9=1,E10,L9+E10)</f>
        <v/>
      </c>
      <c r="M10" s="13">
        <f>G10-IFERROR(INDEX(Données!$K$2:$K$190,$H10),0)</f>
        <v/>
      </c>
    </row>
    <row r="11">
      <c r="A11" s="12" t="n">
        <v>10</v>
      </c>
      <c r="B11" s="12">
        <f>IF(10=1,0,H10)</f>
        <v/>
      </c>
      <c r="C11" s="13">
        <f>Paramètres!$B$4+IFERROR(INDEX(Données!$I$2:$I$190,$B11),0)</f>
        <v/>
      </c>
      <c r="D11" s="13">
        <f>C11*Paramètres!$B$3</f>
        <v/>
      </c>
      <c r="E11" s="15">
        <f>(Paramètres!$B$4*Paramètres!$B$6+IFERROR(INDEX(Données!$J$2:$J$190,$B11),0))*Paramètres!$B$3</f>
        <v/>
      </c>
      <c r="F11" s="13">
        <f>E11*Paramètres!$B$5</f>
        <v/>
      </c>
      <c r="G11" s="13">
        <f>IF(10=1,F11,G10+F11)</f>
        <v/>
      </c>
      <c r="H11" s="12">
        <f>MIN(189,$B11+Paramètres!$B$7,COUNTIF(Données!$K$2:$K$190,"&lt;="&amp;G11))</f>
        <v/>
      </c>
      <c r="I11" s="15">
        <f>Paramètres!$B$4+IFERROR(INDEX(Données!$I$2:$I$190,$H11),0)</f>
        <v/>
      </c>
      <c r="J11" s="13">
        <f>Paramètres!$B$4+IFERROR(INDEX(Données!$I$2:$I$190,MIN($H11,160)),0)</f>
        <v/>
      </c>
      <c r="K11" s="13">
        <f>I11-J11</f>
        <v/>
      </c>
      <c r="L11" s="13">
        <f>IF(10=1,E11,L10+E11)</f>
        <v/>
      </c>
      <c r="M11" s="13">
        <f>G11-IFERROR(INDEX(Données!$K$2:$K$190,$H11),0)</f>
        <v/>
      </c>
    </row>
    <row r="12">
      <c r="A12" s="12" t="n">
        <v>11</v>
      </c>
      <c r="B12" s="12">
        <f>IF(11=1,0,H11)</f>
        <v/>
      </c>
      <c r="C12" s="13">
        <f>Paramètres!$B$4+IFERROR(INDEX(Données!$I$2:$I$190,$B12),0)</f>
        <v/>
      </c>
      <c r="D12" s="13">
        <f>C12*Paramètres!$B$3</f>
        <v/>
      </c>
      <c r="E12" s="15">
        <f>(Paramètres!$B$4*Paramètres!$B$6+IFERROR(INDEX(Données!$J$2:$J$190,$B12),0))*Paramètres!$B$3</f>
        <v/>
      </c>
      <c r="F12" s="13">
        <f>E12*Paramètres!$B$5</f>
        <v/>
      </c>
      <c r="G12" s="13">
        <f>IF(11=1,F12,G11+F12)</f>
        <v/>
      </c>
      <c r="H12" s="12">
        <f>MIN(189,$B12+Paramètres!$B$7,COUNTIF(Données!$K$2:$K$190,"&lt;="&amp;G12))</f>
        <v/>
      </c>
      <c r="I12" s="15">
        <f>Paramètres!$B$4+IFERROR(INDEX(Données!$I$2:$I$190,$H12),0)</f>
        <v/>
      </c>
      <c r="J12" s="13">
        <f>Paramètres!$B$4+IFERROR(INDEX(Données!$I$2:$I$190,MIN($H12,160)),0)</f>
        <v/>
      </c>
      <c r="K12" s="13">
        <f>I12-J12</f>
        <v/>
      </c>
      <c r="L12" s="13">
        <f>IF(11=1,E12,L11+E12)</f>
        <v/>
      </c>
      <c r="M12" s="13">
        <f>G12-IFERROR(INDEX(Données!$K$2:$K$190,$H12),0)</f>
        <v/>
      </c>
    </row>
    <row r="13">
      <c r="A13" s="12" t="n">
        <v>12</v>
      </c>
      <c r="B13" s="12">
        <f>IF(12=1,0,H12)</f>
        <v/>
      </c>
      <c r="C13" s="13">
        <f>Paramètres!$B$4+IFERROR(INDEX(Données!$I$2:$I$190,$B13),0)</f>
        <v/>
      </c>
      <c r="D13" s="13">
        <f>C13*Paramètres!$B$3</f>
        <v/>
      </c>
      <c r="E13" s="15">
        <f>(Paramètres!$B$4*Paramètres!$B$6+IFERROR(INDEX(Données!$J$2:$J$190,$B13),0))*Paramètres!$B$3</f>
        <v/>
      </c>
      <c r="F13" s="13">
        <f>E13*Paramètres!$B$5</f>
        <v/>
      </c>
      <c r="G13" s="13">
        <f>IF(12=1,F13,G12+F13)</f>
        <v/>
      </c>
      <c r="H13" s="12">
        <f>MIN(189,$B13+Paramètres!$B$7,COUNTIF(Données!$K$2:$K$190,"&lt;="&amp;G13))</f>
        <v/>
      </c>
      <c r="I13" s="15">
        <f>Paramètres!$B$4+IFERROR(INDEX(Données!$I$2:$I$190,$H13),0)</f>
        <v/>
      </c>
      <c r="J13" s="13">
        <f>Paramètres!$B$4+IFERROR(INDEX(Données!$I$2:$I$190,MIN($H13,160)),0)</f>
        <v/>
      </c>
      <c r="K13" s="13">
        <f>I13-J13</f>
        <v/>
      </c>
      <c r="L13" s="13">
        <f>IF(12=1,E13,L12+E13)</f>
        <v/>
      </c>
      <c r="M13" s="13">
        <f>G13-IFERROR(INDEX(Données!$K$2:$K$190,$H13),0)</f>
        <v/>
      </c>
    </row>
    <row r="14">
      <c r="A14" s="12" t="n">
        <v>13</v>
      </c>
      <c r="B14" s="12">
        <f>IF(13=1,0,H13)</f>
        <v/>
      </c>
      <c r="C14" s="13">
        <f>Paramètres!$B$4+IFERROR(INDEX(Données!$I$2:$I$190,$B14),0)</f>
        <v/>
      </c>
      <c r="D14" s="13">
        <f>C14*Paramètres!$B$3</f>
        <v/>
      </c>
      <c r="E14" s="15">
        <f>(Paramètres!$B$4*Paramètres!$B$6+IFERROR(INDEX(Données!$J$2:$J$190,$B14),0))*Paramètres!$B$3</f>
        <v/>
      </c>
      <c r="F14" s="13">
        <f>E14*Paramètres!$B$5</f>
        <v/>
      </c>
      <c r="G14" s="13">
        <f>IF(13=1,F14,G13+F14)</f>
        <v/>
      </c>
      <c r="H14" s="12">
        <f>MIN(189,$B14+Paramètres!$B$7,COUNTIF(Données!$K$2:$K$190,"&lt;="&amp;G14))</f>
        <v/>
      </c>
      <c r="I14" s="15">
        <f>Paramètres!$B$4+IFERROR(INDEX(Données!$I$2:$I$190,$H14),0)</f>
        <v/>
      </c>
      <c r="J14" s="13">
        <f>Paramètres!$B$4+IFERROR(INDEX(Données!$I$2:$I$190,MIN($H14,160)),0)</f>
        <v/>
      </c>
      <c r="K14" s="13">
        <f>I14-J14</f>
        <v/>
      </c>
      <c r="L14" s="13">
        <f>IF(13=1,E14,L13+E14)</f>
        <v/>
      </c>
      <c r="M14" s="13">
        <f>G14-IFERROR(INDEX(Données!$K$2:$K$190,$H14),0)</f>
        <v/>
      </c>
    </row>
    <row r="15">
      <c r="A15" s="12" t="n">
        <v>14</v>
      </c>
      <c r="B15" s="12">
        <f>IF(14=1,0,H14)</f>
        <v/>
      </c>
      <c r="C15" s="13">
        <f>Paramètres!$B$4+IFERROR(INDEX(Données!$I$2:$I$190,$B15),0)</f>
        <v/>
      </c>
      <c r="D15" s="13">
        <f>C15*Paramètres!$B$3</f>
        <v/>
      </c>
      <c r="E15" s="15">
        <f>(Paramètres!$B$4*Paramètres!$B$6+IFERROR(INDEX(Données!$J$2:$J$190,$B15),0))*Paramètres!$B$3</f>
        <v/>
      </c>
      <c r="F15" s="13">
        <f>E15*Paramètres!$B$5</f>
        <v/>
      </c>
      <c r="G15" s="13">
        <f>IF(14=1,F15,G14+F15)</f>
        <v/>
      </c>
      <c r="H15" s="12">
        <f>MIN(189,$B15+Paramètres!$B$7,COUNTIF(Données!$K$2:$K$190,"&lt;="&amp;G15))</f>
        <v/>
      </c>
      <c r="I15" s="15">
        <f>Paramètres!$B$4+IFERROR(INDEX(Données!$I$2:$I$190,$H15),0)</f>
        <v/>
      </c>
      <c r="J15" s="13">
        <f>Paramètres!$B$4+IFERROR(INDEX(Données!$I$2:$I$190,MIN($H15,160)),0)</f>
        <v/>
      </c>
      <c r="K15" s="13">
        <f>I15-J15</f>
        <v/>
      </c>
      <c r="L15" s="13">
        <f>IF(14=1,E15,L14+E15)</f>
        <v/>
      </c>
      <c r="M15" s="13">
        <f>G15-IFERROR(INDEX(Données!$K$2:$K$190,$H15),0)</f>
        <v/>
      </c>
    </row>
    <row r="16">
      <c r="A16" s="12" t="n">
        <v>15</v>
      </c>
      <c r="B16" s="12">
        <f>IF(15=1,0,H15)</f>
        <v/>
      </c>
      <c r="C16" s="13">
        <f>Paramètres!$B$4+IFERROR(INDEX(Données!$I$2:$I$190,$B16),0)</f>
        <v/>
      </c>
      <c r="D16" s="13">
        <f>C16*Paramètres!$B$3</f>
        <v/>
      </c>
      <c r="E16" s="15">
        <f>(Paramètres!$B$4*Paramètres!$B$6+IFERROR(INDEX(Données!$J$2:$J$190,$B16),0))*Paramètres!$B$3</f>
        <v/>
      </c>
      <c r="F16" s="13">
        <f>E16*Paramètres!$B$5</f>
        <v/>
      </c>
      <c r="G16" s="13">
        <f>IF(15=1,F16,G15+F16)</f>
        <v/>
      </c>
      <c r="H16" s="12">
        <f>MIN(189,$B16+Paramètres!$B$7,COUNTIF(Données!$K$2:$K$190,"&lt;="&amp;G16))</f>
        <v/>
      </c>
      <c r="I16" s="15">
        <f>Paramètres!$B$4+IFERROR(INDEX(Données!$I$2:$I$190,$H16),0)</f>
        <v/>
      </c>
      <c r="J16" s="13">
        <f>Paramètres!$B$4+IFERROR(INDEX(Données!$I$2:$I$190,MIN($H16,160)),0)</f>
        <v/>
      </c>
      <c r="K16" s="13">
        <f>I16-J16</f>
        <v/>
      </c>
      <c r="L16" s="13">
        <f>IF(15=1,E16,L15+E16)</f>
        <v/>
      </c>
      <c r="M16" s="13">
        <f>G16-IFERROR(INDEX(Données!$K$2:$K$190,$H16),0)</f>
        <v/>
      </c>
    </row>
    <row r="17">
      <c r="A17" s="12" t="n">
        <v>16</v>
      </c>
      <c r="B17" s="12">
        <f>IF(16=1,0,H16)</f>
        <v/>
      </c>
      <c r="C17" s="13">
        <f>Paramètres!$B$4+IFERROR(INDEX(Données!$I$2:$I$190,$B17),0)</f>
        <v/>
      </c>
      <c r="D17" s="13">
        <f>C17*Paramètres!$B$3</f>
        <v/>
      </c>
      <c r="E17" s="15">
        <f>(Paramètres!$B$4*Paramètres!$B$6+IFERROR(INDEX(Données!$J$2:$J$190,$B17),0))*Paramètres!$B$3</f>
        <v/>
      </c>
      <c r="F17" s="13">
        <f>E17*Paramètres!$B$5</f>
        <v/>
      </c>
      <c r="G17" s="13">
        <f>IF(16=1,F17,G16+F17)</f>
        <v/>
      </c>
      <c r="H17" s="12">
        <f>MIN(189,$B17+Paramètres!$B$7,COUNTIF(Données!$K$2:$K$190,"&lt;="&amp;G17))</f>
        <v/>
      </c>
      <c r="I17" s="15">
        <f>Paramètres!$B$4+IFERROR(INDEX(Données!$I$2:$I$190,$H17),0)</f>
        <v/>
      </c>
      <c r="J17" s="13">
        <f>Paramètres!$B$4+IFERROR(INDEX(Données!$I$2:$I$190,MIN($H17,160)),0)</f>
        <v/>
      </c>
      <c r="K17" s="13">
        <f>I17-J17</f>
        <v/>
      </c>
      <c r="L17" s="13">
        <f>IF(16=1,E17,L16+E17)</f>
        <v/>
      </c>
      <c r="M17" s="13">
        <f>G17-IFERROR(INDEX(Données!$K$2:$K$190,$H17),0)</f>
        <v/>
      </c>
    </row>
    <row r="18">
      <c r="A18" s="12" t="n">
        <v>17</v>
      </c>
      <c r="B18" s="12">
        <f>IF(17=1,0,H17)</f>
        <v/>
      </c>
      <c r="C18" s="13">
        <f>Paramètres!$B$4+IFERROR(INDEX(Données!$I$2:$I$190,$B18),0)</f>
        <v/>
      </c>
      <c r="D18" s="13">
        <f>C18*Paramètres!$B$3</f>
        <v/>
      </c>
      <c r="E18" s="15">
        <f>(Paramètres!$B$4*Paramètres!$B$6+IFERROR(INDEX(Données!$J$2:$J$190,$B18),0))*Paramètres!$B$3</f>
        <v/>
      </c>
      <c r="F18" s="13">
        <f>E18*Paramètres!$B$5</f>
        <v/>
      </c>
      <c r="G18" s="13">
        <f>IF(17=1,F18,G17+F18)</f>
        <v/>
      </c>
      <c r="H18" s="12">
        <f>MIN(189,$B18+Paramètres!$B$7,COUNTIF(Données!$K$2:$K$190,"&lt;="&amp;G18))</f>
        <v/>
      </c>
      <c r="I18" s="15">
        <f>Paramètres!$B$4+IFERROR(INDEX(Données!$I$2:$I$190,$H18),0)</f>
        <v/>
      </c>
      <c r="J18" s="13">
        <f>Paramètres!$B$4+IFERROR(INDEX(Données!$I$2:$I$190,MIN($H18,160)),0)</f>
        <v/>
      </c>
      <c r="K18" s="13">
        <f>I18-J18</f>
        <v/>
      </c>
      <c r="L18" s="13">
        <f>IF(17=1,E18,L17+E18)</f>
        <v/>
      </c>
      <c r="M18" s="13">
        <f>G18-IFERROR(INDEX(Données!$K$2:$K$190,$H18),0)</f>
        <v/>
      </c>
    </row>
    <row r="19">
      <c r="A19" s="12" t="n">
        <v>18</v>
      </c>
      <c r="B19" s="12">
        <f>IF(18=1,0,H18)</f>
        <v/>
      </c>
      <c r="C19" s="13">
        <f>Paramètres!$B$4+IFERROR(INDEX(Données!$I$2:$I$190,$B19),0)</f>
        <v/>
      </c>
      <c r="D19" s="13">
        <f>C19*Paramètres!$B$3</f>
        <v/>
      </c>
      <c r="E19" s="15">
        <f>(Paramètres!$B$4*Paramètres!$B$6+IFERROR(INDEX(Données!$J$2:$J$190,$B19),0))*Paramètres!$B$3</f>
        <v/>
      </c>
      <c r="F19" s="13">
        <f>E19*Paramètres!$B$5</f>
        <v/>
      </c>
      <c r="G19" s="13">
        <f>IF(18=1,F19,G18+F19)</f>
        <v/>
      </c>
      <c r="H19" s="12">
        <f>MIN(189,$B19+Paramètres!$B$7,COUNTIF(Données!$K$2:$K$190,"&lt;="&amp;G19))</f>
        <v/>
      </c>
      <c r="I19" s="15">
        <f>Paramètres!$B$4+IFERROR(INDEX(Données!$I$2:$I$190,$H19),0)</f>
        <v/>
      </c>
      <c r="J19" s="13">
        <f>Paramètres!$B$4+IFERROR(INDEX(Données!$I$2:$I$190,MIN($H19,160)),0)</f>
        <v/>
      </c>
      <c r="K19" s="13">
        <f>I19-J19</f>
        <v/>
      </c>
      <c r="L19" s="13">
        <f>IF(18=1,E19,L18+E19)</f>
        <v/>
      </c>
      <c r="M19" s="13">
        <f>G19-IFERROR(INDEX(Données!$K$2:$K$190,$H19),0)</f>
        <v/>
      </c>
    </row>
    <row r="20">
      <c r="A20" s="12" t="n">
        <v>19</v>
      </c>
      <c r="B20" s="12">
        <f>IF(19=1,0,H19)</f>
        <v/>
      </c>
      <c r="C20" s="13">
        <f>Paramètres!$B$4+IFERROR(INDEX(Données!$I$2:$I$190,$B20),0)</f>
        <v/>
      </c>
      <c r="D20" s="13">
        <f>C20*Paramètres!$B$3</f>
        <v/>
      </c>
      <c r="E20" s="15">
        <f>(Paramètres!$B$4*Paramètres!$B$6+IFERROR(INDEX(Données!$J$2:$J$190,$B20),0))*Paramètres!$B$3</f>
        <v/>
      </c>
      <c r="F20" s="13">
        <f>E20*Paramètres!$B$5</f>
        <v/>
      </c>
      <c r="G20" s="13">
        <f>IF(19=1,F20,G19+F20)</f>
        <v/>
      </c>
      <c r="H20" s="12">
        <f>MIN(189,$B20+Paramètres!$B$7,COUNTIF(Données!$K$2:$K$190,"&lt;="&amp;G20))</f>
        <v/>
      </c>
      <c r="I20" s="15">
        <f>Paramètres!$B$4+IFERROR(INDEX(Données!$I$2:$I$190,$H20),0)</f>
        <v/>
      </c>
      <c r="J20" s="13">
        <f>Paramètres!$B$4+IFERROR(INDEX(Données!$I$2:$I$190,MIN($H20,160)),0)</f>
        <v/>
      </c>
      <c r="K20" s="13">
        <f>I20-J20</f>
        <v/>
      </c>
      <c r="L20" s="13">
        <f>IF(19=1,E20,L19+E20)</f>
        <v/>
      </c>
      <c r="M20" s="13">
        <f>G20-IFERROR(INDEX(Données!$K$2:$K$190,$H20),0)</f>
        <v/>
      </c>
    </row>
    <row r="21">
      <c r="A21" s="12" t="n">
        <v>20</v>
      </c>
      <c r="B21" s="12">
        <f>IF(20=1,0,H20)</f>
        <v/>
      </c>
      <c r="C21" s="13">
        <f>Paramètres!$B$4+IFERROR(INDEX(Données!$I$2:$I$190,$B21),0)</f>
        <v/>
      </c>
      <c r="D21" s="13">
        <f>C21*Paramètres!$B$3</f>
        <v/>
      </c>
      <c r="E21" s="15">
        <f>(Paramètres!$B$4*Paramètres!$B$6+IFERROR(INDEX(Données!$J$2:$J$190,$B21),0))*Paramètres!$B$3</f>
        <v/>
      </c>
      <c r="F21" s="13">
        <f>E21*Paramètres!$B$5</f>
        <v/>
      </c>
      <c r="G21" s="13">
        <f>IF(20=1,F21,G20+F21)</f>
        <v/>
      </c>
      <c r="H21" s="12">
        <f>MIN(189,$B21+Paramètres!$B$7,COUNTIF(Données!$K$2:$K$190,"&lt;="&amp;G21))</f>
        <v/>
      </c>
      <c r="I21" s="15">
        <f>Paramètres!$B$4+IFERROR(INDEX(Données!$I$2:$I$190,$H21),0)</f>
        <v/>
      </c>
      <c r="J21" s="13">
        <f>Paramètres!$B$4+IFERROR(INDEX(Données!$I$2:$I$190,MIN($H21,160)),0)</f>
        <v/>
      </c>
      <c r="K21" s="13">
        <f>I21-J21</f>
        <v/>
      </c>
      <c r="L21" s="13">
        <f>IF(20=1,E21,L20+E21)</f>
        <v/>
      </c>
      <c r="M21" s="13">
        <f>G21-IFERROR(INDEX(Données!$K$2:$K$190,$H21),0)</f>
        <v/>
      </c>
    </row>
    <row r="22">
      <c r="A22" s="12" t="n">
        <v>21</v>
      </c>
      <c r="B22" s="12">
        <f>IF(21=1,0,H21)</f>
        <v/>
      </c>
      <c r="C22" s="13">
        <f>Paramètres!$B$4+IFERROR(INDEX(Données!$I$2:$I$190,$B22),0)</f>
        <v/>
      </c>
      <c r="D22" s="13">
        <f>C22*Paramètres!$B$3</f>
        <v/>
      </c>
      <c r="E22" s="15">
        <f>(Paramètres!$B$4*Paramètres!$B$6+IFERROR(INDEX(Données!$J$2:$J$190,$B22),0))*Paramètres!$B$3</f>
        <v/>
      </c>
      <c r="F22" s="13">
        <f>E22*Paramètres!$B$5</f>
        <v/>
      </c>
      <c r="G22" s="13">
        <f>IF(21=1,F22,G21+F22)</f>
        <v/>
      </c>
      <c r="H22" s="12">
        <f>MIN(189,$B22+Paramètres!$B$7,COUNTIF(Données!$K$2:$K$190,"&lt;="&amp;G22))</f>
        <v/>
      </c>
      <c r="I22" s="15">
        <f>Paramètres!$B$4+IFERROR(INDEX(Données!$I$2:$I$190,$H22),0)</f>
        <v/>
      </c>
      <c r="J22" s="13">
        <f>Paramètres!$B$4+IFERROR(INDEX(Données!$I$2:$I$190,MIN($H22,160)),0)</f>
        <v/>
      </c>
      <c r="K22" s="13">
        <f>I22-J22</f>
        <v/>
      </c>
      <c r="L22" s="13">
        <f>IF(21=1,E22,L21+E22)</f>
        <v/>
      </c>
      <c r="M22" s="13">
        <f>G22-IFERROR(INDEX(Données!$K$2:$K$190,$H22),0)</f>
        <v/>
      </c>
    </row>
    <row r="23">
      <c r="A23" s="12" t="n">
        <v>22</v>
      </c>
      <c r="B23" s="12">
        <f>IF(22=1,0,H22)</f>
        <v/>
      </c>
      <c r="C23" s="13">
        <f>Paramètres!$B$4+IFERROR(INDEX(Données!$I$2:$I$190,$B23),0)</f>
        <v/>
      </c>
      <c r="D23" s="13">
        <f>C23*Paramètres!$B$3</f>
        <v/>
      </c>
      <c r="E23" s="15">
        <f>(Paramètres!$B$4*Paramètres!$B$6+IFERROR(INDEX(Données!$J$2:$J$190,$B23),0))*Paramètres!$B$3</f>
        <v/>
      </c>
      <c r="F23" s="13">
        <f>E23*Paramètres!$B$5</f>
        <v/>
      </c>
      <c r="G23" s="13">
        <f>IF(22=1,F23,G22+F23)</f>
        <v/>
      </c>
      <c r="H23" s="12">
        <f>MIN(189,$B23+Paramètres!$B$7,COUNTIF(Données!$K$2:$K$190,"&lt;="&amp;G23))</f>
        <v/>
      </c>
      <c r="I23" s="15">
        <f>Paramètres!$B$4+IFERROR(INDEX(Données!$I$2:$I$190,$H23),0)</f>
        <v/>
      </c>
      <c r="J23" s="13">
        <f>Paramètres!$B$4+IFERROR(INDEX(Données!$I$2:$I$190,MIN($H23,160)),0)</f>
        <v/>
      </c>
      <c r="K23" s="13">
        <f>I23-J23</f>
        <v/>
      </c>
      <c r="L23" s="13">
        <f>IF(22=1,E23,L22+E23)</f>
        <v/>
      </c>
      <c r="M23" s="13">
        <f>G23-IFERROR(INDEX(Données!$K$2:$K$190,$H23),0)</f>
        <v/>
      </c>
    </row>
    <row r="24">
      <c r="A24" s="12" t="n">
        <v>23</v>
      </c>
      <c r="B24" s="12">
        <f>IF(23=1,0,H23)</f>
        <v/>
      </c>
      <c r="C24" s="13">
        <f>Paramètres!$B$4+IFERROR(INDEX(Données!$I$2:$I$190,$B24),0)</f>
        <v/>
      </c>
      <c r="D24" s="13">
        <f>C24*Paramètres!$B$3</f>
        <v/>
      </c>
      <c r="E24" s="15">
        <f>(Paramètres!$B$4*Paramètres!$B$6+IFERROR(INDEX(Données!$J$2:$J$190,$B24),0))*Paramètres!$B$3</f>
        <v/>
      </c>
      <c r="F24" s="13">
        <f>E24*Paramètres!$B$5</f>
        <v/>
      </c>
      <c r="G24" s="13">
        <f>IF(23=1,F24,G23+F24)</f>
        <v/>
      </c>
      <c r="H24" s="12">
        <f>MIN(189,$B24+Paramètres!$B$7,COUNTIF(Données!$K$2:$K$190,"&lt;="&amp;G24))</f>
        <v/>
      </c>
      <c r="I24" s="15">
        <f>Paramètres!$B$4+IFERROR(INDEX(Données!$I$2:$I$190,$H24),0)</f>
        <v/>
      </c>
      <c r="J24" s="13">
        <f>Paramètres!$B$4+IFERROR(INDEX(Données!$I$2:$I$190,MIN($H24,160)),0)</f>
        <v/>
      </c>
      <c r="K24" s="13">
        <f>I24-J24</f>
        <v/>
      </c>
      <c r="L24" s="13">
        <f>IF(23=1,E24,L23+E24)</f>
        <v/>
      </c>
      <c r="M24" s="13">
        <f>G24-IFERROR(INDEX(Données!$K$2:$K$190,$H24),0)</f>
        <v/>
      </c>
    </row>
    <row r="25">
      <c r="A25" s="12" t="n">
        <v>24</v>
      </c>
      <c r="B25" s="12">
        <f>IF(24=1,0,H24)</f>
        <v/>
      </c>
      <c r="C25" s="13">
        <f>Paramètres!$B$4+IFERROR(INDEX(Données!$I$2:$I$190,$B25),0)</f>
        <v/>
      </c>
      <c r="D25" s="13">
        <f>C25*Paramètres!$B$3</f>
        <v/>
      </c>
      <c r="E25" s="15">
        <f>(Paramètres!$B$4*Paramètres!$B$6+IFERROR(INDEX(Données!$J$2:$J$190,$B25),0))*Paramètres!$B$3</f>
        <v/>
      </c>
      <c r="F25" s="13">
        <f>E25*Paramètres!$B$5</f>
        <v/>
      </c>
      <c r="G25" s="13">
        <f>IF(24=1,F25,G24+F25)</f>
        <v/>
      </c>
      <c r="H25" s="12">
        <f>MIN(189,$B25+Paramètres!$B$7,COUNTIF(Données!$K$2:$K$190,"&lt;="&amp;G25))</f>
        <v/>
      </c>
      <c r="I25" s="15">
        <f>Paramètres!$B$4+IFERROR(INDEX(Données!$I$2:$I$190,$H25),0)</f>
        <v/>
      </c>
      <c r="J25" s="13">
        <f>Paramètres!$B$4+IFERROR(INDEX(Données!$I$2:$I$190,MIN($H25,160)),0)</f>
        <v/>
      </c>
      <c r="K25" s="13">
        <f>I25-J25</f>
        <v/>
      </c>
      <c r="L25" s="13">
        <f>IF(24=1,E25,L24+E25)</f>
        <v/>
      </c>
      <c r="M25" s="13">
        <f>G25-IFERROR(INDEX(Données!$K$2:$K$190,$H25),0)</f>
        <v/>
      </c>
    </row>
    <row r="26">
      <c r="A26" s="12" t="n">
        <v>25</v>
      </c>
      <c r="B26" s="12">
        <f>IF(25=1,0,H25)</f>
        <v/>
      </c>
      <c r="C26" s="13">
        <f>Paramètres!$B$4+IFERROR(INDEX(Données!$I$2:$I$190,$B26),0)</f>
        <v/>
      </c>
      <c r="D26" s="13">
        <f>C26*Paramètres!$B$3</f>
        <v/>
      </c>
      <c r="E26" s="15">
        <f>(Paramètres!$B$4*Paramètres!$B$6+IFERROR(INDEX(Données!$J$2:$J$190,$B26),0))*Paramètres!$B$3</f>
        <v/>
      </c>
      <c r="F26" s="13">
        <f>E26*Paramètres!$B$5</f>
        <v/>
      </c>
      <c r="G26" s="13">
        <f>IF(25=1,F26,G25+F26)</f>
        <v/>
      </c>
      <c r="H26" s="12">
        <f>MIN(189,$B26+Paramètres!$B$7,COUNTIF(Données!$K$2:$K$190,"&lt;="&amp;G26))</f>
        <v/>
      </c>
      <c r="I26" s="15">
        <f>Paramètres!$B$4+IFERROR(INDEX(Données!$I$2:$I$190,$H26),0)</f>
        <v/>
      </c>
      <c r="J26" s="13">
        <f>Paramètres!$B$4+IFERROR(INDEX(Données!$I$2:$I$190,MIN($H26,160)),0)</f>
        <v/>
      </c>
      <c r="K26" s="13">
        <f>I26-J26</f>
        <v/>
      </c>
      <c r="L26" s="13">
        <f>IF(25=1,E26,L25+E26)</f>
        <v/>
      </c>
      <c r="M26" s="13">
        <f>G26-IFERROR(INDEX(Données!$K$2:$K$190,$H26),0)</f>
        <v/>
      </c>
    </row>
    <row r="27">
      <c r="A27" s="12" t="n">
        <v>26</v>
      </c>
      <c r="B27" s="12">
        <f>IF(26=1,0,H26)</f>
        <v/>
      </c>
      <c r="C27" s="13">
        <f>Paramètres!$B$4+IFERROR(INDEX(Données!$I$2:$I$190,$B27),0)</f>
        <v/>
      </c>
      <c r="D27" s="13">
        <f>C27*Paramètres!$B$3</f>
        <v/>
      </c>
      <c r="E27" s="15">
        <f>(Paramètres!$B$4*Paramètres!$B$6+IFERROR(INDEX(Données!$J$2:$J$190,$B27),0))*Paramètres!$B$3</f>
        <v/>
      </c>
      <c r="F27" s="13">
        <f>E27*Paramètres!$B$5</f>
        <v/>
      </c>
      <c r="G27" s="13">
        <f>IF(26=1,F27,G26+F27)</f>
        <v/>
      </c>
      <c r="H27" s="12">
        <f>MIN(189,$B27+Paramètres!$B$7,COUNTIF(Données!$K$2:$K$190,"&lt;="&amp;G27))</f>
        <v/>
      </c>
      <c r="I27" s="15">
        <f>Paramètres!$B$4+IFERROR(INDEX(Données!$I$2:$I$190,$H27),0)</f>
        <v/>
      </c>
      <c r="J27" s="13">
        <f>Paramètres!$B$4+IFERROR(INDEX(Données!$I$2:$I$190,MIN($H27,160)),0)</f>
        <v/>
      </c>
      <c r="K27" s="13">
        <f>I27-J27</f>
        <v/>
      </c>
      <c r="L27" s="13">
        <f>IF(26=1,E27,L26+E27)</f>
        <v/>
      </c>
      <c r="M27" s="13">
        <f>G27-IFERROR(INDEX(Données!$K$2:$K$190,$H27),0)</f>
        <v/>
      </c>
    </row>
    <row r="28">
      <c r="A28" s="12" t="n">
        <v>27</v>
      </c>
      <c r="B28" s="12">
        <f>IF(27=1,0,H27)</f>
        <v/>
      </c>
      <c r="C28" s="13">
        <f>Paramètres!$B$4+IFERROR(INDEX(Données!$I$2:$I$190,$B28),0)</f>
        <v/>
      </c>
      <c r="D28" s="13">
        <f>C28*Paramètres!$B$3</f>
        <v/>
      </c>
      <c r="E28" s="15">
        <f>(Paramètres!$B$4*Paramètres!$B$6+IFERROR(INDEX(Données!$J$2:$J$190,$B28),0))*Paramètres!$B$3</f>
        <v/>
      </c>
      <c r="F28" s="13">
        <f>E28*Paramètres!$B$5</f>
        <v/>
      </c>
      <c r="G28" s="13">
        <f>IF(27=1,F28,G27+F28)</f>
        <v/>
      </c>
      <c r="H28" s="12">
        <f>MIN(189,$B28+Paramètres!$B$7,COUNTIF(Données!$K$2:$K$190,"&lt;="&amp;G28))</f>
        <v/>
      </c>
      <c r="I28" s="15">
        <f>Paramètres!$B$4+IFERROR(INDEX(Données!$I$2:$I$190,$H28),0)</f>
        <v/>
      </c>
      <c r="J28" s="13">
        <f>Paramètres!$B$4+IFERROR(INDEX(Données!$I$2:$I$190,MIN($H28,160)),0)</f>
        <v/>
      </c>
      <c r="K28" s="13">
        <f>I28-J28</f>
        <v/>
      </c>
      <c r="L28" s="13">
        <f>IF(27=1,E28,L27+E28)</f>
        <v/>
      </c>
      <c r="M28" s="13">
        <f>G28-IFERROR(INDEX(Données!$K$2:$K$190,$H28),0)</f>
        <v/>
      </c>
    </row>
    <row r="29">
      <c r="A29" s="12" t="n">
        <v>28</v>
      </c>
      <c r="B29" s="12">
        <f>IF(28=1,0,H28)</f>
        <v/>
      </c>
      <c r="C29" s="13">
        <f>Paramètres!$B$4+IFERROR(INDEX(Données!$I$2:$I$190,$B29),0)</f>
        <v/>
      </c>
      <c r="D29" s="13">
        <f>C29*Paramètres!$B$3</f>
        <v/>
      </c>
      <c r="E29" s="15">
        <f>(Paramètres!$B$4*Paramètres!$B$6+IFERROR(INDEX(Données!$J$2:$J$190,$B29),0))*Paramètres!$B$3</f>
        <v/>
      </c>
      <c r="F29" s="13">
        <f>E29*Paramètres!$B$5</f>
        <v/>
      </c>
      <c r="G29" s="13">
        <f>IF(28=1,F29,G28+F29)</f>
        <v/>
      </c>
      <c r="H29" s="12">
        <f>MIN(189,$B29+Paramètres!$B$7,COUNTIF(Données!$K$2:$K$190,"&lt;="&amp;G29))</f>
        <v/>
      </c>
      <c r="I29" s="15">
        <f>Paramètres!$B$4+IFERROR(INDEX(Données!$I$2:$I$190,$H29),0)</f>
        <v/>
      </c>
      <c r="J29" s="13">
        <f>Paramètres!$B$4+IFERROR(INDEX(Données!$I$2:$I$190,MIN($H29,160)),0)</f>
        <v/>
      </c>
      <c r="K29" s="13">
        <f>I29-J29</f>
        <v/>
      </c>
      <c r="L29" s="13">
        <f>IF(28=1,E29,L28+E29)</f>
        <v/>
      </c>
      <c r="M29" s="13">
        <f>G29-IFERROR(INDEX(Données!$K$2:$K$190,$H29),0)</f>
        <v/>
      </c>
    </row>
    <row r="30">
      <c r="A30" s="12" t="n">
        <v>29</v>
      </c>
      <c r="B30" s="12">
        <f>IF(29=1,0,H29)</f>
        <v/>
      </c>
      <c r="C30" s="13">
        <f>Paramètres!$B$4+IFERROR(INDEX(Données!$I$2:$I$190,$B30),0)</f>
        <v/>
      </c>
      <c r="D30" s="13">
        <f>C30*Paramètres!$B$3</f>
        <v/>
      </c>
      <c r="E30" s="15">
        <f>(Paramètres!$B$4*Paramètres!$B$6+IFERROR(INDEX(Données!$J$2:$J$190,$B30),0))*Paramètres!$B$3</f>
        <v/>
      </c>
      <c r="F30" s="13">
        <f>E30*Paramètres!$B$5</f>
        <v/>
      </c>
      <c r="G30" s="13">
        <f>IF(29=1,F30,G29+F30)</f>
        <v/>
      </c>
      <c r="H30" s="12">
        <f>MIN(189,$B30+Paramètres!$B$7,COUNTIF(Données!$K$2:$K$190,"&lt;="&amp;G30))</f>
        <v/>
      </c>
      <c r="I30" s="15">
        <f>Paramètres!$B$4+IFERROR(INDEX(Données!$I$2:$I$190,$H30),0)</f>
        <v/>
      </c>
      <c r="J30" s="13">
        <f>Paramètres!$B$4+IFERROR(INDEX(Données!$I$2:$I$190,MIN($H30,160)),0)</f>
        <v/>
      </c>
      <c r="K30" s="13">
        <f>I30-J30</f>
        <v/>
      </c>
      <c r="L30" s="13">
        <f>IF(29=1,E30,L29+E30)</f>
        <v/>
      </c>
      <c r="M30" s="13">
        <f>G30-IFERROR(INDEX(Données!$K$2:$K$190,$H30),0)</f>
        <v/>
      </c>
    </row>
    <row r="31">
      <c r="A31" s="12" t="n">
        <v>30</v>
      </c>
      <c r="B31" s="12">
        <f>IF(30=1,0,H30)</f>
        <v/>
      </c>
      <c r="C31" s="13">
        <f>Paramètres!$B$4+IFERROR(INDEX(Données!$I$2:$I$190,$B31),0)</f>
        <v/>
      </c>
      <c r="D31" s="13">
        <f>C31*Paramètres!$B$3</f>
        <v/>
      </c>
      <c r="E31" s="15">
        <f>(Paramètres!$B$4*Paramètres!$B$6+IFERROR(INDEX(Données!$J$2:$J$190,$B31),0))*Paramètres!$B$3</f>
        <v/>
      </c>
      <c r="F31" s="13">
        <f>E31*Paramètres!$B$5</f>
        <v/>
      </c>
      <c r="G31" s="13">
        <f>IF(30=1,F31,G30+F31)</f>
        <v/>
      </c>
      <c r="H31" s="12">
        <f>MIN(189,$B31+Paramètres!$B$7,COUNTIF(Données!$K$2:$K$190,"&lt;="&amp;G31))</f>
        <v/>
      </c>
      <c r="I31" s="15">
        <f>Paramètres!$B$4+IFERROR(INDEX(Données!$I$2:$I$190,$H31),0)</f>
        <v/>
      </c>
      <c r="J31" s="13">
        <f>Paramètres!$B$4+IFERROR(INDEX(Données!$I$2:$I$190,MIN($H31,160)),0)</f>
        <v/>
      </c>
      <c r="K31" s="13">
        <f>I31-J31</f>
        <v/>
      </c>
      <c r="L31" s="13">
        <f>IF(30=1,E31,L30+E31)</f>
        <v/>
      </c>
      <c r="M31" s="13">
        <f>G31-IFERROR(INDEX(Données!$K$2:$K$190,$H31),0)</f>
        <v/>
      </c>
    </row>
    <row r="32">
      <c r="A32" s="12" t="n">
        <v>31</v>
      </c>
      <c r="B32" s="12">
        <f>IF(31=1,0,H31)</f>
        <v/>
      </c>
      <c r="C32" s="13">
        <f>Paramètres!$B$4+IFERROR(INDEX(Données!$I$2:$I$190,$B32),0)</f>
        <v/>
      </c>
      <c r="D32" s="13">
        <f>C32*Paramètres!$B$3</f>
        <v/>
      </c>
      <c r="E32" s="15">
        <f>(Paramètres!$B$4*Paramètres!$B$6+IFERROR(INDEX(Données!$J$2:$J$190,$B32),0))*Paramètres!$B$3</f>
        <v/>
      </c>
      <c r="F32" s="13">
        <f>E32*Paramètres!$B$5</f>
        <v/>
      </c>
      <c r="G32" s="13">
        <f>IF(31=1,F32,G31+F32)</f>
        <v/>
      </c>
      <c r="H32" s="12">
        <f>MIN(189,$B32+Paramètres!$B$7,COUNTIF(Données!$K$2:$K$190,"&lt;="&amp;G32))</f>
        <v/>
      </c>
      <c r="I32" s="15">
        <f>Paramètres!$B$4+IFERROR(INDEX(Données!$I$2:$I$190,$H32),0)</f>
        <v/>
      </c>
      <c r="J32" s="13">
        <f>Paramètres!$B$4+IFERROR(INDEX(Données!$I$2:$I$190,MIN($H32,160)),0)</f>
        <v/>
      </c>
      <c r="K32" s="13">
        <f>I32-J32</f>
        <v/>
      </c>
      <c r="L32" s="13">
        <f>IF(31=1,E32,L31+E32)</f>
        <v/>
      </c>
      <c r="M32" s="13">
        <f>G32-IFERROR(INDEX(Données!$K$2:$K$190,$H32),0)</f>
        <v/>
      </c>
    </row>
    <row r="33">
      <c r="A33" s="12" t="n">
        <v>32</v>
      </c>
      <c r="B33" s="12">
        <f>IF(32=1,0,H32)</f>
        <v/>
      </c>
      <c r="C33" s="13">
        <f>Paramètres!$B$4+IFERROR(INDEX(Données!$I$2:$I$190,$B33),0)</f>
        <v/>
      </c>
      <c r="D33" s="13">
        <f>C33*Paramètres!$B$3</f>
        <v/>
      </c>
      <c r="E33" s="15">
        <f>(Paramètres!$B$4*Paramètres!$B$6+IFERROR(INDEX(Données!$J$2:$J$190,$B33),0))*Paramètres!$B$3</f>
        <v/>
      </c>
      <c r="F33" s="13">
        <f>E33*Paramètres!$B$5</f>
        <v/>
      </c>
      <c r="G33" s="13">
        <f>IF(32=1,F33,G32+F33)</f>
        <v/>
      </c>
      <c r="H33" s="12">
        <f>MIN(189,$B33+Paramètres!$B$7,COUNTIF(Données!$K$2:$K$190,"&lt;="&amp;G33))</f>
        <v/>
      </c>
      <c r="I33" s="15">
        <f>Paramètres!$B$4+IFERROR(INDEX(Données!$I$2:$I$190,$H33),0)</f>
        <v/>
      </c>
      <c r="J33" s="13">
        <f>Paramètres!$B$4+IFERROR(INDEX(Données!$I$2:$I$190,MIN($H33,160)),0)</f>
        <v/>
      </c>
      <c r="K33" s="13">
        <f>I33-J33</f>
        <v/>
      </c>
      <c r="L33" s="13">
        <f>IF(32=1,E33,L32+E33)</f>
        <v/>
      </c>
      <c r="M33" s="13">
        <f>G33-IFERROR(INDEX(Données!$K$2:$K$190,$H33),0)</f>
        <v/>
      </c>
    </row>
    <row r="34">
      <c r="A34" s="12" t="n">
        <v>33</v>
      </c>
      <c r="B34" s="12">
        <f>IF(33=1,0,H33)</f>
        <v/>
      </c>
      <c r="C34" s="13">
        <f>Paramètres!$B$4+IFERROR(INDEX(Données!$I$2:$I$190,$B34),0)</f>
        <v/>
      </c>
      <c r="D34" s="13">
        <f>C34*Paramètres!$B$3</f>
        <v/>
      </c>
      <c r="E34" s="15">
        <f>(Paramètres!$B$4*Paramètres!$B$6+IFERROR(INDEX(Données!$J$2:$J$190,$B34),0))*Paramètres!$B$3</f>
        <v/>
      </c>
      <c r="F34" s="13">
        <f>E34*Paramètres!$B$5</f>
        <v/>
      </c>
      <c r="G34" s="13">
        <f>IF(33=1,F34,G33+F34)</f>
        <v/>
      </c>
      <c r="H34" s="12">
        <f>MIN(189,$B34+Paramètres!$B$7,COUNTIF(Données!$K$2:$K$190,"&lt;="&amp;G34))</f>
        <v/>
      </c>
      <c r="I34" s="15">
        <f>Paramètres!$B$4+IFERROR(INDEX(Données!$I$2:$I$190,$H34),0)</f>
        <v/>
      </c>
      <c r="J34" s="13">
        <f>Paramètres!$B$4+IFERROR(INDEX(Données!$I$2:$I$190,MIN($H34,160)),0)</f>
        <v/>
      </c>
      <c r="K34" s="13">
        <f>I34-J34</f>
        <v/>
      </c>
      <c r="L34" s="13">
        <f>IF(33=1,E34,L33+E34)</f>
        <v/>
      </c>
      <c r="M34" s="13">
        <f>G34-IFERROR(INDEX(Données!$K$2:$K$190,$H34),0)</f>
        <v/>
      </c>
    </row>
    <row r="35">
      <c r="A35" s="12" t="n">
        <v>34</v>
      </c>
      <c r="B35" s="12">
        <f>IF(34=1,0,H34)</f>
        <v/>
      </c>
      <c r="C35" s="13">
        <f>Paramètres!$B$4+IFERROR(INDEX(Données!$I$2:$I$190,$B35),0)</f>
        <v/>
      </c>
      <c r="D35" s="13">
        <f>C35*Paramètres!$B$3</f>
        <v/>
      </c>
      <c r="E35" s="15">
        <f>(Paramètres!$B$4*Paramètres!$B$6+IFERROR(INDEX(Données!$J$2:$J$190,$B35),0))*Paramètres!$B$3</f>
        <v/>
      </c>
      <c r="F35" s="13">
        <f>E35*Paramètres!$B$5</f>
        <v/>
      </c>
      <c r="G35" s="13">
        <f>IF(34=1,F35,G34+F35)</f>
        <v/>
      </c>
      <c r="H35" s="12">
        <f>MIN(189,$B35+Paramètres!$B$7,COUNTIF(Données!$K$2:$K$190,"&lt;="&amp;G35))</f>
        <v/>
      </c>
      <c r="I35" s="15">
        <f>Paramètres!$B$4+IFERROR(INDEX(Données!$I$2:$I$190,$H35),0)</f>
        <v/>
      </c>
      <c r="J35" s="13">
        <f>Paramètres!$B$4+IFERROR(INDEX(Données!$I$2:$I$190,MIN($H35,160)),0)</f>
        <v/>
      </c>
      <c r="K35" s="13">
        <f>I35-J35</f>
        <v/>
      </c>
      <c r="L35" s="13">
        <f>IF(34=1,E35,L34+E35)</f>
        <v/>
      </c>
      <c r="M35" s="13">
        <f>G35-IFERROR(INDEX(Données!$K$2:$K$190,$H35),0)</f>
        <v/>
      </c>
    </row>
    <row r="36">
      <c r="A36" s="12" t="n">
        <v>35</v>
      </c>
      <c r="B36" s="12">
        <f>IF(35=1,0,H35)</f>
        <v/>
      </c>
      <c r="C36" s="13">
        <f>Paramètres!$B$4+IFERROR(INDEX(Données!$I$2:$I$190,$B36),0)</f>
        <v/>
      </c>
      <c r="D36" s="13">
        <f>C36*Paramètres!$B$3</f>
        <v/>
      </c>
      <c r="E36" s="15">
        <f>(Paramètres!$B$4*Paramètres!$B$6+IFERROR(INDEX(Données!$J$2:$J$190,$B36),0))*Paramètres!$B$3</f>
        <v/>
      </c>
      <c r="F36" s="13">
        <f>E36*Paramètres!$B$5</f>
        <v/>
      </c>
      <c r="G36" s="13">
        <f>IF(35=1,F36,G35+F36)</f>
        <v/>
      </c>
      <c r="H36" s="12">
        <f>MIN(189,$B36+Paramètres!$B$7,COUNTIF(Données!$K$2:$K$190,"&lt;="&amp;G36))</f>
        <v/>
      </c>
      <c r="I36" s="15">
        <f>Paramètres!$B$4+IFERROR(INDEX(Données!$I$2:$I$190,$H36),0)</f>
        <v/>
      </c>
      <c r="J36" s="13">
        <f>Paramètres!$B$4+IFERROR(INDEX(Données!$I$2:$I$190,MIN($H36,160)),0)</f>
        <v/>
      </c>
      <c r="K36" s="13">
        <f>I36-J36</f>
        <v/>
      </c>
      <c r="L36" s="13">
        <f>IF(35=1,E36,L35+E36)</f>
        <v/>
      </c>
      <c r="M36" s="13">
        <f>G36-IFERROR(INDEX(Données!$K$2:$K$190,$H36),0)</f>
        <v/>
      </c>
    </row>
    <row r="37">
      <c r="A37" s="12" t="n">
        <v>36</v>
      </c>
      <c r="B37" s="12">
        <f>IF(36=1,0,H36)</f>
        <v/>
      </c>
      <c r="C37" s="13">
        <f>Paramètres!$B$4+IFERROR(INDEX(Données!$I$2:$I$190,$B37),0)</f>
        <v/>
      </c>
      <c r="D37" s="13">
        <f>C37*Paramètres!$B$3</f>
        <v/>
      </c>
      <c r="E37" s="15">
        <f>(Paramètres!$B$4*Paramètres!$B$6+IFERROR(INDEX(Données!$J$2:$J$190,$B37),0))*Paramètres!$B$3</f>
        <v/>
      </c>
      <c r="F37" s="13">
        <f>E37*Paramètres!$B$5</f>
        <v/>
      </c>
      <c r="G37" s="13">
        <f>IF(36=1,F37,G36+F37)</f>
        <v/>
      </c>
      <c r="H37" s="12">
        <f>MIN(189,$B37+Paramètres!$B$7,COUNTIF(Données!$K$2:$K$190,"&lt;="&amp;G37))</f>
        <v/>
      </c>
      <c r="I37" s="15">
        <f>Paramètres!$B$4+IFERROR(INDEX(Données!$I$2:$I$190,$H37),0)</f>
        <v/>
      </c>
      <c r="J37" s="13">
        <f>Paramètres!$B$4+IFERROR(INDEX(Données!$I$2:$I$190,MIN($H37,160)),0)</f>
        <v/>
      </c>
      <c r="K37" s="13">
        <f>I37-J37</f>
        <v/>
      </c>
      <c r="L37" s="13">
        <f>IF(36=1,E37,L36+E37)</f>
        <v/>
      </c>
      <c r="M37" s="13">
        <f>G37-IFERROR(INDEX(Données!$K$2:$K$190,$H37),0)</f>
        <v/>
      </c>
    </row>
    <row r="38">
      <c r="A38" s="12" t="n">
        <v>37</v>
      </c>
      <c r="B38" s="12">
        <f>IF(37=1,0,H37)</f>
        <v/>
      </c>
      <c r="C38" s="13">
        <f>Paramètres!$B$4+IFERROR(INDEX(Données!$I$2:$I$190,$B38),0)</f>
        <v/>
      </c>
      <c r="D38" s="13">
        <f>C38*Paramètres!$B$3</f>
        <v/>
      </c>
      <c r="E38" s="15">
        <f>(Paramètres!$B$4*Paramètres!$B$6+IFERROR(INDEX(Données!$J$2:$J$190,$B38),0))*Paramètres!$B$3</f>
        <v/>
      </c>
      <c r="F38" s="13">
        <f>E38*Paramètres!$B$5</f>
        <v/>
      </c>
      <c r="G38" s="13">
        <f>IF(37=1,F38,G37+F38)</f>
        <v/>
      </c>
      <c r="H38" s="12">
        <f>MIN(189,$B38+Paramètres!$B$7,COUNTIF(Données!$K$2:$K$190,"&lt;="&amp;G38))</f>
        <v/>
      </c>
      <c r="I38" s="15">
        <f>Paramètres!$B$4+IFERROR(INDEX(Données!$I$2:$I$190,$H38),0)</f>
        <v/>
      </c>
      <c r="J38" s="13">
        <f>Paramètres!$B$4+IFERROR(INDEX(Données!$I$2:$I$190,MIN($H38,160)),0)</f>
        <v/>
      </c>
      <c r="K38" s="13">
        <f>I38-J38</f>
        <v/>
      </c>
      <c r="L38" s="13">
        <f>IF(37=1,E38,L37+E38)</f>
        <v/>
      </c>
      <c r="M38" s="13">
        <f>G38-IFERROR(INDEX(Données!$K$2:$K$190,$H38),0)</f>
        <v/>
      </c>
    </row>
    <row r="39">
      <c r="A39" s="12" t="n">
        <v>38</v>
      </c>
      <c r="B39" s="12">
        <f>IF(38=1,0,H38)</f>
        <v/>
      </c>
      <c r="C39" s="13">
        <f>Paramètres!$B$4+IFERROR(INDEX(Données!$I$2:$I$190,$B39),0)</f>
        <v/>
      </c>
      <c r="D39" s="13">
        <f>C39*Paramètres!$B$3</f>
        <v/>
      </c>
      <c r="E39" s="15">
        <f>(Paramètres!$B$4*Paramètres!$B$6+IFERROR(INDEX(Données!$J$2:$J$190,$B39),0))*Paramètres!$B$3</f>
        <v/>
      </c>
      <c r="F39" s="13">
        <f>E39*Paramètres!$B$5</f>
        <v/>
      </c>
      <c r="G39" s="13">
        <f>IF(38=1,F39,G38+F39)</f>
        <v/>
      </c>
      <c r="H39" s="12">
        <f>MIN(189,$B39+Paramètres!$B$7,COUNTIF(Données!$K$2:$K$190,"&lt;="&amp;G39))</f>
        <v/>
      </c>
      <c r="I39" s="15">
        <f>Paramètres!$B$4+IFERROR(INDEX(Données!$I$2:$I$190,$H39),0)</f>
        <v/>
      </c>
      <c r="J39" s="13">
        <f>Paramètres!$B$4+IFERROR(INDEX(Données!$I$2:$I$190,MIN($H39,160)),0)</f>
        <v/>
      </c>
      <c r="K39" s="13">
        <f>I39-J39</f>
        <v/>
      </c>
      <c r="L39" s="13">
        <f>IF(38=1,E39,L38+E39)</f>
        <v/>
      </c>
      <c r="M39" s="13">
        <f>G39-IFERROR(INDEX(Données!$K$2:$K$190,$H39),0)</f>
        <v/>
      </c>
    </row>
    <row r="40">
      <c r="A40" s="12" t="n">
        <v>39</v>
      </c>
      <c r="B40" s="12">
        <f>IF(39=1,0,H39)</f>
        <v/>
      </c>
      <c r="C40" s="13">
        <f>Paramètres!$B$4+IFERROR(INDEX(Données!$I$2:$I$190,$B40),0)</f>
        <v/>
      </c>
      <c r="D40" s="13">
        <f>C40*Paramètres!$B$3</f>
        <v/>
      </c>
      <c r="E40" s="15">
        <f>(Paramètres!$B$4*Paramètres!$B$6+IFERROR(INDEX(Données!$J$2:$J$190,$B40),0))*Paramètres!$B$3</f>
        <v/>
      </c>
      <c r="F40" s="13">
        <f>E40*Paramètres!$B$5</f>
        <v/>
      </c>
      <c r="G40" s="13">
        <f>IF(39=1,F40,G39+F40)</f>
        <v/>
      </c>
      <c r="H40" s="12">
        <f>MIN(189,$B40+Paramètres!$B$7,COUNTIF(Données!$K$2:$K$190,"&lt;="&amp;G40))</f>
        <v/>
      </c>
      <c r="I40" s="15">
        <f>Paramètres!$B$4+IFERROR(INDEX(Données!$I$2:$I$190,$H40),0)</f>
        <v/>
      </c>
      <c r="J40" s="13">
        <f>Paramètres!$B$4+IFERROR(INDEX(Données!$I$2:$I$190,MIN($H40,160)),0)</f>
        <v/>
      </c>
      <c r="K40" s="13">
        <f>I40-J40</f>
        <v/>
      </c>
      <c r="L40" s="13">
        <f>IF(39=1,E40,L39+E40)</f>
        <v/>
      </c>
      <c r="M40" s="13">
        <f>G40-IFERROR(INDEX(Données!$K$2:$K$190,$H40),0)</f>
        <v/>
      </c>
    </row>
    <row r="41">
      <c r="A41" s="12" t="n">
        <v>40</v>
      </c>
      <c r="B41" s="12">
        <f>IF(40=1,0,H40)</f>
        <v/>
      </c>
      <c r="C41" s="13">
        <f>Paramètres!$B$4+IFERROR(INDEX(Données!$I$2:$I$190,$B41),0)</f>
        <v/>
      </c>
      <c r="D41" s="13">
        <f>C41*Paramètres!$B$3</f>
        <v/>
      </c>
      <c r="E41" s="15">
        <f>(Paramètres!$B$4*Paramètres!$B$6+IFERROR(INDEX(Données!$J$2:$J$190,$B41),0))*Paramètres!$B$3</f>
        <v/>
      </c>
      <c r="F41" s="13">
        <f>E41*Paramètres!$B$5</f>
        <v/>
      </c>
      <c r="G41" s="13">
        <f>IF(40=1,F41,G40+F41)</f>
        <v/>
      </c>
      <c r="H41" s="12">
        <f>MIN(189,$B41+Paramètres!$B$7,COUNTIF(Données!$K$2:$K$190,"&lt;="&amp;G41))</f>
        <v/>
      </c>
      <c r="I41" s="15">
        <f>Paramètres!$B$4+IFERROR(INDEX(Données!$I$2:$I$190,$H41),0)</f>
        <v/>
      </c>
      <c r="J41" s="13">
        <f>Paramètres!$B$4+IFERROR(INDEX(Données!$I$2:$I$190,MIN($H41,160)),0)</f>
        <v/>
      </c>
      <c r="K41" s="13">
        <f>I41-J41</f>
        <v/>
      </c>
      <c r="L41" s="13">
        <f>IF(40=1,E41,L40+E41)</f>
        <v/>
      </c>
      <c r="M41" s="13">
        <f>G41-IFERROR(INDEX(Données!$K$2:$K$190,$H41),0)</f>
        <v/>
      </c>
    </row>
    <row r="42">
      <c r="A42" s="12" t="n">
        <v>41</v>
      </c>
      <c r="B42" s="12">
        <f>IF(41=1,0,H41)</f>
        <v/>
      </c>
      <c r="C42" s="13">
        <f>Paramètres!$B$4+IFERROR(INDEX(Données!$I$2:$I$190,$B42),0)</f>
        <v/>
      </c>
      <c r="D42" s="13">
        <f>C42*Paramètres!$B$3</f>
        <v/>
      </c>
      <c r="E42" s="15">
        <f>(Paramètres!$B$4*Paramètres!$B$6+IFERROR(INDEX(Données!$J$2:$J$190,$B42),0))*Paramètres!$B$3</f>
        <v/>
      </c>
      <c r="F42" s="13">
        <f>E42*Paramètres!$B$5</f>
        <v/>
      </c>
      <c r="G42" s="13">
        <f>IF(41=1,F42,G41+F42)</f>
        <v/>
      </c>
      <c r="H42" s="12">
        <f>MIN(189,$B42+Paramètres!$B$7,COUNTIF(Données!$K$2:$K$190,"&lt;="&amp;G42))</f>
        <v/>
      </c>
      <c r="I42" s="15">
        <f>Paramètres!$B$4+IFERROR(INDEX(Données!$I$2:$I$190,$H42),0)</f>
        <v/>
      </c>
      <c r="J42" s="13">
        <f>Paramètres!$B$4+IFERROR(INDEX(Données!$I$2:$I$190,MIN($H42,160)),0)</f>
        <v/>
      </c>
      <c r="K42" s="13">
        <f>I42-J42</f>
        <v/>
      </c>
      <c r="L42" s="13">
        <f>IF(41=1,E42,L41+E42)</f>
        <v/>
      </c>
      <c r="M42" s="13">
        <f>G42-IFERROR(INDEX(Données!$K$2:$K$190,$H42),0)</f>
        <v/>
      </c>
    </row>
    <row r="43">
      <c r="A43" s="12" t="n">
        <v>42</v>
      </c>
      <c r="B43" s="12">
        <f>IF(42=1,0,H42)</f>
        <v/>
      </c>
      <c r="C43" s="13">
        <f>Paramètres!$B$4+IFERROR(INDEX(Données!$I$2:$I$190,$B43),0)</f>
        <v/>
      </c>
      <c r="D43" s="13">
        <f>C43*Paramètres!$B$3</f>
        <v/>
      </c>
      <c r="E43" s="15">
        <f>(Paramètres!$B$4*Paramètres!$B$6+IFERROR(INDEX(Données!$J$2:$J$190,$B43),0))*Paramètres!$B$3</f>
        <v/>
      </c>
      <c r="F43" s="13">
        <f>E43*Paramètres!$B$5</f>
        <v/>
      </c>
      <c r="G43" s="13">
        <f>IF(42=1,F43,G42+F43)</f>
        <v/>
      </c>
      <c r="H43" s="12">
        <f>MIN(189,$B43+Paramètres!$B$7,COUNTIF(Données!$K$2:$K$190,"&lt;="&amp;G43))</f>
        <v/>
      </c>
      <c r="I43" s="15">
        <f>Paramètres!$B$4+IFERROR(INDEX(Données!$I$2:$I$190,$H43),0)</f>
        <v/>
      </c>
      <c r="J43" s="13">
        <f>Paramètres!$B$4+IFERROR(INDEX(Données!$I$2:$I$190,MIN($H43,160)),0)</f>
        <v/>
      </c>
      <c r="K43" s="13">
        <f>I43-J43</f>
        <v/>
      </c>
      <c r="L43" s="13">
        <f>IF(42=1,E43,L42+E43)</f>
        <v/>
      </c>
      <c r="M43" s="13">
        <f>G43-IFERROR(INDEX(Données!$K$2:$K$190,$H43),0)</f>
        <v/>
      </c>
    </row>
    <row r="44">
      <c r="A44" s="12" t="n">
        <v>43</v>
      </c>
      <c r="B44" s="12">
        <f>IF(43=1,0,H43)</f>
        <v/>
      </c>
      <c r="C44" s="13">
        <f>Paramètres!$B$4+IFERROR(INDEX(Données!$I$2:$I$190,$B44),0)</f>
        <v/>
      </c>
      <c r="D44" s="13">
        <f>C44*Paramètres!$B$3</f>
        <v/>
      </c>
      <c r="E44" s="15">
        <f>(Paramètres!$B$4*Paramètres!$B$6+IFERROR(INDEX(Données!$J$2:$J$190,$B44),0))*Paramètres!$B$3</f>
        <v/>
      </c>
      <c r="F44" s="13">
        <f>E44*Paramètres!$B$5</f>
        <v/>
      </c>
      <c r="G44" s="13">
        <f>IF(43=1,F44,G43+F44)</f>
        <v/>
      </c>
      <c r="H44" s="12">
        <f>MIN(189,$B44+Paramètres!$B$7,COUNTIF(Données!$K$2:$K$190,"&lt;="&amp;G44))</f>
        <v/>
      </c>
      <c r="I44" s="15">
        <f>Paramètres!$B$4+IFERROR(INDEX(Données!$I$2:$I$190,$H44),0)</f>
        <v/>
      </c>
      <c r="J44" s="13">
        <f>Paramètres!$B$4+IFERROR(INDEX(Données!$I$2:$I$190,MIN($H44,160)),0)</f>
        <v/>
      </c>
      <c r="K44" s="13">
        <f>I44-J44</f>
        <v/>
      </c>
      <c r="L44" s="13">
        <f>IF(43=1,E44,L43+E44)</f>
        <v/>
      </c>
      <c r="M44" s="13">
        <f>G44-IFERROR(INDEX(Données!$K$2:$K$190,$H44),0)</f>
        <v/>
      </c>
    </row>
    <row r="45">
      <c r="A45" s="12" t="n">
        <v>44</v>
      </c>
      <c r="B45" s="12">
        <f>IF(44=1,0,H44)</f>
        <v/>
      </c>
      <c r="C45" s="13">
        <f>Paramètres!$B$4+IFERROR(INDEX(Données!$I$2:$I$190,$B45),0)</f>
        <v/>
      </c>
      <c r="D45" s="13">
        <f>C45*Paramètres!$B$3</f>
        <v/>
      </c>
      <c r="E45" s="15">
        <f>(Paramètres!$B$4*Paramètres!$B$6+IFERROR(INDEX(Données!$J$2:$J$190,$B45),0))*Paramètres!$B$3</f>
        <v/>
      </c>
      <c r="F45" s="13">
        <f>E45*Paramètres!$B$5</f>
        <v/>
      </c>
      <c r="G45" s="13">
        <f>IF(44=1,F45,G44+F45)</f>
        <v/>
      </c>
      <c r="H45" s="12">
        <f>MIN(189,$B45+Paramètres!$B$7,COUNTIF(Données!$K$2:$K$190,"&lt;="&amp;G45))</f>
        <v/>
      </c>
      <c r="I45" s="15">
        <f>Paramètres!$B$4+IFERROR(INDEX(Données!$I$2:$I$190,$H45),0)</f>
        <v/>
      </c>
      <c r="J45" s="13">
        <f>Paramètres!$B$4+IFERROR(INDEX(Données!$I$2:$I$190,MIN($H45,160)),0)</f>
        <v/>
      </c>
      <c r="K45" s="13">
        <f>I45-J45</f>
        <v/>
      </c>
      <c r="L45" s="13">
        <f>IF(44=1,E45,L44+E45)</f>
        <v/>
      </c>
      <c r="M45" s="13">
        <f>G45-IFERROR(INDEX(Données!$K$2:$K$190,$H45),0)</f>
        <v/>
      </c>
    </row>
    <row r="46">
      <c r="A46" s="12" t="n">
        <v>45</v>
      </c>
      <c r="B46" s="12">
        <f>IF(45=1,0,H45)</f>
        <v/>
      </c>
      <c r="C46" s="13">
        <f>Paramètres!$B$4+IFERROR(INDEX(Données!$I$2:$I$190,$B46),0)</f>
        <v/>
      </c>
      <c r="D46" s="13">
        <f>C46*Paramètres!$B$3</f>
        <v/>
      </c>
      <c r="E46" s="15">
        <f>(Paramètres!$B$4*Paramètres!$B$6+IFERROR(INDEX(Données!$J$2:$J$190,$B46),0))*Paramètres!$B$3</f>
        <v/>
      </c>
      <c r="F46" s="13">
        <f>E46*Paramètres!$B$5</f>
        <v/>
      </c>
      <c r="G46" s="13">
        <f>IF(45=1,F46,G45+F46)</f>
        <v/>
      </c>
      <c r="H46" s="12">
        <f>MIN(189,$B46+Paramètres!$B$7,COUNTIF(Données!$K$2:$K$190,"&lt;="&amp;G46))</f>
        <v/>
      </c>
      <c r="I46" s="15">
        <f>Paramètres!$B$4+IFERROR(INDEX(Données!$I$2:$I$190,$H46),0)</f>
        <v/>
      </c>
      <c r="J46" s="13">
        <f>Paramètres!$B$4+IFERROR(INDEX(Données!$I$2:$I$190,MIN($H46,160)),0)</f>
        <v/>
      </c>
      <c r="K46" s="13">
        <f>I46-J46</f>
        <v/>
      </c>
      <c r="L46" s="13">
        <f>IF(45=1,E46,L45+E46)</f>
        <v/>
      </c>
      <c r="M46" s="13">
        <f>G46-IFERROR(INDEX(Données!$K$2:$K$190,$H46),0)</f>
        <v/>
      </c>
    </row>
    <row r="47">
      <c r="A47" s="12" t="n">
        <v>46</v>
      </c>
      <c r="B47" s="12">
        <f>IF(46=1,0,H46)</f>
        <v/>
      </c>
      <c r="C47" s="13">
        <f>Paramètres!$B$4+IFERROR(INDEX(Données!$I$2:$I$190,$B47),0)</f>
        <v/>
      </c>
      <c r="D47" s="13">
        <f>C47*Paramètres!$B$3</f>
        <v/>
      </c>
      <c r="E47" s="15">
        <f>(Paramètres!$B$4*Paramètres!$B$6+IFERROR(INDEX(Données!$J$2:$J$190,$B47),0))*Paramètres!$B$3</f>
        <v/>
      </c>
      <c r="F47" s="13">
        <f>E47*Paramètres!$B$5</f>
        <v/>
      </c>
      <c r="G47" s="13">
        <f>IF(46=1,F47,G46+F47)</f>
        <v/>
      </c>
      <c r="H47" s="12">
        <f>MIN(189,$B47+Paramètres!$B$7,COUNTIF(Données!$K$2:$K$190,"&lt;="&amp;G47))</f>
        <v/>
      </c>
      <c r="I47" s="15">
        <f>Paramètres!$B$4+IFERROR(INDEX(Données!$I$2:$I$190,$H47),0)</f>
        <v/>
      </c>
      <c r="J47" s="13">
        <f>Paramètres!$B$4+IFERROR(INDEX(Données!$I$2:$I$190,MIN($H47,160)),0)</f>
        <v/>
      </c>
      <c r="K47" s="13">
        <f>I47-J47</f>
        <v/>
      </c>
      <c r="L47" s="13">
        <f>IF(46=1,E47,L46+E47)</f>
        <v/>
      </c>
      <c r="M47" s="13">
        <f>G47-IFERROR(INDEX(Données!$K$2:$K$190,$H47),0)</f>
        <v/>
      </c>
    </row>
    <row r="48">
      <c r="A48" s="12" t="n">
        <v>47</v>
      </c>
      <c r="B48" s="12">
        <f>IF(47=1,0,H47)</f>
        <v/>
      </c>
      <c r="C48" s="13">
        <f>Paramètres!$B$4+IFERROR(INDEX(Données!$I$2:$I$190,$B48),0)</f>
        <v/>
      </c>
      <c r="D48" s="13">
        <f>C48*Paramètres!$B$3</f>
        <v/>
      </c>
      <c r="E48" s="15">
        <f>(Paramètres!$B$4*Paramètres!$B$6+IFERROR(INDEX(Données!$J$2:$J$190,$B48),0))*Paramètres!$B$3</f>
        <v/>
      </c>
      <c r="F48" s="13">
        <f>E48*Paramètres!$B$5</f>
        <v/>
      </c>
      <c r="G48" s="13">
        <f>IF(47=1,F48,G47+F48)</f>
        <v/>
      </c>
      <c r="H48" s="12">
        <f>MIN(189,$B48+Paramètres!$B$7,COUNTIF(Données!$K$2:$K$190,"&lt;="&amp;G48))</f>
        <v/>
      </c>
      <c r="I48" s="15">
        <f>Paramètres!$B$4+IFERROR(INDEX(Données!$I$2:$I$190,$H48),0)</f>
        <v/>
      </c>
      <c r="J48" s="13">
        <f>Paramètres!$B$4+IFERROR(INDEX(Données!$I$2:$I$190,MIN($H48,160)),0)</f>
        <v/>
      </c>
      <c r="K48" s="13">
        <f>I48-J48</f>
        <v/>
      </c>
      <c r="L48" s="13">
        <f>IF(47=1,E48,L47+E48)</f>
        <v/>
      </c>
      <c r="M48" s="13">
        <f>G48-IFERROR(INDEX(Données!$K$2:$K$190,$H48),0)</f>
        <v/>
      </c>
    </row>
    <row r="49">
      <c r="A49" s="12" t="n">
        <v>48</v>
      </c>
      <c r="B49" s="12">
        <f>IF(48=1,0,H48)</f>
        <v/>
      </c>
      <c r="C49" s="13">
        <f>Paramètres!$B$4+IFERROR(INDEX(Données!$I$2:$I$190,$B49),0)</f>
        <v/>
      </c>
      <c r="D49" s="13">
        <f>C49*Paramètres!$B$3</f>
        <v/>
      </c>
      <c r="E49" s="15">
        <f>(Paramètres!$B$4*Paramètres!$B$6+IFERROR(INDEX(Données!$J$2:$J$190,$B49),0))*Paramètres!$B$3</f>
        <v/>
      </c>
      <c r="F49" s="13">
        <f>E49*Paramètres!$B$5</f>
        <v/>
      </c>
      <c r="G49" s="13">
        <f>IF(48=1,F49,G48+F49)</f>
        <v/>
      </c>
      <c r="H49" s="12">
        <f>MIN(189,$B49+Paramètres!$B$7,COUNTIF(Données!$K$2:$K$190,"&lt;="&amp;G49))</f>
        <v/>
      </c>
      <c r="I49" s="15">
        <f>Paramètres!$B$4+IFERROR(INDEX(Données!$I$2:$I$190,$H49),0)</f>
        <v/>
      </c>
      <c r="J49" s="13">
        <f>Paramètres!$B$4+IFERROR(INDEX(Données!$I$2:$I$190,MIN($H49,160)),0)</f>
        <v/>
      </c>
      <c r="K49" s="13">
        <f>I49-J49</f>
        <v/>
      </c>
      <c r="L49" s="13">
        <f>IF(48=1,E49,L48+E49)</f>
        <v/>
      </c>
      <c r="M49" s="13">
        <f>G49-IFERROR(INDEX(Données!$K$2:$K$190,$H49),0)</f>
        <v/>
      </c>
    </row>
    <row r="50">
      <c r="A50" s="12" t="n">
        <v>49</v>
      </c>
      <c r="B50" s="12">
        <f>IF(49=1,0,H49)</f>
        <v/>
      </c>
      <c r="C50" s="13">
        <f>Paramètres!$B$4+IFERROR(INDEX(Données!$I$2:$I$190,$B50),0)</f>
        <v/>
      </c>
      <c r="D50" s="13">
        <f>C50*Paramètres!$B$3</f>
        <v/>
      </c>
      <c r="E50" s="15">
        <f>(Paramètres!$B$4*Paramètres!$B$6+IFERROR(INDEX(Données!$J$2:$J$190,$B50),0))*Paramètres!$B$3</f>
        <v/>
      </c>
      <c r="F50" s="13">
        <f>E50*Paramètres!$B$5</f>
        <v/>
      </c>
      <c r="G50" s="13">
        <f>IF(49=1,F50,G49+F50)</f>
        <v/>
      </c>
      <c r="H50" s="12">
        <f>MIN(189,$B50+Paramètres!$B$7,COUNTIF(Données!$K$2:$K$190,"&lt;="&amp;G50))</f>
        <v/>
      </c>
      <c r="I50" s="15">
        <f>Paramètres!$B$4+IFERROR(INDEX(Données!$I$2:$I$190,$H50),0)</f>
        <v/>
      </c>
      <c r="J50" s="13">
        <f>Paramètres!$B$4+IFERROR(INDEX(Données!$I$2:$I$190,MIN($H50,160)),0)</f>
        <v/>
      </c>
      <c r="K50" s="13">
        <f>I50-J50</f>
        <v/>
      </c>
      <c r="L50" s="13">
        <f>IF(49=1,E50,L49+E50)</f>
        <v/>
      </c>
      <c r="M50" s="13">
        <f>G50-IFERROR(INDEX(Données!$K$2:$K$190,$H50),0)</f>
        <v/>
      </c>
    </row>
    <row r="51">
      <c r="A51" s="12" t="n">
        <v>50</v>
      </c>
      <c r="B51" s="12">
        <f>IF(50=1,0,H50)</f>
        <v/>
      </c>
      <c r="C51" s="13">
        <f>Paramètres!$B$4+IFERROR(INDEX(Données!$I$2:$I$190,$B51),0)</f>
        <v/>
      </c>
      <c r="D51" s="13">
        <f>C51*Paramètres!$B$3</f>
        <v/>
      </c>
      <c r="E51" s="15">
        <f>(Paramètres!$B$4*Paramètres!$B$6+IFERROR(INDEX(Données!$J$2:$J$190,$B51),0))*Paramètres!$B$3</f>
        <v/>
      </c>
      <c r="F51" s="13">
        <f>E51*Paramètres!$B$5</f>
        <v/>
      </c>
      <c r="G51" s="13">
        <f>IF(50=1,F51,G50+F51)</f>
        <v/>
      </c>
      <c r="H51" s="12">
        <f>MIN(189,$B51+Paramètres!$B$7,COUNTIF(Données!$K$2:$K$190,"&lt;="&amp;G51))</f>
        <v/>
      </c>
      <c r="I51" s="15">
        <f>Paramètres!$B$4+IFERROR(INDEX(Données!$I$2:$I$190,$H51),0)</f>
        <v/>
      </c>
      <c r="J51" s="13">
        <f>Paramètres!$B$4+IFERROR(INDEX(Données!$I$2:$I$190,MIN($H51,160)),0)</f>
        <v/>
      </c>
      <c r="K51" s="13">
        <f>I51-J51</f>
        <v/>
      </c>
      <c r="L51" s="13">
        <f>IF(50=1,E51,L50+E51)</f>
        <v/>
      </c>
      <c r="M51" s="13">
        <f>G51-IFERROR(INDEX(Données!$K$2:$K$190,$H51),0)</f>
        <v/>
      </c>
    </row>
    <row r="52">
      <c r="A52" s="12" t="n">
        <v>51</v>
      </c>
      <c r="B52" s="12">
        <f>IF(51=1,0,H51)</f>
        <v/>
      </c>
      <c r="C52" s="13">
        <f>Paramètres!$B$4+IFERROR(INDEX(Données!$I$2:$I$190,$B52),0)</f>
        <v/>
      </c>
      <c r="D52" s="13">
        <f>C52*Paramètres!$B$3</f>
        <v/>
      </c>
      <c r="E52" s="15">
        <f>(Paramètres!$B$4*Paramètres!$B$6+IFERROR(INDEX(Données!$J$2:$J$190,$B52),0))*Paramètres!$B$3</f>
        <v/>
      </c>
      <c r="F52" s="13">
        <f>E52*Paramètres!$B$5</f>
        <v/>
      </c>
      <c r="G52" s="13">
        <f>IF(51=1,F52,G51+F52)</f>
        <v/>
      </c>
      <c r="H52" s="12">
        <f>MIN(189,$B52+Paramètres!$B$7,COUNTIF(Données!$K$2:$K$190,"&lt;="&amp;G52))</f>
        <v/>
      </c>
      <c r="I52" s="15">
        <f>Paramètres!$B$4+IFERROR(INDEX(Données!$I$2:$I$190,$H52),0)</f>
        <v/>
      </c>
      <c r="J52" s="13">
        <f>Paramètres!$B$4+IFERROR(INDEX(Données!$I$2:$I$190,MIN($H52,160)),0)</f>
        <v/>
      </c>
      <c r="K52" s="13">
        <f>I52-J52</f>
        <v/>
      </c>
      <c r="L52" s="13">
        <f>IF(51=1,E52,L51+E52)</f>
        <v/>
      </c>
      <c r="M52" s="13">
        <f>G52-IFERROR(INDEX(Données!$K$2:$K$190,$H52),0)</f>
        <v/>
      </c>
    </row>
    <row r="53">
      <c r="A53" s="12" t="n">
        <v>52</v>
      </c>
      <c r="B53" s="12">
        <f>IF(52=1,0,H52)</f>
        <v/>
      </c>
      <c r="C53" s="13">
        <f>Paramètres!$B$4+IFERROR(INDEX(Données!$I$2:$I$190,$B53),0)</f>
        <v/>
      </c>
      <c r="D53" s="13">
        <f>C53*Paramètres!$B$3</f>
        <v/>
      </c>
      <c r="E53" s="15">
        <f>(Paramètres!$B$4*Paramètres!$B$6+IFERROR(INDEX(Données!$J$2:$J$190,$B53),0))*Paramètres!$B$3</f>
        <v/>
      </c>
      <c r="F53" s="13">
        <f>E53*Paramètres!$B$5</f>
        <v/>
      </c>
      <c r="G53" s="13">
        <f>IF(52=1,F53,G52+F53)</f>
        <v/>
      </c>
      <c r="H53" s="12">
        <f>MIN(189,$B53+Paramètres!$B$7,COUNTIF(Données!$K$2:$K$190,"&lt;="&amp;G53))</f>
        <v/>
      </c>
      <c r="I53" s="15">
        <f>Paramètres!$B$4+IFERROR(INDEX(Données!$I$2:$I$190,$H53),0)</f>
        <v/>
      </c>
      <c r="J53" s="13">
        <f>Paramètres!$B$4+IFERROR(INDEX(Données!$I$2:$I$190,MIN($H53,160)),0)</f>
        <v/>
      </c>
      <c r="K53" s="13">
        <f>I53-J53</f>
        <v/>
      </c>
      <c r="L53" s="13">
        <f>IF(52=1,E53,L52+E53)</f>
        <v/>
      </c>
      <c r="M53" s="13">
        <f>G53-IFERROR(INDEX(Données!$K$2:$K$190,$H53),0)</f>
        <v/>
      </c>
    </row>
    <row r="54">
      <c r="A54" s="12" t="n">
        <v>53</v>
      </c>
      <c r="B54" s="12">
        <f>IF(53=1,0,H53)</f>
        <v/>
      </c>
      <c r="C54" s="13">
        <f>Paramètres!$B$4+IFERROR(INDEX(Données!$I$2:$I$190,$B54),0)</f>
        <v/>
      </c>
      <c r="D54" s="13">
        <f>C54*Paramètres!$B$3</f>
        <v/>
      </c>
      <c r="E54" s="15">
        <f>(Paramètres!$B$4*Paramètres!$B$6+IFERROR(INDEX(Données!$J$2:$J$190,$B54),0))*Paramètres!$B$3</f>
        <v/>
      </c>
      <c r="F54" s="13">
        <f>E54*Paramètres!$B$5</f>
        <v/>
      </c>
      <c r="G54" s="13">
        <f>IF(53=1,F54,G53+F54)</f>
        <v/>
      </c>
      <c r="H54" s="12">
        <f>MIN(189,$B54+Paramètres!$B$7,COUNTIF(Données!$K$2:$K$190,"&lt;="&amp;G54))</f>
        <v/>
      </c>
      <c r="I54" s="15">
        <f>Paramètres!$B$4+IFERROR(INDEX(Données!$I$2:$I$190,$H54),0)</f>
        <v/>
      </c>
      <c r="J54" s="13">
        <f>Paramètres!$B$4+IFERROR(INDEX(Données!$I$2:$I$190,MIN($H54,160)),0)</f>
        <v/>
      </c>
      <c r="K54" s="13">
        <f>I54-J54</f>
        <v/>
      </c>
      <c r="L54" s="13">
        <f>IF(53=1,E54,L53+E54)</f>
        <v/>
      </c>
      <c r="M54" s="13">
        <f>G54-IFERROR(INDEX(Données!$K$2:$K$190,$H54),0)</f>
        <v/>
      </c>
    </row>
    <row r="55">
      <c r="A55" s="12" t="n">
        <v>54</v>
      </c>
      <c r="B55" s="12">
        <f>IF(54=1,0,H54)</f>
        <v/>
      </c>
      <c r="C55" s="13">
        <f>Paramètres!$B$4+IFERROR(INDEX(Données!$I$2:$I$190,$B55),0)</f>
        <v/>
      </c>
      <c r="D55" s="13">
        <f>C55*Paramètres!$B$3</f>
        <v/>
      </c>
      <c r="E55" s="15">
        <f>(Paramètres!$B$4*Paramètres!$B$6+IFERROR(INDEX(Données!$J$2:$J$190,$B55),0))*Paramètres!$B$3</f>
        <v/>
      </c>
      <c r="F55" s="13">
        <f>E55*Paramètres!$B$5</f>
        <v/>
      </c>
      <c r="G55" s="13">
        <f>IF(54=1,F55,G54+F55)</f>
        <v/>
      </c>
      <c r="H55" s="12">
        <f>MIN(189,$B55+Paramètres!$B$7,COUNTIF(Données!$K$2:$K$190,"&lt;="&amp;G55))</f>
        <v/>
      </c>
      <c r="I55" s="15">
        <f>Paramètres!$B$4+IFERROR(INDEX(Données!$I$2:$I$190,$H55),0)</f>
        <v/>
      </c>
      <c r="J55" s="13">
        <f>Paramètres!$B$4+IFERROR(INDEX(Données!$I$2:$I$190,MIN($H55,160)),0)</f>
        <v/>
      </c>
      <c r="K55" s="13">
        <f>I55-J55</f>
        <v/>
      </c>
      <c r="L55" s="13">
        <f>IF(54=1,E55,L54+E55)</f>
        <v/>
      </c>
      <c r="M55" s="13">
        <f>G55-IFERROR(INDEX(Données!$K$2:$K$190,$H55),0)</f>
        <v/>
      </c>
    </row>
    <row r="56">
      <c r="A56" s="12" t="n">
        <v>55</v>
      </c>
      <c r="B56" s="12">
        <f>IF(55=1,0,H55)</f>
        <v/>
      </c>
      <c r="C56" s="13">
        <f>Paramètres!$B$4+IFERROR(INDEX(Données!$I$2:$I$190,$B56),0)</f>
        <v/>
      </c>
      <c r="D56" s="13">
        <f>C56*Paramètres!$B$3</f>
        <v/>
      </c>
      <c r="E56" s="15">
        <f>(Paramètres!$B$4*Paramètres!$B$6+IFERROR(INDEX(Données!$J$2:$J$190,$B56),0))*Paramètres!$B$3</f>
        <v/>
      </c>
      <c r="F56" s="13">
        <f>E56*Paramètres!$B$5</f>
        <v/>
      </c>
      <c r="G56" s="13">
        <f>IF(55=1,F56,G55+F56)</f>
        <v/>
      </c>
      <c r="H56" s="12">
        <f>MIN(189,$B56+Paramètres!$B$7,COUNTIF(Données!$K$2:$K$190,"&lt;="&amp;G56))</f>
        <v/>
      </c>
      <c r="I56" s="15">
        <f>Paramètres!$B$4+IFERROR(INDEX(Données!$I$2:$I$190,$H56),0)</f>
        <v/>
      </c>
      <c r="J56" s="13">
        <f>Paramètres!$B$4+IFERROR(INDEX(Données!$I$2:$I$190,MIN($H56,160)),0)</f>
        <v/>
      </c>
      <c r="K56" s="13">
        <f>I56-J56</f>
        <v/>
      </c>
      <c r="L56" s="13">
        <f>IF(55=1,E56,L55+E56)</f>
        <v/>
      </c>
      <c r="M56" s="13">
        <f>G56-IFERROR(INDEX(Données!$K$2:$K$190,$H56),0)</f>
        <v/>
      </c>
    </row>
    <row r="57">
      <c r="A57" s="12" t="n">
        <v>56</v>
      </c>
      <c r="B57" s="12">
        <f>IF(56=1,0,H56)</f>
        <v/>
      </c>
      <c r="C57" s="13">
        <f>Paramètres!$B$4+IFERROR(INDEX(Données!$I$2:$I$190,$B57),0)</f>
        <v/>
      </c>
      <c r="D57" s="13">
        <f>C57*Paramètres!$B$3</f>
        <v/>
      </c>
      <c r="E57" s="15">
        <f>(Paramètres!$B$4*Paramètres!$B$6+IFERROR(INDEX(Données!$J$2:$J$190,$B57),0))*Paramètres!$B$3</f>
        <v/>
      </c>
      <c r="F57" s="13">
        <f>E57*Paramètres!$B$5</f>
        <v/>
      </c>
      <c r="G57" s="13">
        <f>IF(56=1,F57,G56+F57)</f>
        <v/>
      </c>
      <c r="H57" s="12">
        <f>MIN(189,$B57+Paramètres!$B$7,COUNTIF(Données!$K$2:$K$190,"&lt;="&amp;G57))</f>
        <v/>
      </c>
      <c r="I57" s="15">
        <f>Paramètres!$B$4+IFERROR(INDEX(Données!$I$2:$I$190,$H57),0)</f>
        <v/>
      </c>
      <c r="J57" s="13">
        <f>Paramètres!$B$4+IFERROR(INDEX(Données!$I$2:$I$190,MIN($H57,160)),0)</f>
        <v/>
      </c>
      <c r="K57" s="13">
        <f>I57-J57</f>
        <v/>
      </c>
      <c r="L57" s="13">
        <f>IF(56=1,E57,L56+E57)</f>
        <v/>
      </c>
      <c r="M57" s="13">
        <f>G57-IFERROR(INDEX(Données!$K$2:$K$190,$H57),0)</f>
        <v/>
      </c>
    </row>
    <row r="58">
      <c r="A58" s="12" t="n">
        <v>57</v>
      </c>
      <c r="B58" s="12">
        <f>IF(57=1,0,H57)</f>
        <v/>
      </c>
      <c r="C58" s="13">
        <f>Paramètres!$B$4+IFERROR(INDEX(Données!$I$2:$I$190,$B58),0)</f>
        <v/>
      </c>
      <c r="D58" s="13">
        <f>C58*Paramètres!$B$3</f>
        <v/>
      </c>
      <c r="E58" s="15">
        <f>(Paramètres!$B$4*Paramètres!$B$6+IFERROR(INDEX(Données!$J$2:$J$190,$B58),0))*Paramètres!$B$3</f>
        <v/>
      </c>
      <c r="F58" s="13">
        <f>E58*Paramètres!$B$5</f>
        <v/>
      </c>
      <c r="G58" s="13">
        <f>IF(57=1,F58,G57+F58)</f>
        <v/>
      </c>
      <c r="H58" s="12">
        <f>MIN(189,$B58+Paramètres!$B$7,COUNTIF(Données!$K$2:$K$190,"&lt;="&amp;G58))</f>
        <v/>
      </c>
      <c r="I58" s="15">
        <f>Paramètres!$B$4+IFERROR(INDEX(Données!$I$2:$I$190,$H58),0)</f>
        <v/>
      </c>
      <c r="J58" s="13">
        <f>Paramètres!$B$4+IFERROR(INDEX(Données!$I$2:$I$190,MIN($H58,160)),0)</f>
        <v/>
      </c>
      <c r="K58" s="13">
        <f>I58-J58</f>
        <v/>
      </c>
      <c r="L58" s="13">
        <f>IF(57=1,E58,L57+E58)</f>
        <v/>
      </c>
      <c r="M58" s="13">
        <f>G58-IFERROR(INDEX(Données!$K$2:$K$190,$H58),0)</f>
        <v/>
      </c>
    </row>
    <row r="59">
      <c r="A59" s="12" t="n">
        <v>58</v>
      </c>
      <c r="B59" s="12">
        <f>IF(58=1,0,H58)</f>
        <v/>
      </c>
      <c r="C59" s="13">
        <f>Paramètres!$B$4+IFERROR(INDEX(Données!$I$2:$I$190,$B59),0)</f>
        <v/>
      </c>
      <c r="D59" s="13">
        <f>C59*Paramètres!$B$3</f>
        <v/>
      </c>
      <c r="E59" s="15">
        <f>(Paramètres!$B$4*Paramètres!$B$6+IFERROR(INDEX(Données!$J$2:$J$190,$B59),0))*Paramètres!$B$3</f>
        <v/>
      </c>
      <c r="F59" s="13">
        <f>E59*Paramètres!$B$5</f>
        <v/>
      </c>
      <c r="G59" s="13">
        <f>IF(58=1,F59,G58+F59)</f>
        <v/>
      </c>
      <c r="H59" s="12">
        <f>MIN(189,$B59+Paramètres!$B$7,COUNTIF(Données!$K$2:$K$190,"&lt;="&amp;G59))</f>
        <v/>
      </c>
      <c r="I59" s="15">
        <f>Paramètres!$B$4+IFERROR(INDEX(Données!$I$2:$I$190,$H59),0)</f>
        <v/>
      </c>
      <c r="J59" s="13">
        <f>Paramètres!$B$4+IFERROR(INDEX(Données!$I$2:$I$190,MIN($H59,160)),0)</f>
        <v/>
      </c>
      <c r="K59" s="13">
        <f>I59-J59</f>
        <v/>
      </c>
      <c r="L59" s="13">
        <f>IF(58=1,E59,L58+E59)</f>
        <v/>
      </c>
      <c r="M59" s="13">
        <f>G59-IFERROR(INDEX(Données!$K$2:$K$190,$H59),0)</f>
        <v/>
      </c>
    </row>
    <row r="60">
      <c r="A60" s="12" t="n">
        <v>59</v>
      </c>
      <c r="B60" s="12">
        <f>IF(59=1,0,H59)</f>
        <v/>
      </c>
      <c r="C60" s="13">
        <f>Paramètres!$B$4+IFERROR(INDEX(Données!$I$2:$I$190,$B60),0)</f>
        <v/>
      </c>
      <c r="D60" s="13">
        <f>C60*Paramètres!$B$3</f>
        <v/>
      </c>
      <c r="E60" s="15">
        <f>(Paramètres!$B$4*Paramètres!$B$6+IFERROR(INDEX(Données!$J$2:$J$190,$B60),0))*Paramètres!$B$3</f>
        <v/>
      </c>
      <c r="F60" s="13">
        <f>E60*Paramètres!$B$5</f>
        <v/>
      </c>
      <c r="G60" s="13">
        <f>IF(59=1,F60,G59+F60)</f>
        <v/>
      </c>
      <c r="H60" s="12">
        <f>MIN(189,$B60+Paramètres!$B$7,COUNTIF(Données!$K$2:$K$190,"&lt;="&amp;G60))</f>
        <v/>
      </c>
      <c r="I60" s="15">
        <f>Paramètres!$B$4+IFERROR(INDEX(Données!$I$2:$I$190,$H60),0)</f>
        <v/>
      </c>
      <c r="J60" s="13">
        <f>Paramètres!$B$4+IFERROR(INDEX(Données!$I$2:$I$190,MIN($H60,160)),0)</f>
        <v/>
      </c>
      <c r="K60" s="13">
        <f>I60-J60</f>
        <v/>
      </c>
      <c r="L60" s="13">
        <f>IF(59=1,E60,L59+E60)</f>
        <v/>
      </c>
      <c r="M60" s="13">
        <f>G60-IFERROR(INDEX(Données!$K$2:$K$190,$H60),0)</f>
        <v/>
      </c>
    </row>
    <row r="61">
      <c r="A61" s="12" t="n">
        <v>60</v>
      </c>
      <c r="B61" s="12">
        <f>IF(60=1,0,H60)</f>
        <v/>
      </c>
      <c r="C61" s="13">
        <f>Paramètres!$B$4+IFERROR(INDEX(Données!$I$2:$I$190,$B61),0)</f>
        <v/>
      </c>
      <c r="D61" s="13">
        <f>C61*Paramètres!$B$3</f>
        <v/>
      </c>
      <c r="E61" s="15">
        <f>(Paramètres!$B$4*Paramètres!$B$6+IFERROR(INDEX(Données!$J$2:$J$190,$B61),0))*Paramètres!$B$3</f>
        <v/>
      </c>
      <c r="F61" s="13">
        <f>E61*Paramètres!$B$5</f>
        <v/>
      </c>
      <c r="G61" s="13">
        <f>IF(60=1,F61,G60+F61)</f>
        <v/>
      </c>
      <c r="H61" s="12">
        <f>MIN(189,$B61+Paramètres!$B$7,COUNTIF(Données!$K$2:$K$190,"&lt;="&amp;G61))</f>
        <v/>
      </c>
      <c r="I61" s="15">
        <f>Paramètres!$B$4+IFERROR(INDEX(Données!$I$2:$I$190,$H61),0)</f>
        <v/>
      </c>
      <c r="J61" s="13">
        <f>Paramètres!$B$4+IFERROR(INDEX(Données!$I$2:$I$190,MIN($H61,160)),0)</f>
        <v/>
      </c>
      <c r="K61" s="13">
        <f>I61-J61</f>
        <v/>
      </c>
      <c r="L61" s="13">
        <f>IF(60=1,E61,L60+E61)</f>
        <v/>
      </c>
      <c r="M61" s="13">
        <f>G61-IFERROR(INDEX(Données!$K$2:$K$190,$H61),0)</f>
        <v/>
      </c>
    </row>
    <row r="62">
      <c r="A62" s="12" t="n">
        <v>61</v>
      </c>
      <c r="B62" s="12">
        <f>IF(61=1,0,H61)</f>
        <v/>
      </c>
      <c r="C62" s="13">
        <f>Paramètres!$B$4+IFERROR(INDEX(Données!$I$2:$I$190,$B62),0)</f>
        <v/>
      </c>
      <c r="D62" s="13">
        <f>C62*Paramètres!$B$3</f>
        <v/>
      </c>
      <c r="E62" s="15">
        <f>(Paramètres!$B$4*Paramètres!$B$6+IFERROR(INDEX(Données!$J$2:$J$190,$B62),0))*Paramètres!$B$3</f>
        <v/>
      </c>
      <c r="F62" s="13">
        <f>E62*Paramètres!$B$5</f>
        <v/>
      </c>
      <c r="G62" s="13">
        <f>IF(61=1,F62,G61+F62)</f>
        <v/>
      </c>
      <c r="H62" s="12">
        <f>MIN(189,$B62+Paramètres!$B$7,COUNTIF(Données!$K$2:$K$190,"&lt;="&amp;G62))</f>
        <v/>
      </c>
      <c r="I62" s="15">
        <f>Paramètres!$B$4+IFERROR(INDEX(Données!$I$2:$I$190,$H62),0)</f>
        <v/>
      </c>
      <c r="J62" s="13">
        <f>Paramètres!$B$4+IFERROR(INDEX(Données!$I$2:$I$190,MIN($H62,160)),0)</f>
        <v/>
      </c>
      <c r="K62" s="13">
        <f>I62-J62</f>
        <v/>
      </c>
      <c r="L62" s="13">
        <f>IF(61=1,E62,L61+E62)</f>
        <v/>
      </c>
      <c r="M62" s="13">
        <f>G62-IFERROR(INDEX(Données!$K$2:$K$190,$H62),0)</f>
        <v/>
      </c>
    </row>
    <row r="63">
      <c r="A63" s="12" t="n">
        <v>62</v>
      </c>
      <c r="B63" s="12">
        <f>IF(62=1,0,H62)</f>
        <v/>
      </c>
      <c r="C63" s="13">
        <f>Paramètres!$B$4+IFERROR(INDEX(Données!$I$2:$I$190,$B63),0)</f>
        <v/>
      </c>
      <c r="D63" s="13">
        <f>C63*Paramètres!$B$3</f>
        <v/>
      </c>
      <c r="E63" s="15">
        <f>(Paramètres!$B$4*Paramètres!$B$6+IFERROR(INDEX(Données!$J$2:$J$190,$B63),0))*Paramètres!$B$3</f>
        <v/>
      </c>
      <c r="F63" s="13">
        <f>E63*Paramètres!$B$5</f>
        <v/>
      </c>
      <c r="G63" s="13">
        <f>IF(62=1,F63,G62+F63)</f>
        <v/>
      </c>
      <c r="H63" s="12">
        <f>MIN(189,$B63+Paramètres!$B$7,COUNTIF(Données!$K$2:$K$190,"&lt;="&amp;G63))</f>
        <v/>
      </c>
      <c r="I63" s="15">
        <f>Paramètres!$B$4+IFERROR(INDEX(Données!$I$2:$I$190,$H63),0)</f>
        <v/>
      </c>
      <c r="J63" s="13">
        <f>Paramètres!$B$4+IFERROR(INDEX(Données!$I$2:$I$190,MIN($H63,160)),0)</f>
        <v/>
      </c>
      <c r="K63" s="13">
        <f>I63-J63</f>
        <v/>
      </c>
      <c r="L63" s="13">
        <f>IF(62=1,E63,L62+E63)</f>
        <v/>
      </c>
      <c r="M63" s="13">
        <f>G63-IFERROR(INDEX(Données!$K$2:$K$190,$H63),0)</f>
        <v/>
      </c>
    </row>
    <row r="64">
      <c r="A64" s="12" t="n">
        <v>63</v>
      </c>
      <c r="B64" s="12">
        <f>IF(63=1,0,H63)</f>
        <v/>
      </c>
      <c r="C64" s="13">
        <f>Paramètres!$B$4+IFERROR(INDEX(Données!$I$2:$I$190,$B64),0)</f>
        <v/>
      </c>
      <c r="D64" s="13">
        <f>C64*Paramètres!$B$3</f>
        <v/>
      </c>
      <c r="E64" s="15">
        <f>(Paramètres!$B$4*Paramètres!$B$6+IFERROR(INDEX(Données!$J$2:$J$190,$B64),0))*Paramètres!$B$3</f>
        <v/>
      </c>
      <c r="F64" s="13">
        <f>E64*Paramètres!$B$5</f>
        <v/>
      </c>
      <c r="G64" s="13">
        <f>IF(63=1,F64,G63+F64)</f>
        <v/>
      </c>
      <c r="H64" s="12">
        <f>MIN(189,$B64+Paramètres!$B$7,COUNTIF(Données!$K$2:$K$190,"&lt;="&amp;G64))</f>
        <v/>
      </c>
      <c r="I64" s="15">
        <f>Paramètres!$B$4+IFERROR(INDEX(Données!$I$2:$I$190,$H64),0)</f>
        <v/>
      </c>
      <c r="J64" s="13">
        <f>Paramètres!$B$4+IFERROR(INDEX(Données!$I$2:$I$190,MIN($H64,160)),0)</f>
        <v/>
      </c>
      <c r="K64" s="13">
        <f>I64-J64</f>
        <v/>
      </c>
      <c r="L64" s="13">
        <f>IF(63=1,E64,L63+E64)</f>
        <v/>
      </c>
      <c r="M64" s="13">
        <f>G64-IFERROR(INDEX(Données!$K$2:$K$190,$H64),0)</f>
        <v/>
      </c>
    </row>
    <row r="65">
      <c r="A65" s="12" t="n">
        <v>64</v>
      </c>
      <c r="B65" s="12">
        <f>IF(64=1,0,H64)</f>
        <v/>
      </c>
      <c r="C65" s="13">
        <f>Paramètres!$B$4+IFERROR(INDEX(Données!$I$2:$I$190,$B65),0)</f>
        <v/>
      </c>
      <c r="D65" s="13">
        <f>C65*Paramètres!$B$3</f>
        <v/>
      </c>
      <c r="E65" s="15">
        <f>(Paramètres!$B$4*Paramètres!$B$6+IFERROR(INDEX(Données!$J$2:$J$190,$B65),0))*Paramètres!$B$3</f>
        <v/>
      </c>
      <c r="F65" s="13">
        <f>E65*Paramètres!$B$5</f>
        <v/>
      </c>
      <c r="G65" s="13">
        <f>IF(64=1,F65,G64+F65)</f>
        <v/>
      </c>
      <c r="H65" s="12">
        <f>MIN(189,$B65+Paramètres!$B$7,COUNTIF(Données!$K$2:$K$190,"&lt;="&amp;G65))</f>
        <v/>
      </c>
      <c r="I65" s="15">
        <f>Paramètres!$B$4+IFERROR(INDEX(Données!$I$2:$I$190,$H65),0)</f>
        <v/>
      </c>
      <c r="J65" s="13">
        <f>Paramètres!$B$4+IFERROR(INDEX(Données!$I$2:$I$190,MIN($H65,160)),0)</f>
        <v/>
      </c>
      <c r="K65" s="13">
        <f>I65-J65</f>
        <v/>
      </c>
      <c r="L65" s="13">
        <f>IF(64=1,E65,L64+E65)</f>
        <v/>
      </c>
      <c r="M65" s="13">
        <f>G65-IFERROR(INDEX(Données!$K$2:$K$190,$H65),0)</f>
        <v/>
      </c>
    </row>
    <row r="66">
      <c r="A66" s="12" t="n">
        <v>65</v>
      </c>
      <c r="B66" s="12">
        <f>IF(65=1,0,H65)</f>
        <v/>
      </c>
      <c r="C66" s="13">
        <f>Paramètres!$B$4+IFERROR(INDEX(Données!$I$2:$I$190,$B66),0)</f>
        <v/>
      </c>
      <c r="D66" s="13">
        <f>C66*Paramètres!$B$3</f>
        <v/>
      </c>
      <c r="E66" s="15">
        <f>(Paramètres!$B$4*Paramètres!$B$6+IFERROR(INDEX(Données!$J$2:$J$190,$B66),0))*Paramètres!$B$3</f>
        <v/>
      </c>
      <c r="F66" s="13">
        <f>E66*Paramètres!$B$5</f>
        <v/>
      </c>
      <c r="G66" s="13">
        <f>IF(65=1,F66,G65+F66)</f>
        <v/>
      </c>
      <c r="H66" s="12">
        <f>MIN(189,$B66+Paramètres!$B$7,COUNTIF(Données!$K$2:$K$190,"&lt;="&amp;G66))</f>
        <v/>
      </c>
      <c r="I66" s="15">
        <f>Paramètres!$B$4+IFERROR(INDEX(Données!$I$2:$I$190,$H66),0)</f>
        <v/>
      </c>
      <c r="J66" s="13">
        <f>Paramètres!$B$4+IFERROR(INDEX(Données!$I$2:$I$190,MIN($H66,160)),0)</f>
        <v/>
      </c>
      <c r="K66" s="13">
        <f>I66-J66</f>
        <v/>
      </c>
      <c r="L66" s="13">
        <f>IF(65=1,E66,L65+E66)</f>
        <v/>
      </c>
      <c r="M66" s="13">
        <f>G66-IFERROR(INDEX(Données!$K$2:$K$190,$H66),0)</f>
        <v/>
      </c>
    </row>
    <row r="67">
      <c r="A67" s="12" t="n">
        <v>66</v>
      </c>
      <c r="B67" s="12">
        <f>IF(66=1,0,H66)</f>
        <v/>
      </c>
      <c r="C67" s="13">
        <f>Paramètres!$B$4+IFERROR(INDEX(Données!$I$2:$I$190,$B67),0)</f>
        <v/>
      </c>
      <c r="D67" s="13">
        <f>C67*Paramètres!$B$3</f>
        <v/>
      </c>
      <c r="E67" s="15">
        <f>(Paramètres!$B$4*Paramètres!$B$6+IFERROR(INDEX(Données!$J$2:$J$190,$B67),0))*Paramètres!$B$3</f>
        <v/>
      </c>
      <c r="F67" s="13">
        <f>E67*Paramètres!$B$5</f>
        <v/>
      </c>
      <c r="G67" s="13">
        <f>IF(66=1,F67,G66+F67)</f>
        <v/>
      </c>
      <c r="H67" s="12">
        <f>MIN(189,$B67+Paramètres!$B$7,COUNTIF(Données!$K$2:$K$190,"&lt;="&amp;G67))</f>
        <v/>
      </c>
      <c r="I67" s="15">
        <f>Paramètres!$B$4+IFERROR(INDEX(Données!$I$2:$I$190,$H67),0)</f>
        <v/>
      </c>
      <c r="J67" s="13">
        <f>Paramètres!$B$4+IFERROR(INDEX(Données!$I$2:$I$190,MIN($H67,160)),0)</f>
        <v/>
      </c>
      <c r="K67" s="13">
        <f>I67-J67</f>
        <v/>
      </c>
      <c r="L67" s="13">
        <f>IF(66=1,E67,L66+E67)</f>
        <v/>
      </c>
      <c r="M67" s="13">
        <f>G67-IFERROR(INDEX(Données!$K$2:$K$190,$H67),0)</f>
        <v/>
      </c>
    </row>
    <row r="68">
      <c r="A68" s="12" t="n">
        <v>67</v>
      </c>
      <c r="B68" s="12">
        <f>IF(67=1,0,H67)</f>
        <v/>
      </c>
      <c r="C68" s="13">
        <f>Paramètres!$B$4+IFERROR(INDEX(Données!$I$2:$I$190,$B68),0)</f>
        <v/>
      </c>
      <c r="D68" s="13">
        <f>C68*Paramètres!$B$3</f>
        <v/>
      </c>
      <c r="E68" s="15">
        <f>(Paramètres!$B$4*Paramètres!$B$6+IFERROR(INDEX(Données!$J$2:$J$190,$B68),0))*Paramètres!$B$3</f>
        <v/>
      </c>
      <c r="F68" s="13">
        <f>E68*Paramètres!$B$5</f>
        <v/>
      </c>
      <c r="G68" s="13">
        <f>IF(67=1,F68,G67+F68)</f>
        <v/>
      </c>
      <c r="H68" s="12">
        <f>MIN(189,$B68+Paramètres!$B$7,COUNTIF(Données!$K$2:$K$190,"&lt;="&amp;G68))</f>
        <v/>
      </c>
      <c r="I68" s="15">
        <f>Paramètres!$B$4+IFERROR(INDEX(Données!$I$2:$I$190,$H68),0)</f>
        <v/>
      </c>
      <c r="J68" s="13">
        <f>Paramètres!$B$4+IFERROR(INDEX(Données!$I$2:$I$190,MIN($H68,160)),0)</f>
        <v/>
      </c>
      <c r="K68" s="13">
        <f>I68-J68</f>
        <v/>
      </c>
      <c r="L68" s="13">
        <f>IF(67=1,E68,L67+E68)</f>
        <v/>
      </c>
      <c r="M68" s="13">
        <f>G68-IFERROR(INDEX(Données!$K$2:$K$190,$H68),0)</f>
        <v/>
      </c>
    </row>
    <row r="69">
      <c r="A69" s="12" t="n">
        <v>68</v>
      </c>
      <c r="B69" s="12">
        <f>IF(68=1,0,H68)</f>
        <v/>
      </c>
      <c r="C69" s="13">
        <f>Paramètres!$B$4+IFERROR(INDEX(Données!$I$2:$I$190,$B69),0)</f>
        <v/>
      </c>
      <c r="D69" s="13">
        <f>C69*Paramètres!$B$3</f>
        <v/>
      </c>
      <c r="E69" s="15">
        <f>(Paramètres!$B$4*Paramètres!$B$6+IFERROR(INDEX(Données!$J$2:$J$190,$B69),0))*Paramètres!$B$3</f>
        <v/>
      </c>
      <c r="F69" s="13">
        <f>E69*Paramètres!$B$5</f>
        <v/>
      </c>
      <c r="G69" s="13">
        <f>IF(68=1,F69,G68+F69)</f>
        <v/>
      </c>
      <c r="H69" s="12">
        <f>MIN(189,$B69+Paramètres!$B$7,COUNTIF(Données!$K$2:$K$190,"&lt;="&amp;G69))</f>
        <v/>
      </c>
      <c r="I69" s="15">
        <f>Paramètres!$B$4+IFERROR(INDEX(Données!$I$2:$I$190,$H69),0)</f>
        <v/>
      </c>
      <c r="J69" s="13">
        <f>Paramètres!$B$4+IFERROR(INDEX(Données!$I$2:$I$190,MIN($H69,160)),0)</f>
        <v/>
      </c>
      <c r="K69" s="13">
        <f>I69-J69</f>
        <v/>
      </c>
      <c r="L69" s="13">
        <f>IF(68=1,E69,L68+E69)</f>
        <v/>
      </c>
      <c r="M69" s="13">
        <f>G69-IFERROR(INDEX(Données!$K$2:$K$190,$H69),0)</f>
        <v/>
      </c>
    </row>
    <row r="70">
      <c r="A70" s="12" t="n">
        <v>69</v>
      </c>
      <c r="B70" s="12">
        <f>IF(69=1,0,H69)</f>
        <v/>
      </c>
      <c r="C70" s="13">
        <f>Paramètres!$B$4+IFERROR(INDEX(Données!$I$2:$I$190,$B70),0)</f>
        <v/>
      </c>
      <c r="D70" s="13">
        <f>C70*Paramètres!$B$3</f>
        <v/>
      </c>
      <c r="E70" s="15">
        <f>(Paramètres!$B$4*Paramètres!$B$6+IFERROR(INDEX(Données!$J$2:$J$190,$B70),0))*Paramètres!$B$3</f>
        <v/>
      </c>
      <c r="F70" s="13">
        <f>E70*Paramètres!$B$5</f>
        <v/>
      </c>
      <c r="G70" s="13">
        <f>IF(69=1,F70,G69+F70)</f>
        <v/>
      </c>
      <c r="H70" s="12">
        <f>MIN(189,$B70+Paramètres!$B$7,COUNTIF(Données!$K$2:$K$190,"&lt;="&amp;G70))</f>
        <v/>
      </c>
      <c r="I70" s="15">
        <f>Paramètres!$B$4+IFERROR(INDEX(Données!$I$2:$I$190,$H70),0)</f>
        <v/>
      </c>
      <c r="J70" s="13">
        <f>Paramètres!$B$4+IFERROR(INDEX(Données!$I$2:$I$190,MIN($H70,160)),0)</f>
        <v/>
      </c>
      <c r="K70" s="13">
        <f>I70-J70</f>
        <v/>
      </c>
      <c r="L70" s="13">
        <f>IF(69=1,E70,L69+E70)</f>
        <v/>
      </c>
      <c r="M70" s="13">
        <f>G70-IFERROR(INDEX(Données!$K$2:$K$190,$H70),0)</f>
        <v/>
      </c>
    </row>
    <row r="71">
      <c r="A71" s="12" t="n">
        <v>70</v>
      </c>
      <c r="B71" s="12">
        <f>IF(70=1,0,H70)</f>
        <v/>
      </c>
      <c r="C71" s="13">
        <f>Paramètres!$B$4+IFERROR(INDEX(Données!$I$2:$I$190,$B71),0)</f>
        <v/>
      </c>
      <c r="D71" s="13">
        <f>C71*Paramètres!$B$3</f>
        <v/>
      </c>
      <c r="E71" s="15">
        <f>(Paramètres!$B$4*Paramètres!$B$6+IFERROR(INDEX(Données!$J$2:$J$190,$B71),0))*Paramètres!$B$3</f>
        <v/>
      </c>
      <c r="F71" s="13">
        <f>E71*Paramètres!$B$5</f>
        <v/>
      </c>
      <c r="G71" s="13">
        <f>IF(70=1,F71,G70+F71)</f>
        <v/>
      </c>
      <c r="H71" s="12">
        <f>MIN(189,$B71+Paramètres!$B$7,COUNTIF(Données!$K$2:$K$190,"&lt;="&amp;G71))</f>
        <v/>
      </c>
      <c r="I71" s="15">
        <f>Paramètres!$B$4+IFERROR(INDEX(Données!$I$2:$I$190,$H71),0)</f>
        <v/>
      </c>
      <c r="J71" s="13">
        <f>Paramètres!$B$4+IFERROR(INDEX(Données!$I$2:$I$190,MIN($H71,160)),0)</f>
        <v/>
      </c>
      <c r="K71" s="13">
        <f>I71-J71</f>
        <v/>
      </c>
      <c r="L71" s="13">
        <f>IF(70=1,E71,L70+E71)</f>
        <v/>
      </c>
      <c r="M71" s="13">
        <f>G71-IFERROR(INDEX(Données!$K$2:$K$190,$H71),0)</f>
        <v/>
      </c>
    </row>
    <row r="72">
      <c r="A72" s="12" t="n">
        <v>71</v>
      </c>
      <c r="B72" s="12">
        <f>IF(71=1,0,H71)</f>
        <v/>
      </c>
      <c r="C72" s="13">
        <f>Paramètres!$B$4+IFERROR(INDEX(Données!$I$2:$I$190,$B72),0)</f>
        <v/>
      </c>
      <c r="D72" s="13">
        <f>C72*Paramètres!$B$3</f>
        <v/>
      </c>
      <c r="E72" s="15">
        <f>(Paramètres!$B$4*Paramètres!$B$6+IFERROR(INDEX(Données!$J$2:$J$190,$B72),0))*Paramètres!$B$3</f>
        <v/>
      </c>
      <c r="F72" s="13">
        <f>E72*Paramètres!$B$5</f>
        <v/>
      </c>
      <c r="G72" s="13">
        <f>IF(71=1,F72,G71+F72)</f>
        <v/>
      </c>
      <c r="H72" s="12">
        <f>MIN(189,$B72+Paramètres!$B$7,COUNTIF(Données!$K$2:$K$190,"&lt;="&amp;G72))</f>
        <v/>
      </c>
      <c r="I72" s="15">
        <f>Paramètres!$B$4+IFERROR(INDEX(Données!$I$2:$I$190,$H72),0)</f>
        <v/>
      </c>
      <c r="J72" s="13">
        <f>Paramètres!$B$4+IFERROR(INDEX(Données!$I$2:$I$190,MIN($H72,160)),0)</f>
        <v/>
      </c>
      <c r="K72" s="13">
        <f>I72-J72</f>
        <v/>
      </c>
      <c r="L72" s="13">
        <f>IF(71=1,E72,L71+E72)</f>
        <v/>
      </c>
      <c r="M72" s="13">
        <f>G72-IFERROR(INDEX(Données!$K$2:$K$190,$H72),0)</f>
        <v/>
      </c>
    </row>
    <row r="73">
      <c r="A73" s="12" t="n">
        <v>72</v>
      </c>
      <c r="B73" s="12">
        <f>IF(72=1,0,H72)</f>
        <v/>
      </c>
      <c r="C73" s="13">
        <f>Paramètres!$B$4+IFERROR(INDEX(Données!$I$2:$I$190,$B73),0)</f>
        <v/>
      </c>
      <c r="D73" s="13">
        <f>C73*Paramètres!$B$3</f>
        <v/>
      </c>
      <c r="E73" s="15">
        <f>(Paramètres!$B$4*Paramètres!$B$6+IFERROR(INDEX(Données!$J$2:$J$190,$B73),0))*Paramètres!$B$3</f>
        <v/>
      </c>
      <c r="F73" s="13">
        <f>E73*Paramètres!$B$5</f>
        <v/>
      </c>
      <c r="G73" s="13">
        <f>IF(72=1,F73,G72+F73)</f>
        <v/>
      </c>
      <c r="H73" s="12">
        <f>MIN(189,$B73+Paramètres!$B$7,COUNTIF(Données!$K$2:$K$190,"&lt;="&amp;G73))</f>
        <v/>
      </c>
      <c r="I73" s="15">
        <f>Paramètres!$B$4+IFERROR(INDEX(Données!$I$2:$I$190,$H73),0)</f>
        <v/>
      </c>
      <c r="J73" s="13">
        <f>Paramètres!$B$4+IFERROR(INDEX(Données!$I$2:$I$190,MIN($H73,160)),0)</f>
        <v/>
      </c>
      <c r="K73" s="13">
        <f>I73-J73</f>
        <v/>
      </c>
      <c r="L73" s="13">
        <f>IF(72=1,E73,L72+E73)</f>
        <v/>
      </c>
      <c r="M73" s="13">
        <f>G73-IFERROR(INDEX(Données!$K$2:$K$190,$H73),0)</f>
        <v/>
      </c>
    </row>
    <row r="74">
      <c r="A74" s="12" t="n">
        <v>73</v>
      </c>
      <c r="B74" s="12">
        <f>IF(73=1,0,H73)</f>
        <v/>
      </c>
      <c r="C74" s="13">
        <f>Paramètres!$B$4+IFERROR(INDEX(Données!$I$2:$I$190,$B74),0)</f>
        <v/>
      </c>
      <c r="D74" s="13">
        <f>C74*Paramètres!$B$3</f>
        <v/>
      </c>
      <c r="E74" s="15">
        <f>(Paramètres!$B$4*Paramètres!$B$6+IFERROR(INDEX(Données!$J$2:$J$190,$B74),0))*Paramètres!$B$3</f>
        <v/>
      </c>
      <c r="F74" s="13">
        <f>E74*Paramètres!$B$5</f>
        <v/>
      </c>
      <c r="G74" s="13">
        <f>IF(73=1,F74,G73+F74)</f>
        <v/>
      </c>
      <c r="H74" s="12">
        <f>MIN(189,$B74+Paramètres!$B$7,COUNTIF(Données!$K$2:$K$190,"&lt;="&amp;G74))</f>
        <v/>
      </c>
      <c r="I74" s="15">
        <f>Paramètres!$B$4+IFERROR(INDEX(Données!$I$2:$I$190,$H74),0)</f>
        <v/>
      </c>
      <c r="J74" s="13">
        <f>Paramètres!$B$4+IFERROR(INDEX(Données!$I$2:$I$190,MIN($H74,160)),0)</f>
        <v/>
      </c>
      <c r="K74" s="13">
        <f>I74-J74</f>
        <v/>
      </c>
      <c r="L74" s="13">
        <f>IF(73=1,E74,L73+E74)</f>
        <v/>
      </c>
      <c r="M74" s="13">
        <f>G74-IFERROR(INDEX(Données!$K$2:$K$190,$H74),0)</f>
        <v/>
      </c>
    </row>
    <row r="75">
      <c r="A75" s="12" t="n">
        <v>74</v>
      </c>
      <c r="B75" s="12">
        <f>IF(74=1,0,H74)</f>
        <v/>
      </c>
      <c r="C75" s="13">
        <f>Paramètres!$B$4+IFERROR(INDEX(Données!$I$2:$I$190,$B75),0)</f>
        <v/>
      </c>
      <c r="D75" s="13">
        <f>C75*Paramètres!$B$3</f>
        <v/>
      </c>
      <c r="E75" s="15">
        <f>(Paramètres!$B$4*Paramètres!$B$6+IFERROR(INDEX(Données!$J$2:$J$190,$B75),0))*Paramètres!$B$3</f>
        <v/>
      </c>
      <c r="F75" s="13">
        <f>E75*Paramètres!$B$5</f>
        <v/>
      </c>
      <c r="G75" s="13">
        <f>IF(74=1,F75,G74+F75)</f>
        <v/>
      </c>
      <c r="H75" s="12">
        <f>MIN(189,$B75+Paramètres!$B$7,COUNTIF(Données!$K$2:$K$190,"&lt;="&amp;G75))</f>
        <v/>
      </c>
      <c r="I75" s="15">
        <f>Paramètres!$B$4+IFERROR(INDEX(Données!$I$2:$I$190,$H75),0)</f>
        <v/>
      </c>
      <c r="J75" s="13">
        <f>Paramètres!$B$4+IFERROR(INDEX(Données!$I$2:$I$190,MIN($H75,160)),0)</f>
        <v/>
      </c>
      <c r="K75" s="13">
        <f>I75-J75</f>
        <v/>
      </c>
      <c r="L75" s="13">
        <f>IF(74=1,E75,L74+E75)</f>
        <v/>
      </c>
      <c r="M75" s="13">
        <f>G75-IFERROR(INDEX(Données!$K$2:$K$190,$H75),0)</f>
        <v/>
      </c>
    </row>
    <row r="76">
      <c r="A76" s="12" t="n">
        <v>75</v>
      </c>
      <c r="B76" s="12">
        <f>IF(75=1,0,H75)</f>
        <v/>
      </c>
      <c r="C76" s="13">
        <f>Paramètres!$B$4+IFERROR(INDEX(Données!$I$2:$I$190,$B76),0)</f>
        <v/>
      </c>
      <c r="D76" s="13">
        <f>C76*Paramètres!$B$3</f>
        <v/>
      </c>
      <c r="E76" s="15">
        <f>(Paramètres!$B$4*Paramètres!$B$6+IFERROR(INDEX(Données!$J$2:$J$190,$B76),0))*Paramètres!$B$3</f>
        <v/>
      </c>
      <c r="F76" s="13">
        <f>E76*Paramètres!$B$5</f>
        <v/>
      </c>
      <c r="G76" s="13">
        <f>IF(75=1,F76,G75+F76)</f>
        <v/>
      </c>
      <c r="H76" s="12">
        <f>MIN(189,$B76+Paramètres!$B$7,COUNTIF(Données!$K$2:$K$190,"&lt;="&amp;G76))</f>
        <v/>
      </c>
      <c r="I76" s="15">
        <f>Paramètres!$B$4+IFERROR(INDEX(Données!$I$2:$I$190,$H76),0)</f>
        <v/>
      </c>
      <c r="J76" s="13">
        <f>Paramètres!$B$4+IFERROR(INDEX(Données!$I$2:$I$190,MIN($H76,160)),0)</f>
        <v/>
      </c>
      <c r="K76" s="13">
        <f>I76-J76</f>
        <v/>
      </c>
      <c r="L76" s="13">
        <f>IF(75=1,E76,L75+E76)</f>
        <v/>
      </c>
      <c r="M76" s="13">
        <f>G76-IFERROR(INDEX(Données!$K$2:$K$190,$H76),0)</f>
        <v/>
      </c>
    </row>
    <row r="77">
      <c r="A77" s="12" t="n">
        <v>76</v>
      </c>
      <c r="B77" s="12">
        <f>IF(76=1,0,H76)</f>
        <v/>
      </c>
      <c r="C77" s="13">
        <f>Paramètres!$B$4+IFERROR(INDEX(Données!$I$2:$I$190,$B77),0)</f>
        <v/>
      </c>
      <c r="D77" s="13">
        <f>C77*Paramètres!$B$3</f>
        <v/>
      </c>
      <c r="E77" s="15">
        <f>(Paramètres!$B$4*Paramètres!$B$6+IFERROR(INDEX(Données!$J$2:$J$190,$B77),0))*Paramètres!$B$3</f>
        <v/>
      </c>
      <c r="F77" s="13">
        <f>E77*Paramètres!$B$5</f>
        <v/>
      </c>
      <c r="G77" s="13">
        <f>IF(76=1,F77,G76+F77)</f>
        <v/>
      </c>
      <c r="H77" s="12">
        <f>MIN(189,$B77+Paramètres!$B$7,COUNTIF(Données!$K$2:$K$190,"&lt;="&amp;G77))</f>
        <v/>
      </c>
      <c r="I77" s="15">
        <f>Paramètres!$B$4+IFERROR(INDEX(Données!$I$2:$I$190,$H77),0)</f>
        <v/>
      </c>
      <c r="J77" s="13">
        <f>Paramètres!$B$4+IFERROR(INDEX(Données!$I$2:$I$190,MIN($H77,160)),0)</f>
        <v/>
      </c>
      <c r="K77" s="13">
        <f>I77-J77</f>
        <v/>
      </c>
      <c r="L77" s="13">
        <f>IF(76=1,E77,L76+E77)</f>
        <v/>
      </c>
      <c r="M77" s="13">
        <f>G77-IFERROR(INDEX(Données!$K$2:$K$190,$H77),0)</f>
        <v/>
      </c>
    </row>
    <row r="78">
      <c r="A78" s="12" t="n">
        <v>77</v>
      </c>
      <c r="B78" s="12">
        <f>IF(77=1,0,H77)</f>
        <v/>
      </c>
      <c r="C78" s="13">
        <f>Paramètres!$B$4+IFERROR(INDEX(Données!$I$2:$I$190,$B78),0)</f>
        <v/>
      </c>
      <c r="D78" s="13">
        <f>C78*Paramètres!$B$3</f>
        <v/>
      </c>
      <c r="E78" s="15">
        <f>(Paramètres!$B$4*Paramètres!$B$6+IFERROR(INDEX(Données!$J$2:$J$190,$B78),0))*Paramètres!$B$3</f>
        <v/>
      </c>
      <c r="F78" s="13">
        <f>E78*Paramètres!$B$5</f>
        <v/>
      </c>
      <c r="G78" s="13">
        <f>IF(77=1,F78,G77+F78)</f>
        <v/>
      </c>
      <c r="H78" s="12">
        <f>MIN(189,$B78+Paramètres!$B$7,COUNTIF(Données!$K$2:$K$190,"&lt;="&amp;G78))</f>
        <v/>
      </c>
      <c r="I78" s="15">
        <f>Paramètres!$B$4+IFERROR(INDEX(Données!$I$2:$I$190,$H78),0)</f>
        <v/>
      </c>
      <c r="J78" s="13">
        <f>Paramètres!$B$4+IFERROR(INDEX(Données!$I$2:$I$190,MIN($H78,160)),0)</f>
        <v/>
      </c>
      <c r="K78" s="13">
        <f>I78-J78</f>
        <v/>
      </c>
      <c r="L78" s="13">
        <f>IF(77=1,E78,L77+E78)</f>
        <v/>
      </c>
      <c r="M78" s="13">
        <f>G78-IFERROR(INDEX(Données!$K$2:$K$190,$H78),0)</f>
        <v/>
      </c>
    </row>
    <row r="79">
      <c r="A79" s="12" t="n">
        <v>78</v>
      </c>
      <c r="B79" s="12">
        <f>IF(78=1,0,H78)</f>
        <v/>
      </c>
      <c r="C79" s="13">
        <f>Paramètres!$B$4+IFERROR(INDEX(Données!$I$2:$I$190,$B79),0)</f>
        <v/>
      </c>
      <c r="D79" s="13">
        <f>C79*Paramètres!$B$3</f>
        <v/>
      </c>
      <c r="E79" s="15">
        <f>(Paramètres!$B$4*Paramètres!$B$6+IFERROR(INDEX(Données!$J$2:$J$190,$B79),0))*Paramètres!$B$3</f>
        <v/>
      </c>
      <c r="F79" s="13">
        <f>E79*Paramètres!$B$5</f>
        <v/>
      </c>
      <c r="G79" s="13">
        <f>IF(78=1,F79,G78+F79)</f>
        <v/>
      </c>
      <c r="H79" s="12">
        <f>MIN(189,$B79+Paramètres!$B$7,COUNTIF(Données!$K$2:$K$190,"&lt;="&amp;G79))</f>
        <v/>
      </c>
      <c r="I79" s="15">
        <f>Paramètres!$B$4+IFERROR(INDEX(Données!$I$2:$I$190,$H79),0)</f>
        <v/>
      </c>
      <c r="J79" s="13">
        <f>Paramètres!$B$4+IFERROR(INDEX(Données!$I$2:$I$190,MIN($H79,160)),0)</f>
        <v/>
      </c>
      <c r="K79" s="13">
        <f>I79-J79</f>
        <v/>
      </c>
      <c r="L79" s="13">
        <f>IF(78=1,E79,L78+E79)</f>
        <v/>
      </c>
      <c r="M79" s="13">
        <f>G79-IFERROR(INDEX(Données!$K$2:$K$190,$H79),0)</f>
        <v/>
      </c>
    </row>
    <row r="80">
      <c r="A80" s="12" t="n">
        <v>79</v>
      </c>
      <c r="B80" s="12">
        <f>IF(79=1,0,H79)</f>
        <v/>
      </c>
      <c r="C80" s="13">
        <f>Paramètres!$B$4+IFERROR(INDEX(Données!$I$2:$I$190,$B80),0)</f>
        <v/>
      </c>
      <c r="D80" s="13">
        <f>C80*Paramètres!$B$3</f>
        <v/>
      </c>
      <c r="E80" s="15">
        <f>(Paramètres!$B$4*Paramètres!$B$6+IFERROR(INDEX(Données!$J$2:$J$190,$B80),0))*Paramètres!$B$3</f>
        <v/>
      </c>
      <c r="F80" s="13">
        <f>E80*Paramètres!$B$5</f>
        <v/>
      </c>
      <c r="G80" s="13">
        <f>IF(79=1,F80,G79+F80)</f>
        <v/>
      </c>
      <c r="H80" s="12">
        <f>MIN(189,$B80+Paramètres!$B$7,COUNTIF(Données!$K$2:$K$190,"&lt;="&amp;G80))</f>
        <v/>
      </c>
      <c r="I80" s="15">
        <f>Paramètres!$B$4+IFERROR(INDEX(Données!$I$2:$I$190,$H80),0)</f>
        <v/>
      </c>
      <c r="J80" s="13">
        <f>Paramètres!$B$4+IFERROR(INDEX(Données!$I$2:$I$190,MIN($H80,160)),0)</f>
        <v/>
      </c>
      <c r="K80" s="13">
        <f>I80-J80</f>
        <v/>
      </c>
      <c r="L80" s="13">
        <f>IF(79=1,E80,L79+E80)</f>
        <v/>
      </c>
      <c r="M80" s="13">
        <f>G80-IFERROR(INDEX(Données!$K$2:$K$190,$H80),0)</f>
        <v/>
      </c>
    </row>
    <row r="81">
      <c r="A81" s="12" t="n">
        <v>80</v>
      </c>
      <c r="B81" s="12">
        <f>IF(80=1,0,H80)</f>
        <v/>
      </c>
      <c r="C81" s="13">
        <f>Paramètres!$B$4+IFERROR(INDEX(Données!$I$2:$I$190,$B81),0)</f>
        <v/>
      </c>
      <c r="D81" s="13">
        <f>C81*Paramètres!$B$3</f>
        <v/>
      </c>
      <c r="E81" s="15">
        <f>(Paramètres!$B$4*Paramètres!$B$6+IFERROR(INDEX(Données!$J$2:$J$190,$B81),0))*Paramètres!$B$3</f>
        <v/>
      </c>
      <c r="F81" s="13">
        <f>E81*Paramètres!$B$5</f>
        <v/>
      </c>
      <c r="G81" s="13">
        <f>IF(80=1,F81,G80+F81)</f>
        <v/>
      </c>
      <c r="H81" s="12">
        <f>MIN(189,$B81+Paramètres!$B$7,COUNTIF(Données!$K$2:$K$190,"&lt;="&amp;G81))</f>
        <v/>
      </c>
      <c r="I81" s="15">
        <f>Paramètres!$B$4+IFERROR(INDEX(Données!$I$2:$I$190,$H81),0)</f>
        <v/>
      </c>
      <c r="J81" s="13">
        <f>Paramètres!$B$4+IFERROR(INDEX(Données!$I$2:$I$190,MIN($H81,160)),0)</f>
        <v/>
      </c>
      <c r="K81" s="13">
        <f>I81-J81</f>
        <v/>
      </c>
      <c r="L81" s="13">
        <f>IF(80=1,E81,L80+E81)</f>
        <v/>
      </c>
      <c r="M81" s="13">
        <f>G81-IFERROR(INDEX(Données!$K$2:$K$190,$H81),0)</f>
        <v/>
      </c>
    </row>
    <row r="82">
      <c r="A82" s="12" t="n">
        <v>81</v>
      </c>
      <c r="B82" s="12">
        <f>IF(81=1,0,H81)</f>
        <v/>
      </c>
      <c r="C82" s="13">
        <f>Paramètres!$B$4+IFERROR(INDEX(Données!$I$2:$I$190,$B82),0)</f>
        <v/>
      </c>
      <c r="D82" s="13">
        <f>C82*Paramètres!$B$3</f>
        <v/>
      </c>
      <c r="E82" s="15">
        <f>(Paramètres!$B$4*Paramètres!$B$6+IFERROR(INDEX(Données!$J$2:$J$190,$B82),0))*Paramètres!$B$3</f>
        <v/>
      </c>
      <c r="F82" s="13">
        <f>E82*Paramètres!$B$5</f>
        <v/>
      </c>
      <c r="G82" s="13">
        <f>IF(81=1,F82,G81+F82)</f>
        <v/>
      </c>
      <c r="H82" s="12">
        <f>MIN(189,$B82+Paramètres!$B$7,COUNTIF(Données!$K$2:$K$190,"&lt;="&amp;G82))</f>
        <v/>
      </c>
      <c r="I82" s="15">
        <f>Paramètres!$B$4+IFERROR(INDEX(Données!$I$2:$I$190,$H82),0)</f>
        <v/>
      </c>
      <c r="J82" s="13">
        <f>Paramètres!$B$4+IFERROR(INDEX(Données!$I$2:$I$190,MIN($H82,160)),0)</f>
        <v/>
      </c>
      <c r="K82" s="13">
        <f>I82-J82</f>
        <v/>
      </c>
      <c r="L82" s="13">
        <f>IF(81=1,E82,L81+E82)</f>
        <v/>
      </c>
      <c r="M82" s="13">
        <f>G82-IFERROR(INDEX(Données!$K$2:$K$190,$H82),0)</f>
        <v/>
      </c>
    </row>
    <row r="83">
      <c r="A83" s="12" t="n">
        <v>82</v>
      </c>
      <c r="B83" s="12">
        <f>IF(82=1,0,H82)</f>
        <v/>
      </c>
      <c r="C83" s="13">
        <f>Paramètres!$B$4+IFERROR(INDEX(Données!$I$2:$I$190,$B83),0)</f>
        <v/>
      </c>
      <c r="D83" s="13">
        <f>C83*Paramètres!$B$3</f>
        <v/>
      </c>
      <c r="E83" s="15">
        <f>(Paramètres!$B$4*Paramètres!$B$6+IFERROR(INDEX(Données!$J$2:$J$190,$B83),0))*Paramètres!$B$3</f>
        <v/>
      </c>
      <c r="F83" s="13">
        <f>E83*Paramètres!$B$5</f>
        <v/>
      </c>
      <c r="G83" s="13">
        <f>IF(82=1,F83,G82+F83)</f>
        <v/>
      </c>
      <c r="H83" s="12">
        <f>MIN(189,$B83+Paramètres!$B$7,COUNTIF(Données!$K$2:$K$190,"&lt;="&amp;G83))</f>
        <v/>
      </c>
      <c r="I83" s="15">
        <f>Paramètres!$B$4+IFERROR(INDEX(Données!$I$2:$I$190,$H83),0)</f>
        <v/>
      </c>
      <c r="J83" s="13">
        <f>Paramètres!$B$4+IFERROR(INDEX(Données!$I$2:$I$190,MIN($H83,160)),0)</f>
        <v/>
      </c>
      <c r="K83" s="13">
        <f>I83-J83</f>
        <v/>
      </c>
      <c r="L83" s="13">
        <f>IF(82=1,E83,L82+E83)</f>
        <v/>
      </c>
      <c r="M83" s="13">
        <f>G83-IFERROR(INDEX(Données!$K$2:$K$190,$H83),0)</f>
        <v/>
      </c>
    </row>
    <row r="84">
      <c r="A84" s="12" t="n">
        <v>83</v>
      </c>
      <c r="B84" s="12">
        <f>IF(83=1,0,H83)</f>
        <v/>
      </c>
      <c r="C84" s="13">
        <f>Paramètres!$B$4+IFERROR(INDEX(Données!$I$2:$I$190,$B84),0)</f>
        <v/>
      </c>
      <c r="D84" s="13">
        <f>C84*Paramètres!$B$3</f>
        <v/>
      </c>
      <c r="E84" s="15">
        <f>(Paramètres!$B$4*Paramètres!$B$6+IFERROR(INDEX(Données!$J$2:$J$190,$B84),0))*Paramètres!$B$3</f>
        <v/>
      </c>
      <c r="F84" s="13">
        <f>E84*Paramètres!$B$5</f>
        <v/>
      </c>
      <c r="G84" s="13">
        <f>IF(83=1,F84,G83+F84)</f>
        <v/>
      </c>
      <c r="H84" s="12">
        <f>MIN(189,$B84+Paramètres!$B$7,COUNTIF(Données!$K$2:$K$190,"&lt;="&amp;G84))</f>
        <v/>
      </c>
      <c r="I84" s="15">
        <f>Paramètres!$B$4+IFERROR(INDEX(Données!$I$2:$I$190,$H84),0)</f>
        <v/>
      </c>
      <c r="J84" s="13">
        <f>Paramètres!$B$4+IFERROR(INDEX(Données!$I$2:$I$190,MIN($H84,160)),0)</f>
        <v/>
      </c>
      <c r="K84" s="13">
        <f>I84-J84</f>
        <v/>
      </c>
      <c r="L84" s="13">
        <f>IF(83=1,E84,L83+E84)</f>
        <v/>
      </c>
      <c r="M84" s="13">
        <f>G84-IFERROR(INDEX(Données!$K$2:$K$190,$H84),0)</f>
        <v/>
      </c>
    </row>
    <row r="85">
      <c r="A85" s="12" t="n">
        <v>84</v>
      </c>
      <c r="B85" s="12">
        <f>IF(84=1,0,H84)</f>
        <v/>
      </c>
      <c r="C85" s="13">
        <f>Paramètres!$B$4+IFERROR(INDEX(Données!$I$2:$I$190,$B85),0)</f>
        <v/>
      </c>
      <c r="D85" s="13">
        <f>C85*Paramètres!$B$3</f>
        <v/>
      </c>
      <c r="E85" s="15">
        <f>(Paramètres!$B$4*Paramètres!$B$6+IFERROR(INDEX(Données!$J$2:$J$190,$B85),0))*Paramètres!$B$3</f>
        <v/>
      </c>
      <c r="F85" s="13">
        <f>E85*Paramètres!$B$5</f>
        <v/>
      </c>
      <c r="G85" s="13">
        <f>IF(84=1,F85,G84+F85)</f>
        <v/>
      </c>
      <c r="H85" s="12">
        <f>MIN(189,$B85+Paramètres!$B$7,COUNTIF(Données!$K$2:$K$190,"&lt;="&amp;G85))</f>
        <v/>
      </c>
      <c r="I85" s="15">
        <f>Paramètres!$B$4+IFERROR(INDEX(Données!$I$2:$I$190,$H85),0)</f>
        <v/>
      </c>
      <c r="J85" s="13">
        <f>Paramètres!$B$4+IFERROR(INDEX(Données!$I$2:$I$190,MIN($H85,160)),0)</f>
        <v/>
      </c>
      <c r="K85" s="13">
        <f>I85-J85</f>
        <v/>
      </c>
      <c r="L85" s="13">
        <f>IF(84=1,E85,L84+E85)</f>
        <v/>
      </c>
      <c r="M85" s="13">
        <f>G85-IFERROR(INDEX(Données!$K$2:$K$190,$H85),0)</f>
        <v/>
      </c>
    </row>
    <row r="86">
      <c r="A86" s="12" t="n">
        <v>85</v>
      </c>
      <c r="B86" s="12">
        <f>IF(85=1,0,H85)</f>
        <v/>
      </c>
      <c r="C86" s="13">
        <f>Paramètres!$B$4+IFERROR(INDEX(Données!$I$2:$I$190,$B86),0)</f>
        <v/>
      </c>
      <c r="D86" s="13">
        <f>C86*Paramètres!$B$3</f>
        <v/>
      </c>
      <c r="E86" s="15">
        <f>(Paramètres!$B$4*Paramètres!$B$6+IFERROR(INDEX(Données!$J$2:$J$190,$B86),0))*Paramètres!$B$3</f>
        <v/>
      </c>
      <c r="F86" s="13">
        <f>E86*Paramètres!$B$5</f>
        <v/>
      </c>
      <c r="G86" s="13">
        <f>IF(85=1,F86,G85+F86)</f>
        <v/>
      </c>
      <c r="H86" s="12">
        <f>MIN(189,$B86+Paramètres!$B$7,COUNTIF(Données!$K$2:$K$190,"&lt;="&amp;G86))</f>
        <v/>
      </c>
      <c r="I86" s="15">
        <f>Paramètres!$B$4+IFERROR(INDEX(Données!$I$2:$I$190,$H86),0)</f>
        <v/>
      </c>
      <c r="J86" s="13">
        <f>Paramètres!$B$4+IFERROR(INDEX(Données!$I$2:$I$190,MIN($H86,160)),0)</f>
        <v/>
      </c>
      <c r="K86" s="13">
        <f>I86-J86</f>
        <v/>
      </c>
      <c r="L86" s="13">
        <f>IF(85=1,E86,L85+E86)</f>
        <v/>
      </c>
      <c r="M86" s="13">
        <f>G86-IFERROR(INDEX(Données!$K$2:$K$190,$H86),0)</f>
        <v/>
      </c>
    </row>
    <row r="87">
      <c r="A87" s="12" t="n">
        <v>86</v>
      </c>
      <c r="B87" s="12">
        <f>IF(86=1,0,H86)</f>
        <v/>
      </c>
      <c r="C87" s="13">
        <f>Paramètres!$B$4+IFERROR(INDEX(Données!$I$2:$I$190,$B87),0)</f>
        <v/>
      </c>
      <c r="D87" s="13">
        <f>C87*Paramètres!$B$3</f>
        <v/>
      </c>
      <c r="E87" s="15">
        <f>(Paramètres!$B$4*Paramètres!$B$6+IFERROR(INDEX(Données!$J$2:$J$190,$B87),0))*Paramètres!$B$3</f>
        <v/>
      </c>
      <c r="F87" s="13">
        <f>E87*Paramètres!$B$5</f>
        <v/>
      </c>
      <c r="G87" s="13">
        <f>IF(86=1,F87,G86+F87)</f>
        <v/>
      </c>
      <c r="H87" s="12">
        <f>MIN(189,$B87+Paramètres!$B$7,COUNTIF(Données!$K$2:$K$190,"&lt;="&amp;G87))</f>
        <v/>
      </c>
      <c r="I87" s="15">
        <f>Paramètres!$B$4+IFERROR(INDEX(Données!$I$2:$I$190,$H87),0)</f>
        <v/>
      </c>
      <c r="J87" s="13">
        <f>Paramètres!$B$4+IFERROR(INDEX(Données!$I$2:$I$190,MIN($H87,160)),0)</f>
        <v/>
      </c>
      <c r="K87" s="13">
        <f>I87-J87</f>
        <v/>
      </c>
      <c r="L87" s="13">
        <f>IF(86=1,E87,L86+E87)</f>
        <v/>
      </c>
      <c r="M87" s="13">
        <f>G87-IFERROR(INDEX(Données!$K$2:$K$190,$H87),0)</f>
        <v/>
      </c>
    </row>
    <row r="88">
      <c r="A88" s="12" t="n">
        <v>87</v>
      </c>
      <c r="B88" s="12">
        <f>IF(87=1,0,H87)</f>
        <v/>
      </c>
      <c r="C88" s="13">
        <f>Paramètres!$B$4+IFERROR(INDEX(Données!$I$2:$I$190,$B88),0)</f>
        <v/>
      </c>
      <c r="D88" s="13">
        <f>C88*Paramètres!$B$3</f>
        <v/>
      </c>
      <c r="E88" s="15">
        <f>(Paramètres!$B$4*Paramètres!$B$6+IFERROR(INDEX(Données!$J$2:$J$190,$B88),0))*Paramètres!$B$3</f>
        <v/>
      </c>
      <c r="F88" s="13">
        <f>E88*Paramètres!$B$5</f>
        <v/>
      </c>
      <c r="G88" s="13">
        <f>IF(87=1,F88,G87+F88)</f>
        <v/>
      </c>
      <c r="H88" s="12">
        <f>MIN(189,$B88+Paramètres!$B$7,COUNTIF(Données!$K$2:$K$190,"&lt;="&amp;G88))</f>
        <v/>
      </c>
      <c r="I88" s="15">
        <f>Paramètres!$B$4+IFERROR(INDEX(Données!$I$2:$I$190,$H88),0)</f>
        <v/>
      </c>
      <c r="J88" s="13">
        <f>Paramètres!$B$4+IFERROR(INDEX(Données!$I$2:$I$190,MIN($H88,160)),0)</f>
        <v/>
      </c>
      <c r="K88" s="13">
        <f>I88-J88</f>
        <v/>
      </c>
      <c r="L88" s="13">
        <f>IF(87=1,E88,L87+E88)</f>
        <v/>
      </c>
      <c r="M88" s="13">
        <f>G88-IFERROR(INDEX(Données!$K$2:$K$190,$H88),0)</f>
        <v/>
      </c>
    </row>
    <row r="89">
      <c r="A89" s="12" t="n">
        <v>88</v>
      </c>
      <c r="B89" s="12">
        <f>IF(88=1,0,H88)</f>
        <v/>
      </c>
      <c r="C89" s="13">
        <f>Paramètres!$B$4+IFERROR(INDEX(Données!$I$2:$I$190,$B89),0)</f>
        <v/>
      </c>
      <c r="D89" s="13">
        <f>C89*Paramètres!$B$3</f>
        <v/>
      </c>
      <c r="E89" s="15">
        <f>(Paramètres!$B$4*Paramètres!$B$6+IFERROR(INDEX(Données!$J$2:$J$190,$B89),0))*Paramètres!$B$3</f>
        <v/>
      </c>
      <c r="F89" s="13">
        <f>E89*Paramètres!$B$5</f>
        <v/>
      </c>
      <c r="G89" s="13">
        <f>IF(88=1,F89,G88+F89)</f>
        <v/>
      </c>
      <c r="H89" s="12">
        <f>MIN(189,$B89+Paramètres!$B$7,COUNTIF(Données!$K$2:$K$190,"&lt;="&amp;G89))</f>
        <v/>
      </c>
      <c r="I89" s="15">
        <f>Paramètres!$B$4+IFERROR(INDEX(Données!$I$2:$I$190,$H89),0)</f>
        <v/>
      </c>
      <c r="J89" s="13">
        <f>Paramètres!$B$4+IFERROR(INDEX(Données!$I$2:$I$190,MIN($H89,160)),0)</f>
        <v/>
      </c>
      <c r="K89" s="13">
        <f>I89-J89</f>
        <v/>
      </c>
      <c r="L89" s="13">
        <f>IF(88=1,E89,L88+E89)</f>
        <v/>
      </c>
      <c r="M89" s="13">
        <f>G89-IFERROR(INDEX(Données!$K$2:$K$190,$H89),0)</f>
        <v/>
      </c>
    </row>
    <row r="90">
      <c r="A90" s="12" t="n">
        <v>89</v>
      </c>
      <c r="B90" s="12">
        <f>IF(89=1,0,H89)</f>
        <v/>
      </c>
      <c r="C90" s="13">
        <f>Paramètres!$B$4+IFERROR(INDEX(Données!$I$2:$I$190,$B90),0)</f>
        <v/>
      </c>
      <c r="D90" s="13">
        <f>C90*Paramètres!$B$3</f>
        <v/>
      </c>
      <c r="E90" s="15">
        <f>(Paramètres!$B$4*Paramètres!$B$6+IFERROR(INDEX(Données!$J$2:$J$190,$B90),0))*Paramètres!$B$3</f>
        <v/>
      </c>
      <c r="F90" s="13">
        <f>E90*Paramètres!$B$5</f>
        <v/>
      </c>
      <c r="G90" s="13">
        <f>IF(89=1,F90,G89+F90)</f>
        <v/>
      </c>
      <c r="H90" s="12">
        <f>MIN(189,$B90+Paramètres!$B$7,COUNTIF(Données!$K$2:$K$190,"&lt;="&amp;G90))</f>
        <v/>
      </c>
      <c r="I90" s="15">
        <f>Paramètres!$B$4+IFERROR(INDEX(Données!$I$2:$I$190,$H90),0)</f>
        <v/>
      </c>
      <c r="J90" s="13">
        <f>Paramètres!$B$4+IFERROR(INDEX(Données!$I$2:$I$190,MIN($H90,160)),0)</f>
        <v/>
      </c>
      <c r="K90" s="13">
        <f>I90-J90</f>
        <v/>
      </c>
      <c r="L90" s="13">
        <f>IF(89=1,E90,L89+E90)</f>
        <v/>
      </c>
      <c r="M90" s="13">
        <f>G90-IFERROR(INDEX(Données!$K$2:$K$190,$H90),0)</f>
        <v/>
      </c>
    </row>
    <row r="91">
      <c r="A91" s="12" t="n">
        <v>90</v>
      </c>
      <c r="B91" s="12">
        <f>IF(90=1,0,H90)</f>
        <v/>
      </c>
      <c r="C91" s="13">
        <f>Paramètres!$B$4+IFERROR(INDEX(Données!$I$2:$I$190,$B91),0)</f>
        <v/>
      </c>
      <c r="D91" s="13">
        <f>C91*Paramètres!$B$3</f>
        <v/>
      </c>
      <c r="E91" s="15">
        <f>(Paramètres!$B$4*Paramètres!$B$6+IFERROR(INDEX(Données!$J$2:$J$190,$B91),0))*Paramètres!$B$3</f>
        <v/>
      </c>
      <c r="F91" s="13">
        <f>E91*Paramètres!$B$5</f>
        <v/>
      </c>
      <c r="G91" s="13">
        <f>IF(90=1,F91,G90+F91)</f>
        <v/>
      </c>
      <c r="H91" s="12">
        <f>MIN(189,$B91+Paramètres!$B$7,COUNTIF(Données!$K$2:$K$190,"&lt;="&amp;G91))</f>
        <v/>
      </c>
      <c r="I91" s="15">
        <f>Paramètres!$B$4+IFERROR(INDEX(Données!$I$2:$I$190,$H91),0)</f>
        <v/>
      </c>
      <c r="J91" s="13">
        <f>Paramètres!$B$4+IFERROR(INDEX(Données!$I$2:$I$190,MIN($H91,160)),0)</f>
        <v/>
      </c>
      <c r="K91" s="13">
        <f>I91-J91</f>
        <v/>
      </c>
      <c r="L91" s="13">
        <f>IF(90=1,E91,L90+E91)</f>
        <v/>
      </c>
      <c r="M91" s="13">
        <f>G91-IFERROR(INDEX(Données!$K$2:$K$190,$H91),0)</f>
        <v/>
      </c>
    </row>
    <row r="92">
      <c r="A92" s="12" t="n">
        <v>91</v>
      </c>
      <c r="B92" s="12">
        <f>IF(91=1,0,H91)</f>
        <v/>
      </c>
      <c r="C92" s="13">
        <f>Paramètres!$B$4+IFERROR(INDEX(Données!$I$2:$I$190,$B92),0)</f>
        <v/>
      </c>
      <c r="D92" s="13">
        <f>C92*Paramètres!$B$3</f>
        <v/>
      </c>
      <c r="E92" s="15">
        <f>(Paramètres!$B$4*Paramètres!$B$6+IFERROR(INDEX(Données!$J$2:$J$190,$B92),0))*Paramètres!$B$3</f>
        <v/>
      </c>
      <c r="F92" s="13">
        <f>E92*Paramètres!$B$5</f>
        <v/>
      </c>
      <c r="G92" s="13">
        <f>IF(91=1,F92,G91+F92)</f>
        <v/>
      </c>
      <c r="H92" s="12">
        <f>MIN(189,$B92+Paramètres!$B$7,COUNTIF(Données!$K$2:$K$190,"&lt;="&amp;G92))</f>
        <v/>
      </c>
      <c r="I92" s="15">
        <f>Paramètres!$B$4+IFERROR(INDEX(Données!$I$2:$I$190,$H92),0)</f>
        <v/>
      </c>
      <c r="J92" s="13">
        <f>Paramètres!$B$4+IFERROR(INDEX(Données!$I$2:$I$190,MIN($H92,160)),0)</f>
        <v/>
      </c>
      <c r="K92" s="13">
        <f>I92-J92</f>
        <v/>
      </c>
      <c r="L92" s="13">
        <f>IF(91=1,E92,L91+E92)</f>
        <v/>
      </c>
      <c r="M92" s="13">
        <f>G92-IFERROR(INDEX(Données!$K$2:$K$190,$H92),0)</f>
        <v/>
      </c>
    </row>
    <row r="93">
      <c r="A93" s="12" t="n">
        <v>92</v>
      </c>
      <c r="B93" s="12">
        <f>IF(92=1,0,H92)</f>
        <v/>
      </c>
      <c r="C93" s="13">
        <f>Paramètres!$B$4+IFERROR(INDEX(Données!$I$2:$I$190,$B93),0)</f>
        <v/>
      </c>
      <c r="D93" s="13">
        <f>C93*Paramètres!$B$3</f>
        <v/>
      </c>
      <c r="E93" s="15">
        <f>(Paramètres!$B$4*Paramètres!$B$6+IFERROR(INDEX(Données!$J$2:$J$190,$B93),0))*Paramètres!$B$3</f>
        <v/>
      </c>
      <c r="F93" s="13">
        <f>E93*Paramètres!$B$5</f>
        <v/>
      </c>
      <c r="G93" s="13">
        <f>IF(92=1,F93,G92+F93)</f>
        <v/>
      </c>
      <c r="H93" s="12">
        <f>MIN(189,$B93+Paramètres!$B$7,COUNTIF(Données!$K$2:$K$190,"&lt;="&amp;G93))</f>
        <v/>
      </c>
      <c r="I93" s="15">
        <f>Paramètres!$B$4+IFERROR(INDEX(Données!$I$2:$I$190,$H93),0)</f>
        <v/>
      </c>
      <c r="J93" s="13">
        <f>Paramètres!$B$4+IFERROR(INDEX(Données!$I$2:$I$190,MIN($H93,160)),0)</f>
        <v/>
      </c>
      <c r="K93" s="13">
        <f>I93-J93</f>
        <v/>
      </c>
      <c r="L93" s="13">
        <f>IF(92=1,E93,L92+E93)</f>
        <v/>
      </c>
      <c r="M93" s="13">
        <f>G93-IFERROR(INDEX(Données!$K$2:$K$190,$H93),0)</f>
        <v/>
      </c>
    </row>
    <row r="94">
      <c r="A94" s="12" t="n">
        <v>93</v>
      </c>
      <c r="B94" s="12">
        <f>IF(93=1,0,H93)</f>
        <v/>
      </c>
      <c r="C94" s="13">
        <f>Paramètres!$B$4+IFERROR(INDEX(Données!$I$2:$I$190,$B94),0)</f>
        <v/>
      </c>
      <c r="D94" s="13">
        <f>C94*Paramètres!$B$3</f>
        <v/>
      </c>
      <c r="E94" s="15">
        <f>(Paramètres!$B$4*Paramètres!$B$6+IFERROR(INDEX(Données!$J$2:$J$190,$B94),0))*Paramètres!$B$3</f>
        <v/>
      </c>
      <c r="F94" s="13">
        <f>E94*Paramètres!$B$5</f>
        <v/>
      </c>
      <c r="G94" s="13">
        <f>IF(93=1,F94,G93+F94)</f>
        <v/>
      </c>
      <c r="H94" s="12">
        <f>MIN(189,$B94+Paramètres!$B$7,COUNTIF(Données!$K$2:$K$190,"&lt;="&amp;G94))</f>
        <v/>
      </c>
      <c r="I94" s="15">
        <f>Paramètres!$B$4+IFERROR(INDEX(Données!$I$2:$I$190,$H94),0)</f>
        <v/>
      </c>
      <c r="J94" s="13">
        <f>Paramètres!$B$4+IFERROR(INDEX(Données!$I$2:$I$190,MIN($H94,160)),0)</f>
        <v/>
      </c>
      <c r="K94" s="13">
        <f>I94-J94</f>
        <v/>
      </c>
      <c r="L94" s="13">
        <f>IF(93=1,E94,L93+E94)</f>
        <v/>
      </c>
      <c r="M94" s="13">
        <f>G94-IFERROR(INDEX(Données!$K$2:$K$190,$H94),0)</f>
        <v/>
      </c>
    </row>
    <row r="95">
      <c r="A95" s="12" t="n">
        <v>94</v>
      </c>
      <c r="B95" s="12">
        <f>IF(94=1,0,H94)</f>
        <v/>
      </c>
      <c r="C95" s="13">
        <f>Paramètres!$B$4+IFERROR(INDEX(Données!$I$2:$I$190,$B95),0)</f>
        <v/>
      </c>
      <c r="D95" s="13">
        <f>C95*Paramètres!$B$3</f>
        <v/>
      </c>
      <c r="E95" s="15">
        <f>(Paramètres!$B$4*Paramètres!$B$6+IFERROR(INDEX(Données!$J$2:$J$190,$B95),0))*Paramètres!$B$3</f>
        <v/>
      </c>
      <c r="F95" s="13">
        <f>E95*Paramètres!$B$5</f>
        <v/>
      </c>
      <c r="G95" s="13">
        <f>IF(94=1,F95,G94+F95)</f>
        <v/>
      </c>
      <c r="H95" s="12">
        <f>MIN(189,$B95+Paramètres!$B$7,COUNTIF(Données!$K$2:$K$190,"&lt;="&amp;G95))</f>
        <v/>
      </c>
      <c r="I95" s="15">
        <f>Paramètres!$B$4+IFERROR(INDEX(Données!$I$2:$I$190,$H95),0)</f>
        <v/>
      </c>
      <c r="J95" s="13">
        <f>Paramètres!$B$4+IFERROR(INDEX(Données!$I$2:$I$190,MIN($H95,160)),0)</f>
        <v/>
      </c>
      <c r="K95" s="13">
        <f>I95-J95</f>
        <v/>
      </c>
      <c r="L95" s="13">
        <f>IF(94=1,E95,L94+E95)</f>
        <v/>
      </c>
      <c r="M95" s="13">
        <f>G95-IFERROR(INDEX(Données!$K$2:$K$190,$H95),0)</f>
        <v/>
      </c>
    </row>
    <row r="96">
      <c r="A96" s="12" t="n">
        <v>95</v>
      </c>
      <c r="B96" s="12">
        <f>IF(95=1,0,H95)</f>
        <v/>
      </c>
      <c r="C96" s="13">
        <f>Paramètres!$B$4+IFERROR(INDEX(Données!$I$2:$I$190,$B96),0)</f>
        <v/>
      </c>
      <c r="D96" s="13">
        <f>C96*Paramètres!$B$3</f>
        <v/>
      </c>
      <c r="E96" s="15">
        <f>(Paramètres!$B$4*Paramètres!$B$6+IFERROR(INDEX(Données!$J$2:$J$190,$B96),0))*Paramètres!$B$3</f>
        <v/>
      </c>
      <c r="F96" s="13">
        <f>E96*Paramètres!$B$5</f>
        <v/>
      </c>
      <c r="G96" s="13">
        <f>IF(95=1,F96,G95+F96)</f>
        <v/>
      </c>
      <c r="H96" s="12">
        <f>MIN(189,$B96+Paramètres!$B$7,COUNTIF(Données!$K$2:$K$190,"&lt;="&amp;G96))</f>
        <v/>
      </c>
      <c r="I96" s="15">
        <f>Paramètres!$B$4+IFERROR(INDEX(Données!$I$2:$I$190,$H96),0)</f>
        <v/>
      </c>
      <c r="J96" s="13">
        <f>Paramètres!$B$4+IFERROR(INDEX(Données!$I$2:$I$190,MIN($H96,160)),0)</f>
        <v/>
      </c>
      <c r="K96" s="13">
        <f>I96-J96</f>
        <v/>
      </c>
      <c r="L96" s="13">
        <f>IF(95=1,E96,L95+E96)</f>
        <v/>
      </c>
      <c r="M96" s="13">
        <f>G96-IFERROR(INDEX(Données!$K$2:$K$190,$H96),0)</f>
        <v/>
      </c>
    </row>
    <row r="97">
      <c r="A97" s="12" t="n">
        <v>96</v>
      </c>
      <c r="B97" s="12">
        <f>IF(96=1,0,H96)</f>
        <v/>
      </c>
      <c r="C97" s="13">
        <f>Paramètres!$B$4+IFERROR(INDEX(Données!$I$2:$I$190,$B97),0)</f>
        <v/>
      </c>
      <c r="D97" s="13">
        <f>C97*Paramètres!$B$3</f>
        <v/>
      </c>
      <c r="E97" s="15">
        <f>(Paramètres!$B$4*Paramètres!$B$6+IFERROR(INDEX(Données!$J$2:$J$190,$B97),0))*Paramètres!$B$3</f>
        <v/>
      </c>
      <c r="F97" s="13">
        <f>E97*Paramètres!$B$5</f>
        <v/>
      </c>
      <c r="G97" s="13">
        <f>IF(96=1,F97,G96+F97)</f>
        <v/>
      </c>
      <c r="H97" s="12">
        <f>MIN(189,$B97+Paramètres!$B$7,COUNTIF(Données!$K$2:$K$190,"&lt;="&amp;G97))</f>
        <v/>
      </c>
      <c r="I97" s="15">
        <f>Paramètres!$B$4+IFERROR(INDEX(Données!$I$2:$I$190,$H97),0)</f>
        <v/>
      </c>
      <c r="J97" s="13">
        <f>Paramètres!$B$4+IFERROR(INDEX(Données!$I$2:$I$190,MIN($H97,160)),0)</f>
        <v/>
      </c>
      <c r="K97" s="13">
        <f>I97-J97</f>
        <v/>
      </c>
      <c r="L97" s="13">
        <f>IF(96=1,E97,L96+E97)</f>
        <v/>
      </c>
      <c r="M97" s="13">
        <f>G97-IFERROR(INDEX(Données!$K$2:$K$190,$H97),0)</f>
        <v/>
      </c>
    </row>
    <row r="98">
      <c r="A98" s="12" t="n">
        <v>97</v>
      </c>
      <c r="B98" s="12">
        <f>IF(97=1,0,H97)</f>
        <v/>
      </c>
      <c r="C98" s="13">
        <f>Paramètres!$B$4+IFERROR(INDEX(Données!$I$2:$I$190,$B98),0)</f>
        <v/>
      </c>
      <c r="D98" s="13">
        <f>C98*Paramètres!$B$3</f>
        <v/>
      </c>
      <c r="E98" s="15">
        <f>(Paramètres!$B$4*Paramètres!$B$6+IFERROR(INDEX(Données!$J$2:$J$190,$B98),0))*Paramètres!$B$3</f>
        <v/>
      </c>
      <c r="F98" s="13">
        <f>E98*Paramètres!$B$5</f>
        <v/>
      </c>
      <c r="G98" s="13">
        <f>IF(97=1,F98,G97+F98)</f>
        <v/>
      </c>
      <c r="H98" s="12">
        <f>MIN(189,$B98+Paramètres!$B$7,COUNTIF(Données!$K$2:$K$190,"&lt;="&amp;G98))</f>
        <v/>
      </c>
      <c r="I98" s="15">
        <f>Paramètres!$B$4+IFERROR(INDEX(Données!$I$2:$I$190,$H98),0)</f>
        <v/>
      </c>
      <c r="J98" s="13">
        <f>Paramètres!$B$4+IFERROR(INDEX(Données!$I$2:$I$190,MIN($H98,160)),0)</f>
        <v/>
      </c>
      <c r="K98" s="13">
        <f>I98-J98</f>
        <v/>
      </c>
      <c r="L98" s="13">
        <f>IF(97=1,E98,L97+E98)</f>
        <v/>
      </c>
      <c r="M98" s="13">
        <f>G98-IFERROR(INDEX(Données!$K$2:$K$190,$H98),0)</f>
        <v/>
      </c>
    </row>
    <row r="99">
      <c r="A99" s="12" t="n">
        <v>98</v>
      </c>
      <c r="B99" s="12">
        <f>IF(98=1,0,H98)</f>
        <v/>
      </c>
      <c r="C99" s="13">
        <f>Paramètres!$B$4+IFERROR(INDEX(Données!$I$2:$I$190,$B99),0)</f>
        <v/>
      </c>
      <c r="D99" s="13">
        <f>C99*Paramètres!$B$3</f>
        <v/>
      </c>
      <c r="E99" s="15">
        <f>(Paramètres!$B$4*Paramètres!$B$6+IFERROR(INDEX(Données!$J$2:$J$190,$B99),0))*Paramètres!$B$3</f>
        <v/>
      </c>
      <c r="F99" s="13">
        <f>E99*Paramètres!$B$5</f>
        <v/>
      </c>
      <c r="G99" s="13">
        <f>IF(98=1,F99,G98+F99)</f>
        <v/>
      </c>
      <c r="H99" s="12">
        <f>MIN(189,$B99+Paramètres!$B$7,COUNTIF(Données!$K$2:$K$190,"&lt;="&amp;G99))</f>
        <v/>
      </c>
      <c r="I99" s="15">
        <f>Paramètres!$B$4+IFERROR(INDEX(Données!$I$2:$I$190,$H99),0)</f>
        <v/>
      </c>
      <c r="J99" s="13">
        <f>Paramètres!$B$4+IFERROR(INDEX(Données!$I$2:$I$190,MIN($H99,160)),0)</f>
        <v/>
      </c>
      <c r="K99" s="13">
        <f>I99-J99</f>
        <v/>
      </c>
      <c r="L99" s="13">
        <f>IF(98=1,E99,L98+E99)</f>
        <v/>
      </c>
      <c r="M99" s="13">
        <f>G99-IFERROR(INDEX(Données!$K$2:$K$190,$H99),0)</f>
        <v/>
      </c>
    </row>
    <row r="100">
      <c r="A100" s="12" t="n">
        <v>99</v>
      </c>
      <c r="B100" s="12">
        <f>IF(99=1,0,H99)</f>
        <v/>
      </c>
      <c r="C100" s="13">
        <f>Paramètres!$B$4+IFERROR(INDEX(Données!$I$2:$I$190,$B100),0)</f>
        <v/>
      </c>
      <c r="D100" s="13">
        <f>C100*Paramètres!$B$3</f>
        <v/>
      </c>
      <c r="E100" s="15">
        <f>(Paramètres!$B$4*Paramètres!$B$6+IFERROR(INDEX(Données!$J$2:$J$190,$B100),0))*Paramètres!$B$3</f>
        <v/>
      </c>
      <c r="F100" s="13">
        <f>E100*Paramètres!$B$5</f>
        <v/>
      </c>
      <c r="G100" s="13">
        <f>IF(99=1,F100,G99+F100)</f>
        <v/>
      </c>
      <c r="H100" s="12">
        <f>MIN(189,$B100+Paramètres!$B$7,COUNTIF(Données!$K$2:$K$190,"&lt;="&amp;G100))</f>
        <v/>
      </c>
      <c r="I100" s="15">
        <f>Paramètres!$B$4+IFERROR(INDEX(Données!$I$2:$I$190,$H100),0)</f>
        <v/>
      </c>
      <c r="J100" s="13">
        <f>Paramètres!$B$4+IFERROR(INDEX(Données!$I$2:$I$190,MIN($H100,160)),0)</f>
        <v/>
      </c>
      <c r="K100" s="13">
        <f>I100-J100</f>
        <v/>
      </c>
      <c r="L100" s="13">
        <f>IF(99=1,E100,L99+E100)</f>
        <v/>
      </c>
      <c r="M100" s="13">
        <f>G100-IFERROR(INDEX(Données!$K$2:$K$190,$H100),0)</f>
        <v/>
      </c>
    </row>
    <row r="101">
      <c r="A101" s="12" t="n">
        <v>100</v>
      </c>
      <c r="B101" s="12">
        <f>IF(100=1,0,H100)</f>
        <v/>
      </c>
      <c r="C101" s="13">
        <f>Paramètres!$B$4+IFERROR(INDEX(Données!$I$2:$I$190,$B101),0)</f>
        <v/>
      </c>
      <c r="D101" s="13">
        <f>C101*Paramètres!$B$3</f>
        <v/>
      </c>
      <c r="E101" s="15">
        <f>(Paramètres!$B$4*Paramètres!$B$6+IFERROR(INDEX(Données!$J$2:$J$190,$B101),0))*Paramètres!$B$3</f>
        <v/>
      </c>
      <c r="F101" s="13">
        <f>E101*Paramètres!$B$5</f>
        <v/>
      </c>
      <c r="G101" s="13">
        <f>IF(100=1,F101,G100+F101)</f>
        <v/>
      </c>
      <c r="H101" s="12">
        <f>MIN(189,$B101+Paramètres!$B$7,COUNTIF(Données!$K$2:$K$190,"&lt;="&amp;G101))</f>
        <v/>
      </c>
      <c r="I101" s="15">
        <f>Paramètres!$B$4+IFERROR(INDEX(Données!$I$2:$I$190,$H101),0)</f>
        <v/>
      </c>
      <c r="J101" s="13">
        <f>Paramètres!$B$4+IFERROR(INDEX(Données!$I$2:$I$190,MIN($H101,160)),0)</f>
        <v/>
      </c>
      <c r="K101" s="13">
        <f>I101-J101</f>
        <v/>
      </c>
      <c r="L101" s="13">
        <f>IF(100=1,E101,L100+E101)</f>
        <v/>
      </c>
      <c r="M101" s="13">
        <f>G101-IFERROR(INDEX(Données!$K$2:$K$190,$H101),0)</f>
        <v/>
      </c>
    </row>
    <row r="102">
      <c r="A102" s="12" t="n">
        <v>101</v>
      </c>
      <c r="B102" s="12">
        <f>IF(101=1,0,H101)</f>
        <v/>
      </c>
      <c r="C102" s="13">
        <f>Paramètres!$B$4+IFERROR(INDEX(Données!$I$2:$I$190,$B102),0)</f>
        <v/>
      </c>
      <c r="D102" s="13">
        <f>C102*Paramètres!$B$3</f>
        <v/>
      </c>
      <c r="E102" s="15">
        <f>(Paramètres!$B$4*Paramètres!$B$6+IFERROR(INDEX(Données!$J$2:$J$190,$B102),0))*Paramètres!$B$3</f>
        <v/>
      </c>
      <c r="F102" s="13">
        <f>E102*Paramètres!$B$5</f>
        <v/>
      </c>
      <c r="G102" s="13">
        <f>IF(101=1,F102,G101+F102)</f>
        <v/>
      </c>
      <c r="H102" s="12">
        <f>MIN(189,$B102+Paramètres!$B$7,COUNTIF(Données!$K$2:$K$190,"&lt;="&amp;G102))</f>
        <v/>
      </c>
      <c r="I102" s="15">
        <f>Paramètres!$B$4+IFERROR(INDEX(Données!$I$2:$I$190,$H102),0)</f>
        <v/>
      </c>
      <c r="J102" s="13">
        <f>Paramètres!$B$4+IFERROR(INDEX(Données!$I$2:$I$190,MIN($H102,160)),0)</f>
        <v/>
      </c>
      <c r="K102" s="13">
        <f>I102-J102</f>
        <v/>
      </c>
      <c r="L102" s="13">
        <f>IF(101=1,E102,L101+E102)</f>
        <v/>
      </c>
      <c r="M102" s="13">
        <f>G102-IFERROR(INDEX(Données!$K$2:$K$190,$H102),0)</f>
        <v/>
      </c>
    </row>
    <row r="103">
      <c r="A103" s="12" t="n">
        <v>102</v>
      </c>
      <c r="B103" s="12">
        <f>IF(102=1,0,H102)</f>
        <v/>
      </c>
      <c r="C103" s="13">
        <f>Paramètres!$B$4+IFERROR(INDEX(Données!$I$2:$I$190,$B103),0)</f>
        <v/>
      </c>
      <c r="D103" s="13">
        <f>C103*Paramètres!$B$3</f>
        <v/>
      </c>
      <c r="E103" s="15">
        <f>(Paramètres!$B$4*Paramètres!$B$6+IFERROR(INDEX(Données!$J$2:$J$190,$B103),0))*Paramètres!$B$3</f>
        <v/>
      </c>
      <c r="F103" s="13">
        <f>E103*Paramètres!$B$5</f>
        <v/>
      </c>
      <c r="G103" s="13">
        <f>IF(102=1,F103,G102+F103)</f>
        <v/>
      </c>
      <c r="H103" s="12">
        <f>MIN(189,$B103+Paramètres!$B$7,COUNTIF(Données!$K$2:$K$190,"&lt;="&amp;G103))</f>
        <v/>
      </c>
      <c r="I103" s="15">
        <f>Paramètres!$B$4+IFERROR(INDEX(Données!$I$2:$I$190,$H103),0)</f>
        <v/>
      </c>
      <c r="J103" s="13">
        <f>Paramètres!$B$4+IFERROR(INDEX(Données!$I$2:$I$190,MIN($H103,160)),0)</f>
        <v/>
      </c>
      <c r="K103" s="13">
        <f>I103-J103</f>
        <v/>
      </c>
      <c r="L103" s="13">
        <f>IF(102=1,E103,L102+E103)</f>
        <v/>
      </c>
      <c r="M103" s="13">
        <f>G103-IFERROR(INDEX(Données!$K$2:$K$190,$H103),0)</f>
        <v/>
      </c>
    </row>
    <row r="104">
      <c r="A104" s="12" t="n">
        <v>103</v>
      </c>
      <c r="B104" s="12">
        <f>IF(103=1,0,H103)</f>
        <v/>
      </c>
      <c r="C104" s="13">
        <f>Paramètres!$B$4+IFERROR(INDEX(Données!$I$2:$I$190,$B104),0)</f>
        <v/>
      </c>
      <c r="D104" s="13">
        <f>C104*Paramètres!$B$3</f>
        <v/>
      </c>
      <c r="E104" s="15">
        <f>(Paramètres!$B$4*Paramètres!$B$6+IFERROR(INDEX(Données!$J$2:$J$190,$B104),0))*Paramètres!$B$3</f>
        <v/>
      </c>
      <c r="F104" s="13">
        <f>E104*Paramètres!$B$5</f>
        <v/>
      </c>
      <c r="G104" s="13">
        <f>IF(103=1,F104,G103+F104)</f>
        <v/>
      </c>
      <c r="H104" s="12">
        <f>MIN(189,$B104+Paramètres!$B$7,COUNTIF(Données!$K$2:$K$190,"&lt;="&amp;G104))</f>
        <v/>
      </c>
      <c r="I104" s="15">
        <f>Paramètres!$B$4+IFERROR(INDEX(Données!$I$2:$I$190,$H104),0)</f>
        <v/>
      </c>
      <c r="J104" s="13">
        <f>Paramètres!$B$4+IFERROR(INDEX(Données!$I$2:$I$190,MIN($H104,160)),0)</f>
        <v/>
      </c>
      <c r="K104" s="13">
        <f>I104-J104</f>
        <v/>
      </c>
      <c r="L104" s="13">
        <f>IF(103=1,E104,L103+E104)</f>
        <v/>
      </c>
      <c r="M104" s="13">
        <f>G104-IFERROR(INDEX(Données!$K$2:$K$190,$H104),0)</f>
        <v/>
      </c>
    </row>
    <row r="105">
      <c r="A105" s="12" t="n">
        <v>104</v>
      </c>
      <c r="B105" s="12">
        <f>IF(104=1,0,H104)</f>
        <v/>
      </c>
      <c r="C105" s="13">
        <f>Paramètres!$B$4+IFERROR(INDEX(Données!$I$2:$I$190,$B105),0)</f>
        <v/>
      </c>
      <c r="D105" s="13">
        <f>C105*Paramètres!$B$3</f>
        <v/>
      </c>
      <c r="E105" s="15">
        <f>(Paramètres!$B$4*Paramètres!$B$6+IFERROR(INDEX(Données!$J$2:$J$190,$B105),0))*Paramètres!$B$3</f>
        <v/>
      </c>
      <c r="F105" s="13">
        <f>E105*Paramètres!$B$5</f>
        <v/>
      </c>
      <c r="G105" s="13">
        <f>IF(104=1,F105,G104+F105)</f>
        <v/>
      </c>
      <c r="H105" s="12">
        <f>MIN(189,$B105+Paramètres!$B$7,COUNTIF(Données!$K$2:$K$190,"&lt;="&amp;G105))</f>
        <v/>
      </c>
      <c r="I105" s="15">
        <f>Paramètres!$B$4+IFERROR(INDEX(Données!$I$2:$I$190,$H105),0)</f>
        <v/>
      </c>
      <c r="J105" s="13">
        <f>Paramètres!$B$4+IFERROR(INDEX(Données!$I$2:$I$190,MIN($H105,160)),0)</f>
        <v/>
      </c>
      <c r="K105" s="13">
        <f>I105-J105</f>
        <v/>
      </c>
      <c r="L105" s="13">
        <f>IF(104=1,E105,L104+E105)</f>
        <v/>
      </c>
      <c r="M105" s="13">
        <f>G105-IFERROR(INDEX(Données!$K$2:$K$190,$H105),0)</f>
        <v/>
      </c>
    </row>
    <row r="106">
      <c r="A106" s="12" t="n">
        <v>105</v>
      </c>
      <c r="B106" s="12">
        <f>IF(105=1,0,H105)</f>
        <v/>
      </c>
      <c r="C106" s="13">
        <f>Paramètres!$B$4+IFERROR(INDEX(Données!$I$2:$I$190,$B106),0)</f>
        <v/>
      </c>
      <c r="D106" s="13">
        <f>C106*Paramètres!$B$3</f>
        <v/>
      </c>
      <c r="E106" s="15">
        <f>(Paramètres!$B$4*Paramètres!$B$6+IFERROR(INDEX(Données!$J$2:$J$190,$B106),0))*Paramètres!$B$3</f>
        <v/>
      </c>
      <c r="F106" s="13">
        <f>E106*Paramètres!$B$5</f>
        <v/>
      </c>
      <c r="G106" s="13">
        <f>IF(105=1,F106,G105+F106)</f>
        <v/>
      </c>
      <c r="H106" s="12">
        <f>MIN(189,$B106+Paramètres!$B$7,COUNTIF(Données!$K$2:$K$190,"&lt;="&amp;G106))</f>
        <v/>
      </c>
      <c r="I106" s="15">
        <f>Paramètres!$B$4+IFERROR(INDEX(Données!$I$2:$I$190,$H106),0)</f>
        <v/>
      </c>
      <c r="J106" s="13">
        <f>Paramètres!$B$4+IFERROR(INDEX(Données!$I$2:$I$190,MIN($H106,160)),0)</f>
        <v/>
      </c>
      <c r="K106" s="13">
        <f>I106-J106</f>
        <v/>
      </c>
      <c r="L106" s="13">
        <f>IF(105=1,E106,L105+E106)</f>
        <v/>
      </c>
      <c r="M106" s="13">
        <f>G106-IFERROR(INDEX(Données!$K$2:$K$190,$H106),0)</f>
        <v/>
      </c>
    </row>
    <row r="107">
      <c r="A107" s="12" t="n">
        <v>106</v>
      </c>
      <c r="B107" s="12">
        <f>IF(106=1,0,H106)</f>
        <v/>
      </c>
      <c r="C107" s="13">
        <f>Paramètres!$B$4+IFERROR(INDEX(Données!$I$2:$I$190,$B107),0)</f>
        <v/>
      </c>
      <c r="D107" s="13">
        <f>C107*Paramètres!$B$3</f>
        <v/>
      </c>
      <c r="E107" s="15">
        <f>(Paramètres!$B$4*Paramètres!$B$6+IFERROR(INDEX(Données!$J$2:$J$190,$B107),0))*Paramètres!$B$3</f>
        <v/>
      </c>
      <c r="F107" s="13">
        <f>E107*Paramètres!$B$5</f>
        <v/>
      </c>
      <c r="G107" s="13">
        <f>IF(106=1,F107,G106+F107)</f>
        <v/>
      </c>
      <c r="H107" s="12">
        <f>MIN(189,$B107+Paramètres!$B$7,COUNTIF(Données!$K$2:$K$190,"&lt;="&amp;G107))</f>
        <v/>
      </c>
      <c r="I107" s="15">
        <f>Paramètres!$B$4+IFERROR(INDEX(Données!$I$2:$I$190,$H107),0)</f>
        <v/>
      </c>
      <c r="J107" s="13">
        <f>Paramètres!$B$4+IFERROR(INDEX(Données!$I$2:$I$190,MIN($H107,160)),0)</f>
        <v/>
      </c>
      <c r="K107" s="13">
        <f>I107-J107</f>
        <v/>
      </c>
      <c r="L107" s="13">
        <f>IF(106=1,E107,L106+E107)</f>
        <v/>
      </c>
      <c r="M107" s="13">
        <f>G107-IFERROR(INDEX(Données!$K$2:$K$190,$H107),0)</f>
        <v/>
      </c>
    </row>
    <row r="108">
      <c r="A108" s="12" t="n">
        <v>107</v>
      </c>
      <c r="B108" s="12">
        <f>IF(107=1,0,H107)</f>
        <v/>
      </c>
      <c r="C108" s="13">
        <f>Paramètres!$B$4+IFERROR(INDEX(Données!$I$2:$I$190,$B108),0)</f>
        <v/>
      </c>
      <c r="D108" s="13">
        <f>C108*Paramètres!$B$3</f>
        <v/>
      </c>
      <c r="E108" s="15">
        <f>(Paramètres!$B$4*Paramètres!$B$6+IFERROR(INDEX(Données!$J$2:$J$190,$B108),0))*Paramètres!$B$3</f>
        <v/>
      </c>
      <c r="F108" s="13">
        <f>E108*Paramètres!$B$5</f>
        <v/>
      </c>
      <c r="G108" s="13">
        <f>IF(107=1,F108,G107+F108)</f>
        <v/>
      </c>
      <c r="H108" s="12">
        <f>MIN(189,$B108+Paramètres!$B$7,COUNTIF(Données!$K$2:$K$190,"&lt;="&amp;G108))</f>
        <v/>
      </c>
      <c r="I108" s="15">
        <f>Paramètres!$B$4+IFERROR(INDEX(Données!$I$2:$I$190,$H108),0)</f>
        <v/>
      </c>
      <c r="J108" s="13">
        <f>Paramètres!$B$4+IFERROR(INDEX(Données!$I$2:$I$190,MIN($H108,160)),0)</f>
        <v/>
      </c>
      <c r="K108" s="13">
        <f>I108-J108</f>
        <v/>
      </c>
      <c r="L108" s="13">
        <f>IF(107=1,E108,L107+E108)</f>
        <v/>
      </c>
      <c r="M108" s="13">
        <f>G108-IFERROR(INDEX(Données!$K$2:$K$190,$H108),0)</f>
        <v/>
      </c>
    </row>
    <row r="109">
      <c r="A109" s="12" t="n">
        <v>108</v>
      </c>
      <c r="B109" s="12">
        <f>IF(108=1,0,H108)</f>
        <v/>
      </c>
      <c r="C109" s="13">
        <f>Paramètres!$B$4+IFERROR(INDEX(Données!$I$2:$I$190,$B109),0)</f>
        <v/>
      </c>
      <c r="D109" s="13">
        <f>C109*Paramètres!$B$3</f>
        <v/>
      </c>
      <c r="E109" s="15">
        <f>(Paramètres!$B$4*Paramètres!$B$6+IFERROR(INDEX(Données!$J$2:$J$190,$B109),0))*Paramètres!$B$3</f>
        <v/>
      </c>
      <c r="F109" s="13">
        <f>E109*Paramètres!$B$5</f>
        <v/>
      </c>
      <c r="G109" s="13">
        <f>IF(108=1,F109,G108+F109)</f>
        <v/>
      </c>
      <c r="H109" s="12">
        <f>MIN(189,$B109+Paramètres!$B$7,COUNTIF(Données!$K$2:$K$190,"&lt;="&amp;G109))</f>
        <v/>
      </c>
      <c r="I109" s="15">
        <f>Paramètres!$B$4+IFERROR(INDEX(Données!$I$2:$I$190,$H109),0)</f>
        <v/>
      </c>
      <c r="J109" s="13">
        <f>Paramètres!$B$4+IFERROR(INDEX(Données!$I$2:$I$190,MIN($H109,160)),0)</f>
        <v/>
      </c>
      <c r="K109" s="13">
        <f>I109-J109</f>
        <v/>
      </c>
      <c r="L109" s="13">
        <f>IF(108=1,E109,L108+E109)</f>
        <v/>
      </c>
      <c r="M109" s="13">
        <f>G109-IFERROR(INDEX(Données!$K$2:$K$190,$H109),0)</f>
        <v/>
      </c>
    </row>
    <row r="110">
      <c r="A110" s="12" t="n">
        <v>109</v>
      </c>
      <c r="B110" s="12">
        <f>IF(109=1,0,H109)</f>
        <v/>
      </c>
      <c r="C110" s="13">
        <f>Paramètres!$B$4+IFERROR(INDEX(Données!$I$2:$I$190,$B110),0)</f>
        <v/>
      </c>
      <c r="D110" s="13">
        <f>C110*Paramètres!$B$3</f>
        <v/>
      </c>
      <c r="E110" s="15">
        <f>(Paramètres!$B$4*Paramètres!$B$6+IFERROR(INDEX(Données!$J$2:$J$190,$B110),0))*Paramètres!$B$3</f>
        <v/>
      </c>
      <c r="F110" s="13">
        <f>E110*Paramètres!$B$5</f>
        <v/>
      </c>
      <c r="G110" s="13">
        <f>IF(109=1,F110,G109+F110)</f>
        <v/>
      </c>
      <c r="H110" s="12">
        <f>MIN(189,$B110+Paramètres!$B$7,COUNTIF(Données!$K$2:$K$190,"&lt;="&amp;G110))</f>
        <v/>
      </c>
      <c r="I110" s="15">
        <f>Paramètres!$B$4+IFERROR(INDEX(Données!$I$2:$I$190,$H110),0)</f>
        <v/>
      </c>
      <c r="J110" s="13">
        <f>Paramètres!$B$4+IFERROR(INDEX(Données!$I$2:$I$190,MIN($H110,160)),0)</f>
        <v/>
      </c>
      <c r="K110" s="13">
        <f>I110-J110</f>
        <v/>
      </c>
      <c r="L110" s="13">
        <f>IF(109=1,E110,L109+E110)</f>
        <v/>
      </c>
      <c r="M110" s="13">
        <f>G110-IFERROR(INDEX(Données!$K$2:$K$190,$H110),0)</f>
        <v/>
      </c>
    </row>
    <row r="111">
      <c r="A111" s="12" t="n">
        <v>110</v>
      </c>
      <c r="B111" s="12">
        <f>IF(110=1,0,H110)</f>
        <v/>
      </c>
      <c r="C111" s="13">
        <f>Paramètres!$B$4+IFERROR(INDEX(Données!$I$2:$I$190,$B111),0)</f>
        <v/>
      </c>
      <c r="D111" s="13">
        <f>C111*Paramètres!$B$3</f>
        <v/>
      </c>
      <c r="E111" s="15">
        <f>(Paramètres!$B$4*Paramètres!$B$6+IFERROR(INDEX(Données!$J$2:$J$190,$B111),0))*Paramètres!$B$3</f>
        <v/>
      </c>
      <c r="F111" s="13">
        <f>E111*Paramètres!$B$5</f>
        <v/>
      </c>
      <c r="G111" s="13">
        <f>IF(110=1,F111,G110+F111)</f>
        <v/>
      </c>
      <c r="H111" s="12">
        <f>MIN(189,$B111+Paramètres!$B$7,COUNTIF(Données!$K$2:$K$190,"&lt;="&amp;G111))</f>
        <v/>
      </c>
      <c r="I111" s="15">
        <f>Paramètres!$B$4+IFERROR(INDEX(Données!$I$2:$I$190,$H111),0)</f>
        <v/>
      </c>
      <c r="J111" s="13">
        <f>Paramètres!$B$4+IFERROR(INDEX(Données!$I$2:$I$190,MIN($H111,160)),0)</f>
        <v/>
      </c>
      <c r="K111" s="13">
        <f>I111-J111</f>
        <v/>
      </c>
      <c r="L111" s="13">
        <f>IF(110=1,E111,L110+E111)</f>
        <v/>
      </c>
      <c r="M111" s="13">
        <f>G111-IFERROR(INDEX(Données!$K$2:$K$190,$H111),0)</f>
        <v/>
      </c>
    </row>
    <row r="112">
      <c r="A112" s="12" t="n">
        <v>111</v>
      </c>
      <c r="B112" s="12">
        <f>IF(111=1,0,H111)</f>
        <v/>
      </c>
      <c r="C112" s="13">
        <f>Paramètres!$B$4+IFERROR(INDEX(Données!$I$2:$I$190,$B112),0)</f>
        <v/>
      </c>
      <c r="D112" s="13">
        <f>C112*Paramètres!$B$3</f>
        <v/>
      </c>
      <c r="E112" s="15">
        <f>(Paramètres!$B$4*Paramètres!$B$6+IFERROR(INDEX(Données!$J$2:$J$190,$B112),0))*Paramètres!$B$3</f>
        <v/>
      </c>
      <c r="F112" s="13">
        <f>E112*Paramètres!$B$5</f>
        <v/>
      </c>
      <c r="G112" s="13">
        <f>IF(111=1,F112,G111+F112)</f>
        <v/>
      </c>
      <c r="H112" s="12">
        <f>MIN(189,$B112+Paramètres!$B$7,COUNTIF(Données!$K$2:$K$190,"&lt;="&amp;G112))</f>
        <v/>
      </c>
      <c r="I112" s="15">
        <f>Paramètres!$B$4+IFERROR(INDEX(Données!$I$2:$I$190,$H112),0)</f>
        <v/>
      </c>
      <c r="J112" s="13">
        <f>Paramètres!$B$4+IFERROR(INDEX(Données!$I$2:$I$190,MIN($H112,160)),0)</f>
        <v/>
      </c>
      <c r="K112" s="13">
        <f>I112-J112</f>
        <v/>
      </c>
      <c r="L112" s="13">
        <f>IF(111=1,E112,L111+E112)</f>
        <v/>
      </c>
      <c r="M112" s="13">
        <f>G112-IFERROR(INDEX(Données!$K$2:$K$190,$H112),0)</f>
        <v/>
      </c>
    </row>
    <row r="113">
      <c r="A113" s="12" t="n">
        <v>112</v>
      </c>
      <c r="B113" s="12">
        <f>IF(112=1,0,H112)</f>
        <v/>
      </c>
      <c r="C113" s="13">
        <f>Paramètres!$B$4+IFERROR(INDEX(Données!$I$2:$I$190,$B113),0)</f>
        <v/>
      </c>
      <c r="D113" s="13">
        <f>C113*Paramètres!$B$3</f>
        <v/>
      </c>
      <c r="E113" s="15">
        <f>(Paramètres!$B$4*Paramètres!$B$6+IFERROR(INDEX(Données!$J$2:$J$190,$B113),0))*Paramètres!$B$3</f>
        <v/>
      </c>
      <c r="F113" s="13">
        <f>E113*Paramètres!$B$5</f>
        <v/>
      </c>
      <c r="G113" s="13">
        <f>IF(112=1,F113,G112+F113)</f>
        <v/>
      </c>
      <c r="H113" s="12">
        <f>MIN(189,$B113+Paramètres!$B$7,COUNTIF(Données!$K$2:$K$190,"&lt;="&amp;G113))</f>
        <v/>
      </c>
      <c r="I113" s="15">
        <f>Paramètres!$B$4+IFERROR(INDEX(Données!$I$2:$I$190,$H113),0)</f>
        <v/>
      </c>
      <c r="J113" s="13">
        <f>Paramètres!$B$4+IFERROR(INDEX(Données!$I$2:$I$190,MIN($H113,160)),0)</f>
        <v/>
      </c>
      <c r="K113" s="13">
        <f>I113-J113</f>
        <v/>
      </c>
      <c r="L113" s="13">
        <f>IF(112=1,E113,L112+E113)</f>
        <v/>
      </c>
      <c r="M113" s="13">
        <f>G113-IFERROR(INDEX(Données!$K$2:$K$190,$H113),0)</f>
        <v/>
      </c>
    </row>
    <row r="114">
      <c r="A114" s="12" t="n">
        <v>113</v>
      </c>
      <c r="B114" s="12">
        <f>IF(113=1,0,H113)</f>
        <v/>
      </c>
      <c r="C114" s="13">
        <f>Paramètres!$B$4+IFERROR(INDEX(Données!$I$2:$I$190,$B114),0)</f>
        <v/>
      </c>
      <c r="D114" s="13">
        <f>C114*Paramètres!$B$3</f>
        <v/>
      </c>
      <c r="E114" s="15">
        <f>(Paramètres!$B$4*Paramètres!$B$6+IFERROR(INDEX(Données!$J$2:$J$190,$B114),0))*Paramètres!$B$3</f>
        <v/>
      </c>
      <c r="F114" s="13">
        <f>E114*Paramètres!$B$5</f>
        <v/>
      </c>
      <c r="G114" s="13">
        <f>IF(113=1,F114,G113+F114)</f>
        <v/>
      </c>
      <c r="H114" s="12">
        <f>MIN(189,$B114+Paramètres!$B$7,COUNTIF(Données!$K$2:$K$190,"&lt;="&amp;G114))</f>
        <v/>
      </c>
      <c r="I114" s="15">
        <f>Paramètres!$B$4+IFERROR(INDEX(Données!$I$2:$I$190,$H114),0)</f>
        <v/>
      </c>
      <c r="J114" s="13">
        <f>Paramètres!$B$4+IFERROR(INDEX(Données!$I$2:$I$190,MIN($H114,160)),0)</f>
        <v/>
      </c>
      <c r="K114" s="13">
        <f>I114-J114</f>
        <v/>
      </c>
      <c r="L114" s="13">
        <f>IF(113=1,E114,L113+E114)</f>
        <v/>
      </c>
      <c r="M114" s="13">
        <f>G114-IFERROR(INDEX(Données!$K$2:$K$190,$H114),0)</f>
        <v/>
      </c>
    </row>
    <row r="115">
      <c r="A115" s="12" t="n">
        <v>114</v>
      </c>
      <c r="B115" s="12">
        <f>IF(114=1,0,H114)</f>
        <v/>
      </c>
      <c r="C115" s="13">
        <f>Paramètres!$B$4+IFERROR(INDEX(Données!$I$2:$I$190,$B115),0)</f>
        <v/>
      </c>
      <c r="D115" s="13">
        <f>C115*Paramètres!$B$3</f>
        <v/>
      </c>
      <c r="E115" s="15">
        <f>(Paramètres!$B$4*Paramètres!$B$6+IFERROR(INDEX(Données!$J$2:$J$190,$B115),0))*Paramètres!$B$3</f>
        <v/>
      </c>
      <c r="F115" s="13">
        <f>E115*Paramètres!$B$5</f>
        <v/>
      </c>
      <c r="G115" s="13">
        <f>IF(114=1,F115,G114+F115)</f>
        <v/>
      </c>
      <c r="H115" s="12">
        <f>MIN(189,$B115+Paramètres!$B$7,COUNTIF(Données!$K$2:$K$190,"&lt;="&amp;G115))</f>
        <v/>
      </c>
      <c r="I115" s="15">
        <f>Paramètres!$B$4+IFERROR(INDEX(Données!$I$2:$I$190,$H115),0)</f>
        <v/>
      </c>
      <c r="J115" s="13">
        <f>Paramètres!$B$4+IFERROR(INDEX(Données!$I$2:$I$190,MIN($H115,160)),0)</f>
        <v/>
      </c>
      <c r="K115" s="13">
        <f>I115-J115</f>
        <v/>
      </c>
      <c r="L115" s="13">
        <f>IF(114=1,E115,L114+E115)</f>
        <v/>
      </c>
      <c r="M115" s="13">
        <f>G115-IFERROR(INDEX(Données!$K$2:$K$190,$H115),0)</f>
        <v/>
      </c>
    </row>
    <row r="116">
      <c r="A116" s="12" t="n">
        <v>115</v>
      </c>
      <c r="B116" s="12">
        <f>IF(115=1,0,H115)</f>
        <v/>
      </c>
      <c r="C116" s="13">
        <f>Paramètres!$B$4+IFERROR(INDEX(Données!$I$2:$I$190,$B116),0)</f>
        <v/>
      </c>
      <c r="D116" s="13">
        <f>C116*Paramètres!$B$3</f>
        <v/>
      </c>
      <c r="E116" s="15">
        <f>(Paramètres!$B$4*Paramètres!$B$6+IFERROR(INDEX(Données!$J$2:$J$190,$B116),0))*Paramètres!$B$3</f>
        <v/>
      </c>
      <c r="F116" s="13">
        <f>E116*Paramètres!$B$5</f>
        <v/>
      </c>
      <c r="G116" s="13">
        <f>IF(115=1,F116,G115+F116)</f>
        <v/>
      </c>
      <c r="H116" s="12">
        <f>MIN(189,$B116+Paramètres!$B$7,COUNTIF(Données!$K$2:$K$190,"&lt;="&amp;G116))</f>
        <v/>
      </c>
      <c r="I116" s="15">
        <f>Paramètres!$B$4+IFERROR(INDEX(Données!$I$2:$I$190,$H116),0)</f>
        <v/>
      </c>
      <c r="J116" s="13">
        <f>Paramètres!$B$4+IFERROR(INDEX(Données!$I$2:$I$190,MIN($H116,160)),0)</f>
        <v/>
      </c>
      <c r="K116" s="13">
        <f>I116-J116</f>
        <v/>
      </c>
      <c r="L116" s="13">
        <f>IF(115=1,E116,L115+E116)</f>
        <v/>
      </c>
      <c r="M116" s="13">
        <f>G116-IFERROR(INDEX(Données!$K$2:$K$190,$H116),0)</f>
        <v/>
      </c>
    </row>
    <row r="117">
      <c r="A117" s="12" t="n">
        <v>116</v>
      </c>
      <c r="B117" s="12">
        <f>IF(116=1,0,H116)</f>
        <v/>
      </c>
      <c r="C117" s="13">
        <f>Paramètres!$B$4+IFERROR(INDEX(Données!$I$2:$I$190,$B117),0)</f>
        <v/>
      </c>
      <c r="D117" s="13">
        <f>C117*Paramètres!$B$3</f>
        <v/>
      </c>
      <c r="E117" s="15">
        <f>(Paramètres!$B$4*Paramètres!$B$6+IFERROR(INDEX(Données!$J$2:$J$190,$B117),0))*Paramètres!$B$3</f>
        <v/>
      </c>
      <c r="F117" s="13">
        <f>E117*Paramètres!$B$5</f>
        <v/>
      </c>
      <c r="G117" s="13">
        <f>IF(116=1,F117,G116+F117)</f>
        <v/>
      </c>
      <c r="H117" s="12">
        <f>MIN(189,$B117+Paramètres!$B$7,COUNTIF(Données!$K$2:$K$190,"&lt;="&amp;G117))</f>
        <v/>
      </c>
      <c r="I117" s="15">
        <f>Paramètres!$B$4+IFERROR(INDEX(Données!$I$2:$I$190,$H117),0)</f>
        <v/>
      </c>
      <c r="J117" s="13">
        <f>Paramètres!$B$4+IFERROR(INDEX(Données!$I$2:$I$190,MIN($H117,160)),0)</f>
        <v/>
      </c>
      <c r="K117" s="13">
        <f>I117-J117</f>
        <v/>
      </c>
      <c r="L117" s="13">
        <f>IF(116=1,E117,L116+E117)</f>
        <v/>
      </c>
      <c r="M117" s="13">
        <f>G117-IFERROR(INDEX(Données!$K$2:$K$190,$H117),0)</f>
        <v/>
      </c>
    </row>
    <row r="118">
      <c r="A118" s="12" t="n">
        <v>117</v>
      </c>
      <c r="B118" s="12">
        <f>IF(117=1,0,H117)</f>
        <v/>
      </c>
      <c r="C118" s="13">
        <f>Paramètres!$B$4+IFERROR(INDEX(Données!$I$2:$I$190,$B118),0)</f>
        <v/>
      </c>
      <c r="D118" s="13">
        <f>C118*Paramètres!$B$3</f>
        <v/>
      </c>
      <c r="E118" s="15">
        <f>(Paramètres!$B$4*Paramètres!$B$6+IFERROR(INDEX(Données!$J$2:$J$190,$B118),0))*Paramètres!$B$3</f>
        <v/>
      </c>
      <c r="F118" s="13">
        <f>E118*Paramètres!$B$5</f>
        <v/>
      </c>
      <c r="G118" s="13">
        <f>IF(117=1,F118,G117+F118)</f>
        <v/>
      </c>
      <c r="H118" s="12">
        <f>MIN(189,$B118+Paramètres!$B$7,COUNTIF(Données!$K$2:$K$190,"&lt;="&amp;G118))</f>
        <v/>
      </c>
      <c r="I118" s="15">
        <f>Paramètres!$B$4+IFERROR(INDEX(Données!$I$2:$I$190,$H118),0)</f>
        <v/>
      </c>
      <c r="J118" s="13">
        <f>Paramètres!$B$4+IFERROR(INDEX(Données!$I$2:$I$190,MIN($H118,160)),0)</f>
        <v/>
      </c>
      <c r="K118" s="13">
        <f>I118-J118</f>
        <v/>
      </c>
      <c r="L118" s="13">
        <f>IF(117=1,E118,L117+E118)</f>
        <v/>
      </c>
      <c r="M118" s="13">
        <f>G118-IFERROR(INDEX(Données!$K$2:$K$190,$H118),0)</f>
        <v/>
      </c>
    </row>
    <row r="119">
      <c r="A119" s="12" t="n">
        <v>118</v>
      </c>
      <c r="B119" s="12">
        <f>IF(118=1,0,H118)</f>
        <v/>
      </c>
      <c r="C119" s="13">
        <f>Paramètres!$B$4+IFERROR(INDEX(Données!$I$2:$I$190,$B119),0)</f>
        <v/>
      </c>
      <c r="D119" s="13">
        <f>C119*Paramètres!$B$3</f>
        <v/>
      </c>
      <c r="E119" s="15">
        <f>(Paramètres!$B$4*Paramètres!$B$6+IFERROR(INDEX(Données!$J$2:$J$190,$B119),0))*Paramètres!$B$3</f>
        <v/>
      </c>
      <c r="F119" s="13">
        <f>E119*Paramètres!$B$5</f>
        <v/>
      </c>
      <c r="G119" s="13">
        <f>IF(118=1,F119,G118+F119)</f>
        <v/>
      </c>
      <c r="H119" s="12">
        <f>MIN(189,$B119+Paramètres!$B$7,COUNTIF(Données!$K$2:$K$190,"&lt;="&amp;G119))</f>
        <v/>
      </c>
      <c r="I119" s="15">
        <f>Paramètres!$B$4+IFERROR(INDEX(Données!$I$2:$I$190,$H119),0)</f>
        <v/>
      </c>
      <c r="J119" s="13">
        <f>Paramètres!$B$4+IFERROR(INDEX(Données!$I$2:$I$190,MIN($H119,160)),0)</f>
        <v/>
      </c>
      <c r="K119" s="13">
        <f>I119-J119</f>
        <v/>
      </c>
      <c r="L119" s="13">
        <f>IF(118=1,E119,L118+E119)</f>
        <v/>
      </c>
      <c r="M119" s="13">
        <f>G119-IFERROR(INDEX(Données!$K$2:$K$190,$H119),0)</f>
        <v/>
      </c>
    </row>
    <row r="120">
      <c r="A120" s="12" t="n">
        <v>119</v>
      </c>
      <c r="B120" s="12">
        <f>IF(119=1,0,H119)</f>
        <v/>
      </c>
      <c r="C120" s="13">
        <f>Paramètres!$B$4+IFERROR(INDEX(Données!$I$2:$I$190,$B120),0)</f>
        <v/>
      </c>
      <c r="D120" s="13">
        <f>C120*Paramètres!$B$3</f>
        <v/>
      </c>
      <c r="E120" s="15">
        <f>(Paramètres!$B$4*Paramètres!$B$6+IFERROR(INDEX(Données!$J$2:$J$190,$B120),0))*Paramètres!$B$3</f>
        <v/>
      </c>
      <c r="F120" s="13">
        <f>E120*Paramètres!$B$5</f>
        <v/>
      </c>
      <c r="G120" s="13">
        <f>IF(119=1,F120,G119+F120)</f>
        <v/>
      </c>
      <c r="H120" s="12">
        <f>MIN(189,$B120+Paramètres!$B$7,COUNTIF(Données!$K$2:$K$190,"&lt;="&amp;G120))</f>
        <v/>
      </c>
      <c r="I120" s="15">
        <f>Paramètres!$B$4+IFERROR(INDEX(Données!$I$2:$I$190,$H120),0)</f>
        <v/>
      </c>
      <c r="J120" s="13">
        <f>Paramètres!$B$4+IFERROR(INDEX(Données!$I$2:$I$190,MIN($H120,160)),0)</f>
        <v/>
      </c>
      <c r="K120" s="13">
        <f>I120-J120</f>
        <v/>
      </c>
      <c r="L120" s="13">
        <f>IF(119=1,E120,L119+E120)</f>
        <v/>
      </c>
      <c r="M120" s="13">
        <f>G120-IFERROR(INDEX(Données!$K$2:$K$190,$H120),0)</f>
        <v/>
      </c>
    </row>
    <row r="121">
      <c r="A121" s="12" t="n">
        <v>120</v>
      </c>
      <c r="B121" s="12">
        <f>IF(120=1,0,H120)</f>
        <v/>
      </c>
      <c r="C121" s="13">
        <f>Paramètres!$B$4+IFERROR(INDEX(Données!$I$2:$I$190,$B121),0)</f>
        <v/>
      </c>
      <c r="D121" s="13">
        <f>C121*Paramètres!$B$3</f>
        <v/>
      </c>
      <c r="E121" s="15">
        <f>(Paramètres!$B$4*Paramètres!$B$6+IFERROR(INDEX(Données!$J$2:$J$190,$B121),0))*Paramètres!$B$3</f>
        <v/>
      </c>
      <c r="F121" s="13">
        <f>E121*Paramètres!$B$5</f>
        <v/>
      </c>
      <c r="G121" s="13">
        <f>IF(120=1,F121,G120+F121)</f>
        <v/>
      </c>
      <c r="H121" s="12">
        <f>MIN(189,$B121+Paramètres!$B$7,COUNTIF(Données!$K$2:$K$190,"&lt;="&amp;G121))</f>
        <v/>
      </c>
      <c r="I121" s="15">
        <f>Paramètres!$B$4+IFERROR(INDEX(Données!$I$2:$I$190,$H121),0)</f>
        <v/>
      </c>
      <c r="J121" s="13">
        <f>Paramètres!$B$4+IFERROR(INDEX(Données!$I$2:$I$190,MIN($H121,160)),0)</f>
        <v/>
      </c>
      <c r="K121" s="13">
        <f>I121-J121</f>
        <v/>
      </c>
      <c r="L121" s="13">
        <f>IF(120=1,E121,L120+E121)</f>
        <v/>
      </c>
      <c r="M121" s="13">
        <f>G121-IFERROR(INDEX(Données!$K$2:$K$190,$H121),0)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Graphiques (se redessinent avec les paramètres)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2026-10-02T16:29:08Z</dcterms:created>
  <dcterms:modified xsi:type="dcterms:W3CDTF">2026-10-02T16:29:08Z</dcterms:modified>
</cp:coreProperties>
</file>