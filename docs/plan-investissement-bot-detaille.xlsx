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uide" sheetId="1" state="visible" r:id="rId1"/>
    <sheet name="Graphiques" sheetId="2" state="visible" r:id="rId2"/>
    <sheet name="Paramètres" sheetId="3" state="visible" r:id="rId3"/>
    <sheet name="Calendrier" sheetId="4" state="visible" r:id="rId4"/>
    <sheet name="Opérations" sheetId="5" state="visible" r:id="rId5"/>
    <sheet name="Ordre d'achat" sheetId="6" state="visible" r:id="rId6"/>
    <sheet name="Par firme" sheetId="7" state="visible" r:id="rId7"/>
    <sheet name="Portefeuille final" sheetId="8" state="visible" r:id="rId8"/>
    <sheet name="Données graphiques" sheetId="9" state="visible" r:id="rId9"/>
  </sheets>
  <definedNames>
    <definedName name="_xlnm._FilterDatabase" localSheetId="3" hidden="1">'Calendrier'!$A$1:$T$25</definedName>
    <definedName name="_xlnm._FilterDatabase" localSheetId="4" hidden="1">'Opérations'!$A$1:$J$2462</definedName>
    <definedName name="_xlnm._FilterDatabase" localSheetId="5" hidden="1">'Ordre d''achat'!$A$1:$S$85</definedName>
    <definedName name="_xlnm._FilterDatabase" localSheetId="6" hidden="1">'Par firme'!$A$1:$J$86</definedName>
    <definedName name="_xlnm._FilterDatabase" localSheetId="7" hidden="1">'Portefeuille final'!$A$1:$G$86</definedName>
    <definedName name="_xlnm._FilterDatabase" localSheetId="8" hidden="1">'Données graphiques'!$A$1:$H$25</definedName>
  </definedNames>
  <calcPr calcId="124519" fullCalcOnLoad="1"/>
</workbook>
</file>

<file path=xl/styles.xml><?xml version="1.0" encoding="utf-8"?>
<styleSheet xmlns="http://schemas.openxmlformats.org/spreadsheetml/2006/main">
  <numFmts count="6">
    <numFmt numFmtId="164" formatCode="yyyy-mm-dd"/>
    <numFmt numFmtId="165" formatCode="DD/MM/YYYY"/>
    <numFmt numFmtId="166" formatCode="#,##0&quot; $&quot;"/>
    <numFmt numFmtId="167" formatCode="0.0"/>
    <numFmt numFmtId="168" formatCode="0.0&quot;x&quot;"/>
    <numFmt numFmtId="169" formatCode="0.0%"/>
  </numFmts>
  <fonts count="7">
    <font>
      <name val="Calibri"/>
      <family val="2"/>
      <color theme="1"/>
      <sz val="11"/>
      <scheme val="minor"/>
    </font>
    <font>
      <name val="Arial"/>
      <b val="1"/>
      <color rgb="001F3864"/>
      <sz val="16"/>
    </font>
    <font>
      <name val="Arial"/>
      <sz val="10"/>
    </font>
    <font>
      <name val="Arial"/>
      <b val="1"/>
      <color rgb="001F3864"/>
      <sz val="12"/>
    </font>
    <font>
      <name val="Arial"/>
      <color rgb="000000FF"/>
      <sz val="10"/>
    </font>
    <font>
      <name val="Arial"/>
      <b val="1"/>
      <sz val="10"/>
    </font>
    <font>
      <name val="Arial"/>
      <b val="1"/>
      <color rgb="00FFFFFF"/>
      <sz val="10"/>
    </font>
  </fonts>
  <fills count="9">
    <fill>
      <patternFill/>
    </fill>
    <fill>
      <patternFill patternType="gray125"/>
    </fill>
    <fill>
      <patternFill patternType="solid">
        <fgColor rgb="00FFFF00"/>
      </patternFill>
    </fill>
    <fill>
      <patternFill patternType="solid">
        <fgColor rgb="001F3864"/>
      </patternFill>
    </fill>
    <fill>
      <patternFill patternType="solid">
        <fgColor rgb="00F2F2F2"/>
      </patternFill>
    </fill>
    <fill>
      <patternFill patternType="solid">
        <fgColor rgb="00DDEBF7"/>
      </patternFill>
    </fill>
    <fill>
      <patternFill patternType="solid">
        <fgColor rgb="00D9E1F2"/>
      </patternFill>
    </fill>
    <fill>
      <patternFill patternType="solid">
        <fgColor rgb="00E2EFDA"/>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2" fillId="0" borderId="0" pivotButton="0" quotePrefix="0" xfId="0"/>
    <xf numFmtId="165" fontId="4" fillId="2" borderId="0" pivotButton="0" quotePrefix="0" xfId="0"/>
    <xf numFmtId="0" fontId="4" fillId="0" borderId="0" pivotButton="0" quotePrefix="0" xfId="0"/>
    <xf numFmtId="9" fontId="4" fillId="2" borderId="0" pivotButton="0" quotePrefix="0" xfId="0"/>
    <xf numFmtId="0" fontId="5" fillId="0" borderId="0" pivotButton="0" quotePrefix="0" xfId="0"/>
    <xf numFmtId="166" fontId="5" fillId="0" borderId="0" pivotButton="0" quotePrefix="0" xfId="0"/>
    <xf numFmtId="165" fontId="5" fillId="0" borderId="0" pivotButton="0" quotePrefix="0" xfId="0"/>
    <xf numFmtId="0" fontId="6" fillId="3" borderId="1" applyAlignment="1" pivotButton="0" quotePrefix="0" xfId="0">
      <alignment horizontal="center" vertical="center" wrapText="1"/>
    </xf>
    <xf numFmtId="0" fontId="2" fillId="0" borderId="1" applyAlignment="1" pivotButton="0" quotePrefix="0" xfId="0">
      <alignment vertical="top" wrapText="1"/>
    </xf>
    <xf numFmtId="165" fontId="2" fillId="0" borderId="1" applyAlignment="1" pivotButton="0" quotePrefix="0" xfId="0">
      <alignment vertical="top" wrapText="1"/>
    </xf>
    <xf numFmtId="167" fontId="2" fillId="0" borderId="1" applyAlignment="1" pivotButton="0" quotePrefix="0" xfId="0">
      <alignment vertical="top" wrapText="1"/>
    </xf>
    <xf numFmtId="166" fontId="5" fillId="5" borderId="1" applyAlignment="1" pivotButton="0" quotePrefix="0" xfId="0">
      <alignment vertical="top" wrapText="1"/>
    </xf>
    <xf numFmtId="166" fontId="2" fillId="0" borderId="1" applyAlignment="1" pivotButton="0" quotePrefix="0" xfId="0">
      <alignment vertical="top" wrapText="1"/>
    </xf>
    <xf numFmtId="168" fontId="2" fillId="0" borderId="1" applyAlignment="1" pivotButton="0" quotePrefix="0" xfId="0">
      <alignment vertical="top" wrapText="1"/>
    </xf>
    <xf numFmtId="0" fontId="2" fillId="4" borderId="1" applyAlignment="1" pivotButton="0" quotePrefix="0" xfId="0">
      <alignment vertical="top" wrapText="1"/>
    </xf>
    <xf numFmtId="165" fontId="2" fillId="4" borderId="1" applyAlignment="1" pivotButton="0" quotePrefix="0" xfId="0">
      <alignment vertical="top" wrapText="1"/>
    </xf>
    <xf numFmtId="167" fontId="2" fillId="4" borderId="1" applyAlignment="1" pivotButton="0" quotePrefix="0" xfId="0">
      <alignment vertical="top" wrapText="1"/>
    </xf>
    <xf numFmtId="166" fontId="2" fillId="4" borderId="1" applyAlignment="1" pivotButton="0" quotePrefix="0" xfId="0">
      <alignment vertical="top" wrapText="1"/>
    </xf>
    <xf numFmtId="168" fontId="2" fillId="4"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169" fontId="2" fillId="0" borderId="1" applyAlignment="1" pivotButton="0" quotePrefix="0" xfId="0">
      <alignment vertical="top" wrapText="1"/>
    </xf>
    <xf numFmtId="169" fontId="2" fillId="4" borderId="1" applyAlignment="1" pivotButton="0" quotePrefix="0" xfId="0">
      <alignment vertical="top" wrapText="1"/>
    </xf>
    <xf numFmtId="1" fontId="5" fillId="0" borderId="0" pivotButton="0" quotePrefix="0" xfId="0"/>
    <xf numFmtId="0" fontId="6" fillId="3"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Capital financé et capital en évaluation</a:t>
            </a:r>
          </a:p>
        </rich>
      </tx>
    </title>
    <plotArea>
      <lineChart>
        <grouping val="standard"/>
        <ser>
          <idx val="0"/>
          <order val="0"/>
          <tx>
            <strRef>
              <f>'Données graphiques'!B1</f>
            </strRef>
          </tx>
          <spPr>
            <a:ln>
              <a:prstDash val="solid"/>
            </a:ln>
          </spPr>
          <marker>
            <symbol val="none"/>
            <spPr>
              <a:ln>
                <a:prstDash val="solid"/>
              </a:ln>
            </spPr>
          </marker>
          <cat>
            <numRef>
              <f>'Données graphiques'!$A$2:$A$25</f>
            </numRef>
          </cat>
          <val>
            <numRef>
              <f>'Données graphiques'!$B$2:$B$25</f>
            </numRef>
          </val>
        </ser>
        <ser>
          <idx val="1"/>
          <order val="1"/>
          <tx>
            <strRef>
              <f>'Données graphiques'!C1</f>
            </strRef>
          </tx>
          <spPr>
            <a:ln>
              <a:prstDash val="solid"/>
            </a:ln>
          </spPr>
          <marker>
            <symbol val="none"/>
            <spPr>
              <a:ln>
                <a:prstDash val="solid"/>
              </a:ln>
            </spPr>
          </marker>
          <cat>
            <numRef>
              <f>'Données graphiques'!$A$2:$A$25</f>
            </numRef>
          </cat>
          <val>
            <numRef>
              <f>'Données graphiques'!$C$2:$C$25</f>
            </numRef>
          </val>
        </ser>
        <axId val="10"/>
        <axId val="100"/>
      </lineChart>
      <catAx>
        <axId val="10"/>
        <scaling>
          <orientation val="minMax"/>
        </scaling>
        <axPos val="l"/>
        <title>
          <tx>
            <rich>
              <a:bodyPr/>
              <a:p>
                <a:pPr>
                  <a:defRPr/>
                </a:pPr>
                <a:r>
                  <a:t>Mois</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Payouts encaissés et frais investis par quinzaine</a:t>
            </a:r>
          </a:p>
        </rich>
      </tx>
    </title>
    <plotArea>
      <barChart>
        <barDir val="col"/>
        <grouping val="clustered"/>
        <ser>
          <idx val="0"/>
          <order val="0"/>
          <tx>
            <strRef>
              <f>'Données graphiques'!D1</f>
            </strRef>
          </tx>
          <spPr>
            <a:ln>
              <a:prstDash val="solid"/>
            </a:ln>
          </spPr>
          <cat>
            <numRef>
              <f>'Données graphiques'!$A$2:$A$25</f>
            </numRef>
          </cat>
          <val>
            <numRef>
              <f>'Données graphiques'!$D$2:$D$25</f>
            </numRef>
          </val>
        </ser>
        <ser>
          <idx val="1"/>
          <order val="1"/>
          <tx>
            <strRef>
              <f>'Données graphiques'!E1</f>
            </strRef>
          </tx>
          <spPr>
            <a:ln>
              <a:prstDash val="solid"/>
            </a:ln>
          </spPr>
          <cat>
            <numRef>
              <f>'Données graphiques'!$A$2:$A$25</f>
            </numRef>
          </cat>
          <val>
            <numRef>
              <f>'Données graphiques'!$E$2:$E$25</f>
            </numRef>
          </val>
        </ser>
        <gapWidth val="150"/>
        <axId val="10"/>
        <axId val="100"/>
      </barChart>
      <catAx>
        <axId val="10"/>
        <scaling>
          <orientation val="minMax"/>
        </scaling>
        <axPos val="l"/>
        <title>
          <tx>
            <rich>
              <a:bodyPr/>
              <a:p>
                <a:pPr>
                  <a:defRPr/>
                </a:pPr>
                <a:r>
                  <a:t>Mois</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Payouts cumulés vs frais cumulés</a:t>
            </a:r>
          </a:p>
        </rich>
      </tx>
    </title>
    <plotArea>
      <lineChart>
        <grouping val="standard"/>
        <ser>
          <idx val="0"/>
          <order val="0"/>
          <tx>
            <strRef>
              <f>'Données graphiques'!G1</f>
            </strRef>
          </tx>
          <spPr>
            <a:ln>
              <a:prstDash val="solid"/>
            </a:ln>
          </spPr>
          <marker>
            <symbol val="none"/>
            <spPr>
              <a:ln>
                <a:prstDash val="solid"/>
              </a:ln>
            </spPr>
          </marker>
          <cat>
            <numRef>
              <f>'Données graphiques'!$A$2:$A$25</f>
            </numRef>
          </cat>
          <val>
            <numRef>
              <f>'Données graphiques'!$G$2:$G$25</f>
            </numRef>
          </val>
        </ser>
        <ser>
          <idx val="1"/>
          <order val="1"/>
          <tx>
            <strRef>
              <f>'Données graphiques'!H1</f>
            </strRef>
          </tx>
          <spPr>
            <a:ln>
              <a:prstDash val="solid"/>
            </a:ln>
          </spPr>
          <marker>
            <symbol val="none"/>
            <spPr>
              <a:ln>
                <a:prstDash val="solid"/>
              </a:ln>
            </spPr>
          </marker>
          <cat>
            <numRef>
              <f>'Données graphiques'!$A$2:$A$25</f>
            </numRef>
          </cat>
          <val>
            <numRef>
              <f>'Données graphiques'!$H$2:$H$25</f>
            </numRef>
          </val>
        </ser>
        <axId val="10"/>
        <axId val="100"/>
      </lineChart>
      <catAx>
        <axId val="10"/>
        <scaling>
          <orientation val="minMax"/>
        </scaling>
        <axPos val="l"/>
        <title>
          <tx>
            <rich>
              <a:bodyPr/>
              <a:p>
                <a:pPr>
                  <a:defRPr/>
                </a:pPr>
                <a:r>
                  <a:t>Mois</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Reste de trésorerie après investissement</a:t>
            </a:r>
          </a:p>
        </rich>
      </tx>
    </title>
    <plotArea>
      <barChart>
        <barDir val="col"/>
        <grouping val="clustered"/>
        <ser>
          <idx val="0"/>
          <order val="0"/>
          <tx>
            <strRef>
              <f>'Données graphiques'!F1</f>
            </strRef>
          </tx>
          <spPr>
            <a:ln>
              <a:prstDash val="solid"/>
            </a:ln>
          </spPr>
          <cat>
            <numRef>
              <f>'Données graphiques'!$A$2:$A$25</f>
            </numRef>
          </cat>
          <val>
            <numRef>
              <f>'Données graphiques'!$F$2:$F$25</f>
            </numRef>
          </val>
        </ser>
        <gapWidth val="150"/>
        <axId val="10"/>
        <axId val="100"/>
      </barChart>
      <catAx>
        <axId val="10"/>
        <scaling>
          <orientation val="minMax"/>
        </scaling>
        <axPos val="l"/>
        <title>
          <tx>
            <rich>
              <a:bodyPr/>
              <a:p>
                <a:pPr>
                  <a:defRPr/>
                </a:pPr>
                <a:r>
                  <a:t>Mois</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Répartition du capital financé cible</a:t>
            </a:r>
          </a:p>
        </rich>
      </tx>
    </title>
    <plotArea>
      <pieChart>
        <varyColors val="1"/>
        <ser>
          <idx val="0"/>
          <order val="0"/>
          <tx>
            <strRef>
              <f>'Données graphiques'!L1</f>
            </strRef>
          </tx>
          <spPr>
            <a:ln>
              <a:prstDash val="solid"/>
            </a:ln>
          </spPr>
          <cat>
            <numRef>
              <f>'Données graphiques'!$K$2:$K$4</f>
            </numRef>
          </cat>
          <val>
            <numRef>
              <f>'Données graphiques'!$L$2:$L$4</f>
            </numRef>
          </val>
        </ser>
        <dLbls>
          <showPercent val="1"/>
        </dLbls>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21</row>
      <rowOff>0</rowOff>
    </from>
    <ext cx="7920000" cy="3240000"/>
    <graphicFrame>
      <nvGraphicFramePr>
        <cNvPr id="3" name="Chart 3"/>
        <cNvGraphicFramePr/>
      </nvGraphicFramePr>
      <xfrm/>
      <a:graphic>
        <a:graphicData uri="http://schemas.openxmlformats.org/drawingml/2006/chart">
          <c:chart r:id="rId3"/>
        </a:graphicData>
      </a:graphic>
    </graphicFrame>
    <clientData/>
  </oneCellAnchor>
  <oneCellAnchor>
    <from>
      <col>13</col>
      <colOff>0</colOff>
      <row>21</row>
      <rowOff>0</rowOff>
    </from>
    <ext cx="792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40</row>
      <rowOff>0</rowOff>
    </from>
    <ext cx="5040000" cy="324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50" customWidth="1" min="1" max="1"/>
  </cols>
  <sheetData>
    <row r="1">
      <c r="A1" s="1" t="inlineStr">
        <is>
          <t>Plan d'investissement – bot personnel 100 % automatisé sur prop firms</t>
        </is>
      </c>
    </row>
    <row r="2">
      <c r="A2" s="2" t="inlineStr"/>
    </row>
    <row r="3">
      <c r="A3" s="2" t="inlineStr">
        <is>
          <t>Version du 28/09/2026. Point de départ : un compte FundedNext de 10 000 $ financé le 01/10/2026.</t>
        </is>
      </c>
    </row>
    <row r="4">
      <c r="A4" s="2" t="inlineStr"/>
    </row>
    <row r="5">
      <c r="A5" s="3" t="inlineStr">
        <is>
          <t>1. LE PRINCIPE</t>
        </is>
      </c>
    </row>
    <row r="6">
      <c r="A6" s="2" t="inlineStr">
        <is>
          <t>Le bot génère 10 % par mois (5 % par quinzaine). Chaque payout est réinvesti intégralement, le jour même, dans l'achat de nouveaux challenges. Les achats suivent un ordre fixe : d'abord les comptes Instant/Direct CFD (groupe A), puis les firmes à étapes (groupe B), chacune jusqu'à son capital cumulable maximum hors scaling avec la même stratégie.</t>
        </is>
      </c>
    </row>
    <row r="7">
      <c r="A7" s="2" t="inlineStr">
        <is>
          <t>Un compte Instant est financé dès l'achat. Un compte à étapes est financé après la durée d'évaluation (somme des objectifs de profit ÷ 5 % par quinzaine). Tout compte financé verse son premier payout un mois plus tard, puis tous les mois : 10 % × taille × profit split.</t>
        </is>
      </c>
    </row>
    <row r="8">
      <c r="A8" s="2" t="inlineStr"/>
    </row>
    <row r="9">
      <c r="A9" s="3" t="inlineStr">
        <is>
          <t>2. COMMENT LIRE LE CLASSEUR</t>
        </is>
      </c>
    </row>
    <row r="10">
      <c r="A10" s="2" t="inlineStr">
        <is>
          <t>• Paramètres : les hypothèses (cellules jaunes) et les résultats clés.</t>
        </is>
      </c>
    </row>
    <row r="11">
      <c r="A11" s="2" t="inlineStr">
        <is>
          <t>• Calendrier : une ligne par quinzaine, avec la date, le capital financé, les payouts encaissés, les achats, le RESTE de trésorerie après investissement, le capital en évaluation, et les cumuls (payouts, frais, ROI). Les colonnes de cumul et de ROI sont des formules.</t>
        </is>
      </c>
    </row>
    <row r="12">
      <c r="A12" s="2" t="inlineStr">
        <is>
          <t>• Opérations : le journal exhaustif, une ligne par opération datée (payout reçu, achat de challenge, financement d'un compte) avec le montant et le solde de trésorerie après l'opération. Chaque compte porte un numéro (#1, #2…) pour le suivre du challenge au payout.</t>
        </is>
      </c>
    </row>
    <row r="13">
      <c r="A13" s="2" t="inlineStr">
        <is>
          <t>• Ordre d'achat : la liste de priorité, avec taille, prix, nombre de comptes, objectif de profit, durée d'évaluation, capital obtenu par dollar de frais et source du prix.</t>
        </is>
      </c>
    </row>
    <row r="14">
      <c r="A14" s="2" t="inlineStr">
        <is>
          <t>• Par firme : synthèse par prop firm (frais engagés, capital financé, date du premier achat, date du premier payout, payout mensuel en régime de croisière).</t>
        </is>
      </c>
    </row>
    <row r="15">
      <c r="A15" s="2" t="inlineStr">
        <is>
          <t>• Portefeuille final : la liste des comptes financés à la fin de la simulation.</t>
        </is>
      </c>
    </row>
    <row r="16">
      <c r="A16" s="2" t="inlineStr">
        <is>
          <t>• Graphiques : capital financé et en évaluation dans le temps, payouts par quinzaine, frais cumulés vs payouts cumulés, reste de trésorerie, répartition du capital final par groupe.</t>
        </is>
      </c>
    </row>
    <row r="17">
      <c r="A17" s="2" t="inlineStr"/>
    </row>
    <row r="18">
      <c r="A18" s="3" t="inlineStr">
        <is>
          <t>3. LES ÉTAPES DU PLAN, DANS L'ORDRE</t>
        </is>
      </c>
    </row>
    <row r="19">
      <c r="A19" s="2" t="inlineStr">
        <is>
          <t>Étape 0 (01/10/2026) : le bot tourne sur le compte FundedNext 10 000 $ (EA autorisé sous 50 000 $ avec l'add-on EA, pas de copie entre comptes financés : FundedNext reste à un seul compte).</t>
        </is>
      </c>
    </row>
    <row r="20">
      <c r="A20" s="2" t="inlineStr">
        <is>
          <t>Étape 1 (29/10/2026) : premier payout de 800 $ (10 % × 10 000 × 80 %). Achat du premier compte Instant du groupe A (Moneta Funded, 100k pour 780 $).</t>
        </is>
      </c>
    </row>
    <row r="21">
      <c r="A21" s="2" t="inlineStr">
        <is>
          <t>Étapes suivantes : à chaque payout, on descend la liste « Ordre d'achat » et on achète autant de comptes que la trésorerie le permet, firme par firme, jusqu'au plafond de chacune. Le reste non investi est reporté à la quinzaine suivante.</t>
        </is>
      </c>
    </row>
    <row r="22">
      <c r="A22" s="2" t="inlineStr">
        <is>
          <t>Fin du plan : tout est acheté au mois 6.0 (18/03/2027). Ensuite, les payouts ne servent plus qu'à constituer la trésorerie (colonne « Reste après investissement »).</t>
        </is>
      </c>
    </row>
    <row r="23">
      <c r="A23" s="2" t="inlineStr"/>
    </row>
    <row r="24">
      <c r="A24" s="3" t="inlineStr">
        <is>
          <t>4. RÈGLES À RESPECTER POUR QUE LE PLAN TIENNE</t>
        </is>
      </c>
    </row>
    <row r="25">
      <c r="A25" s="2" t="inlineStr">
        <is>
          <t>• Bot personnel, code source disponible sur demande, jamais un EA acheté ou partagé. Déclarer l'EA au support quand la firme l'exige (colonne Conditions des tableurs précédents).</t>
        </is>
      </c>
    </row>
    <row r="26">
      <c r="A26" s="2" t="inlineStr">
        <is>
          <t>• Pas de HFT, pas de tick scalping, pas d'arbitrage de latence, respect des temps de détention minimum. Un même bot sur plusieurs comptes uniquement chez les firmes marquées « même stratégie OUI ».</t>
        </is>
      </c>
    </row>
    <row r="27">
      <c r="A27" s="2" t="inlineStr">
        <is>
          <t>• Respecter le nombre maximal de comptes actifs par firme et par foyer, et les délais entre payouts (souvent 14 à 30 jours).</t>
        </is>
      </c>
    </row>
    <row r="28">
      <c r="A28" s="2" t="inlineStr">
        <is>
          <t>• Vérifier le prix et les règles sur le site officiel avant chaque achat : les tarifs issus de sites de review sont signalés dans la colonne source de l'onglet Ordre d'achat.</t>
        </is>
      </c>
    </row>
    <row r="29">
      <c r="A29" s="2" t="inlineStr"/>
    </row>
    <row r="30">
      <c r="A30" s="3" t="inlineStr">
        <is>
          <t>5. CE QUE LA SIMULATION NE MODÉLISE PAS</t>
        </is>
      </c>
    </row>
    <row r="31">
      <c r="A31" s="2" t="inlineStr">
        <is>
          <t>Échecs d'évaluation et resets, drawdown, plafonds de payout, délais réels de paiement, refus de payout pour non-conformité, taxes, frais de payout, add-ons EA, retraits pour vivre. Le résultat est une borne théorique sous l'hypothèse de 10 % mensuel constant, pas une prévision.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4" t="inlineStr">
        <is>
          <t>Graphiques du plan (données : onglet « Données graphiques »)</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60" customWidth="1" min="1" max="1"/>
    <col width="100" customWidth="1" min="2" max="2"/>
  </cols>
  <sheetData>
    <row r="1">
      <c r="A1" s="4" t="inlineStr">
        <is>
          <t>HYPOTHÈSES (cellules jaunes = paramètres du script)</t>
        </is>
      </c>
    </row>
    <row r="2">
      <c r="A2" s="5" t="inlineStr">
        <is>
          <t>Date de départ (mois 0)</t>
        </is>
      </c>
      <c r="B2" s="6" t="n">
        <v>46296</v>
      </c>
    </row>
    <row r="3">
      <c r="A3" s="5" t="inlineStr">
        <is>
          <t>Compte de départ</t>
        </is>
      </c>
      <c r="B3" s="7" t="inlineStr">
        <is>
          <t>FundedNext 10,000 $</t>
        </is>
      </c>
    </row>
    <row r="4">
      <c r="A4" s="5" t="inlineStr">
        <is>
          <t>Profit split du compte de départ</t>
        </is>
      </c>
      <c r="B4" s="8" t="n">
        <v>0.8</v>
      </c>
    </row>
    <row r="5">
      <c r="A5" s="5" t="inlineStr">
        <is>
          <t>Rendement brut mensuel</t>
        </is>
      </c>
      <c r="B5" s="8" t="n">
        <v>0.1</v>
      </c>
    </row>
    <row r="6">
      <c r="A6" s="5" t="inlineStr">
        <is>
          <t>Rendement brut par quinzaine</t>
        </is>
      </c>
      <c r="B6" s="8" t="n">
        <v>0.05</v>
      </c>
    </row>
    <row r="7">
      <c r="A7" s="5" t="inlineStr">
        <is>
          <t>Profit split par défaut</t>
        </is>
      </c>
      <c r="B7" s="8" t="n">
        <v>0.8</v>
      </c>
    </row>
    <row r="8">
      <c r="A8" s="5" t="inlineStr">
        <is>
          <t>Réinvestissement</t>
        </is>
      </c>
      <c r="B8" s="7" t="inlineStr">
        <is>
          <t>100 % des payouts, le jour du payout</t>
        </is>
      </c>
    </row>
    <row r="9">
      <c r="A9" s="5" t="inlineStr">
        <is>
          <t>Ordre d'achat</t>
        </is>
      </c>
      <c r="B9" s="7" t="inlineStr">
        <is>
          <t>Groupe A Instant/Direct CFD puis groupe B à étapes, capital max décroissant</t>
        </is>
      </c>
    </row>
    <row r="10">
      <c r="A10" s="5" t="inlineStr">
        <is>
          <t>Durée d'évaluation</t>
        </is>
      </c>
      <c r="B10" s="7" t="inlineStr">
        <is>
          <t>objectifs de profit cumulés ÷ 5 % par quinzaine, arrondi à la quinzaine supérieure</t>
        </is>
      </c>
    </row>
    <row r="11">
      <c r="A11" s="5" t="inlineStr">
        <is>
          <t>Premier payout</t>
        </is>
      </c>
      <c r="B11" s="7" t="inlineStr">
        <is>
          <t>1 mois après financement, puis mensuel</t>
        </is>
      </c>
    </row>
    <row r="12">
      <c r="A12" s="5" t="inlineStr">
        <is>
          <t>Taux de réussite des évaluations</t>
        </is>
      </c>
      <c r="B12" s="8" t="n">
        <v>1</v>
      </c>
    </row>
    <row r="15">
      <c r="A15" s="4" t="inlineStr">
        <is>
          <t>RÉSULTATS CLÉS</t>
        </is>
      </c>
    </row>
    <row r="16">
      <c r="A16" s="5" t="inlineStr">
        <is>
          <t>Firmes dans le plan d'achat</t>
        </is>
      </c>
      <c r="B16" s="9" t="n">
        <v>84</v>
      </c>
    </row>
    <row r="17">
      <c r="A17" s="5" t="inlineStr">
        <is>
          <t>Nombre total de challenges à acheter</t>
        </is>
      </c>
      <c r="B17" s="10" t="n">
        <v>258</v>
      </c>
    </row>
    <row r="18">
      <c r="A18" s="5" t="inlineStr">
        <is>
          <t>Capital financé cible</t>
        </is>
      </c>
      <c r="B18" s="10" t="n">
        <v>38530000</v>
      </c>
    </row>
    <row r="19">
      <c r="A19" s="5" t="inlineStr">
        <is>
          <t>Coût total des challenges</t>
        </is>
      </c>
      <c r="B19" s="10" t="n">
        <v>2114737</v>
      </c>
    </row>
    <row r="20">
      <c r="A20" s="5" t="inlineStr">
        <is>
          <t>Date de fin des achats</t>
        </is>
      </c>
      <c r="B20" s="11" t="n">
        <v>46464</v>
      </c>
    </row>
    <row r="21">
      <c r="A21" s="5" t="inlineStr">
        <is>
          <t>Mois de fin des achats</t>
        </is>
      </c>
      <c r="B21" s="9" t="n">
        <v>6</v>
      </c>
    </row>
    <row r="22">
      <c r="A22" s="5" t="inlineStr">
        <is>
          <t>Date du capital cible entièrement financé</t>
        </is>
      </c>
      <c r="B22" s="11" t="n">
        <v>46506</v>
      </c>
    </row>
    <row r="23">
      <c r="A23" s="5" t="inlineStr">
        <is>
          <t>Payout mensuel net en régime de croisière</t>
        </is>
      </c>
      <c r="B23" s="10" t="n">
        <v>3235000</v>
      </c>
    </row>
    <row r="24">
      <c r="A24" s="5" t="inlineStr">
        <is>
          <t>Payouts cumulés à la fin de la simulation</t>
        </is>
      </c>
      <c r="B24" s="10" t="n">
        <v>23046800</v>
      </c>
    </row>
    <row r="25">
      <c r="A25" s="5" t="inlineStr">
        <is>
          <t>Frais cumulés</t>
        </is>
      </c>
      <c r="B25" s="10" t="n">
        <v>2114737</v>
      </c>
    </row>
    <row r="26">
      <c r="A26" s="5" t="inlineStr">
        <is>
          <t>Trésorerie disponible à la fin</t>
        </is>
      </c>
      <c r="B26" s="10" t="n">
        <v>20932063</v>
      </c>
    </row>
    <row r="27">
      <c r="A27" s="5" t="inlineStr">
        <is>
          <t>Dernière date simulée</t>
        </is>
      </c>
      <c r="B27" s="11" t="n">
        <v>46632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7" customWidth="1" min="3" max="3"/>
    <col width="16" customWidth="1" min="4" max="4"/>
    <col width="14" customWidth="1" min="5" max="5"/>
    <col width="10" customWidth="1" min="6" max="6"/>
    <col width="14" customWidth="1" min="7" max="7"/>
    <col width="14" customWidth="1" min="8" max="8"/>
    <col width="10" customWidth="1" min="9" max="9"/>
    <col width="14" customWidth="1" min="10" max="10"/>
    <col width="60" customWidth="1" min="11" max="11"/>
    <col width="16" customWidth="1" min="12" max="12"/>
    <col width="10" customWidth="1" min="13" max="13"/>
    <col width="14" customWidth="1" min="14" max="14"/>
    <col width="10" customWidth="1" min="15" max="15"/>
    <col width="16" customWidth="1" min="16" max="16"/>
    <col width="14" customWidth="1" min="17" max="17"/>
    <col width="14" customWidth="1" min="18" max="18"/>
    <col width="14" customWidth="1" min="19" max="19"/>
    <col width="12" customWidth="1" min="20" max="20"/>
  </cols>
  <sheetData>
    <row r="1" ht="40" customHeight="1">
      <c r="A1" s="12" t="inlineStr">
        <is>
          <t>Période</t>
        </is>
      </c>
      <c r="B1" s="12" t="inlineStr">
        <is>
          <t>Date</t>
        </is>
      </c>
      <c r="C1" s="12" t="inlineStr">
        <is>
          <t>Mois</t>
        </is>
      </c>
      <c r="D1" s="12" t="inlineStr">
        <is>
          <t>Capital financé début ($)</t>
        </is>
      </c>
      <c r="E1" s="12" t="inlineStr">
        <is>
          <t>Profit brut de la quinzaine ($)</t>
        </is>
      </c>
      <c r="F1" s="12" t="inlineStr">
        <is>
          <t>Comptes versant un payout</t>
        </is>
      </c>
      <c r="G1" s="12" t="inlineStr">
        <is>
          <t>Payouts encaissés ($)</t>
        </is>
      </c>
      <c r="H1" s="12" t="inlineStr">
        <is>
          <t>Trésorerie avant achats ($)</t>
        </is>
      </c>
      <c r="I1" s="12" t="inlineStr">
        <is>
          <t>Challenges achetés</t>
        </is>
      </c>
      <c r="J1" s="12" t="inlineStr">
        <is>
          <t>Frais dépensés ($)</t>
        </is>
      </c>
      <c r="K1" s="12" t="inlineStr">
        <is>
          <t>Achats de la période</t>
        </is>
      </c>
      <c r="L1" s="12" t="inlineStr">
        <is>
          <t>RESTE après investissement ($)</t>
        </is>
      </c>
      <c r="M1" s="12" t="inlineStr">
        <is>
          <t>Comptes en évaluation</t>
        </is>
      </c>
      <c r="N1" s="12" t="inlineStr">
        <is>
          <t>Capital en évaluation ($)</t>
        </is>
      </c>
      <c r="O1" s="12" t="inlineStr">
        <is>
          <t>Comptes financés</t>
        </is>
      </c>
      <c r="P1" s="12" t="inlineStr">
        <is>
          <t>Capital financé fin ($)</t>
        </is>
      </c>
      <c r="Q1" s="12" t="inlineStr">
        <is>
          <t>Payouts cumulés ($)</t>
        </is>
      </c>
      <c r="R1" s="12" t="inlineStr">
        <is>
          <t>Frais cumulés ($)</t>
        </is>
      </c>
      <c r="S1" s="12" t="inlineStr">
        <is>
          <t>Résultat net cumulé ($)</t>
        </is>
      </c>
      <c r="T1" s="12" t="inlineStr">
        <is>
          <t>ROI cumulé (payouts / frais)</t>
        </is>
      </c>
    </row>
    <row r="2">
      <c r="A2" s="13" t="n">
        <v>1</v>
      </c>
      <c r="B2" s="14" t="n">
        <v>46310</v>
      </c>
      <c r="C2" s="15" t="n">
        <v>0.5</v>
      </c>
      <c r="D2" s="16" t="n">
        <v>10000</v>
      </c>
      <c r="E2" s="17" t="n">
        <v>500</v>
      </c>
      <c r="F2" s="13" t="n">
        <v>0</v>
      </c>
      <c r="G2" s="16" t="n">
        <v>0</v>
      </c>
      <c r="H2" s="17">
        <f>0+G2</f>
        <v/>
      </c>
      <c r="I2" s="13" t="n">
        <v>0</v>
      </c>
      <c r="J2" s="17" t="n">
        <v>0</v>
      </c>
      <c r="K2" s="13" t="inlineStr"/>
      <c r="L2" s="16">
        <f>H2-J2</f>
        <v/>
      </c>
      <c r="M2" s="13" t="n">
        <v>0</v>
      </c>
      <c r="N2" s="17" t="n">
        <v>0</v>
      </c>
      <c r="O2" s="13" t="n">
        <v>1</v>
      </c>
      <c r="P2" s="17" t="n">
        <v>10000</v>
      </c>
      <c r="Q2" s="17">
        <f>SUM($G$2:G2)</f>
        <v/>
      </c>
      <c r="R2" s="17">
        <f>SUM($J$2:J2)</f>
        <v/>
      </c>
      <c r="S2" s="17">
        <f>Q2-R2</f>
        <v/>
      </c>
      <c r="T2" s="18">
        <f>IF(R2&gt;0,Q2/R2,"")</f>
        <v/>
      </c>
    </row>
    <row r="3">
      <c r="A3" s="19" t="n">
        <v>2</v>
      </c>
      <c r="B3" s="20" t="n">
        <v>46324</v>
      </c>
      <c r="C3" s="21" t="n">
        <v>1</v>
      </c>
      <c r="D3" s="16" t="n">
        <v>10000</v>
      </c>
      <c r="E3" s="22" t="n">
        <v>500</v>
      </c>
      <c r="F3" s="19" t="n">
        <v>1</v>
      </c>
      <c r="G3" s="16" t="n">
        <v>800</v>
      </c>
      <c r="H3" s="22">
        <f>L2+G3</f>
        <v/>
      </c>
      <c r="I3" s="19" t="n">
        <v>1</v>
      </c>
      <c r="J3" s="22" t="n">
        <v>780</v>
      </c>
      <c r="K3" s="19" t="inlineStr">
        <is>
          <t>Moneta Funded Instant-Direct 100k ×1</t>
        </is>
      </c>
      <c r="L3" s="16">
        <f>H3-J3</f>
        <v/>
      </c>
      <c r="M3" s="19" t="n">
        <v>0</v>
      </c>
      <c r="N3" s="22" t="n">
        <v>0</v>
      </c>
      <c r="O3" s="19" t="n">
        <v>2</v>
      </c>
      <c r="P3" s="22" t="n">
        <v>110000</v>
      </c>
      <c r="Q3" s="22">
        <f>SUM($G$2:G3)</f>
        <v/>
      </c>
      <c r="R3" s="22">
        <f>SUM($J$2:J3)</f>
        <v/>
      </c>
      <c r="S3" s="22">
        <f>Q3-R3</f>
        <v/>
      </c>
      <c r="T3" s="23">
        <f>IF(R3&gt;0,Q3/R3,"")</f>
        <v/>
      </c>
    </row>
    <row r="4">
      <c r="A4" s="13" t="n">
        <v>3</v>
      </c>
      <c r="B4" s="14" t="n">
        <v>46338</v>
      </c>
      <c r="C4" s="15" t="n">
        <v>1.5</v>
      </c>
      <c r="D4" s="16" t="n">
        <v>110000</v>
      </c>
      <c r="E4" s="17" t="n">
        <v>5500</v>
      </c>
      <c r="F4" s="13" t="n">
        <v>0</v>
      </c>
      <c r="G4" s="16" t="n">
        <v>0</v>
      </c>
      <c r="H4" s="17">
        <f>L3+G4</f>
        <v/>
      </c>
      <c r="I4" s="13" t="n">
        <v>0</v>
      </c>
      <c r="J4" s="17" t="n">
        <v>0</v>
      </c>
      <c r="K4" s="13" t="inlineStr"/>
      <c r="L4" s="16">
        <f>H4-J4</f>
        <v/>
      </c>
      <c r="M4" s="13" t="n">
        <v>0</v>
      </c>
      <c r="N4" s="17" t="n">
        <v>0</v>
      </c>
      <c r="O4" s="13" t="n">
        <v>2</v>
      </c>
      <c r="P4" s="17" t="n">
        <v>110000</v>
      </c>
      <c r="Q4" s="17">
        <f>SUM($G$2:G4)</f>
        <v/>
      </c>
      <c r="R4" s="17">
        <f>SUM($J$2:J4)</f>
        <v/>
      </c>
      <c r="S4" s="17">
        <f>Q4-R4</f>
        <v/>
      </c>
      <c r="T4" s="18">
        <f>IF(R4&gt;0,Q4/R4,"")</f>
        <v/>
      </c>
    </row>
    <row r="5">
      <c r="A5" s="19" t="n">
        <v>4</v>
      </c>
      <c r="B5" s="20" t="n">
        <v>46352</v>
      </c>
      <c r="C5" s="21" t="n">
        <v>2</v>
      </c>
      <c r="D5" s="16" t="n">
        <v>110000</v>
      </c>
      <c r="E5" s="22" t="n">
        <v>5500</v>
      </c>
      <c r="F5" s="19" t="n">
        <v>2</v>
      </c>
      <c r="G5" s="16" t="n">
        <v>8800</v>
      </c>
      <c r="H5" s="22">
        <f>L4+G5</f>
        <v/>
      </c>
      <c r="I5" s="19" t="n">
        <v>12</v>
      </c>
      <c r="J5" s="22" t="n">
        <v>8799</v>
      </c>
      <c r="K5" s="19" t="inlineStr">
        <is>
          <t>Moneta Funded Instant-Direct 100k ×11; FunderPro Futures 1 Step 150k ×1</t>
        </is>
      </c>
      <c r="L5" s="16">
        <f>H5-J5</f>
        <v/>
      </c>
      <c r="M5" s="19" t="n">
        <v>1</v>
      </c>
      <c r="N5" s="22" t="n">
        <v>150000</v>
      </c>
      <c r="O5" s="19" t="n">
        <v>13</v>
      </c>
      <c r="P5" s="22" t="n">
        <v>1210000</v>
      </c>
      <c r="Q5" s="22">
        <f>SUM($G$2:G5)</f>
        <v/>
      </c>
      <c r="R5" s="22">
        <f>SUM($J$2:J5)</f>
        <v/>
      </c>
      <c r="S5" s="22">
        <f>Q5-R5</f>
        <v/>
      </c>
      <c r="T5" s="23">
        <f>IF(R5&gt;0,Q5/R5,"")</f>
        <v/>
      </c>
    </row>
    <row r="6">
      <c r="A6" s="13" t="n">
        <v>5</v>
      </c>
      <c r="B6" s="14" t="n">
        <v>46366</v>
      </c>
      <c r="C6" s="15" t="n">
        <v>2.5</v>
      </c>
      <c r="D6" s="16" t="n">
        <v>1210000</v>
      </c>
      <c r="E6" s="17" t="n">
        <v>60500</v>
      </c>
      <c r="F6" s="13" t="n">
        <v>0</v>
      </c>
      <c r="G6" s="16" t="n">
        <v>0</v>
      </c>
      <c r="H6" s="17">
        <f>L5+G6</f>
        <v/>
      </c>
      <c r="I6" s="13" t="n">
        <v>0</v>
      </c>
      <c r="J6" s="17" t="n">
        <v>0</v>
      </c>
      <c r="K6" s="13" t="inlineStr"/>
      <c r="L6" s="16">
        <f>H6-J6</f>
        <v/>
      </c>
      <c r="M6" s="13" t="n">
        <v>1</v>
      </c>
      <c r="N6" s="17" t="n">
        <v>150000</v>
      </c>
      <c r="O6" s="13" t="n">
        <v>13</v>
      </c>
      <c r="P6" s="17" t="n">
        <v>1210000</v>
      </c>
      <c r="Q6" s="17">
        <f>SUM($G$2:G6)</f>
        <v/>
      </c>
      <c r="R6" s="17">
        <f>SUM($J$2:J6)</f>
        <v/>
      </c>
      <c r="S6" s="17">
        <f>Q6-R6</f>
        <v/>
      </c>
      <c r="T6" s="18">
        <f>IF(R6&gt;0,Q6/R6,"")</f>
        <v/>
      </c>
    </row>
    <row r="7">
      <c r="A7" s="19" t="n">
        <v>6</v>
      </c>
      <c r="B7" s="20" t="n">
        <v>46380</v>
      </c>
      <c r="C7" s="21" t="n">
        <v>3</v>
      </c>
      <c r="D7" s="16" t="n">
        <v>1360000</v>
      </c>
      <c r="E7" s="22" t="n">
        <v>68000</v>
      </c>
      <c r="F7" s="19" t="n">
        <v>13</v>
      </c>
      <c r="G7" s="16" t="n">
        <v>96800</v>
      </c>
      <c r="H7" s="22">
        <f>L6+G7</f>
        <v/>
      </c>
      <c r="I7" s="19" t="n">
        <v>36</v>
      </c>
      <c r="J7" s="22" t="n">
        <v>96751</v>
      </c>
      <c r="K7" s="19" t="inlineStr">
        <is>
          <t>Moneta Funded Instant-Direct 100k ×11; IQ Capital Instant-Direct 100k ×20; Instant Funding Instant-Direct 120k ×3; Audacity Capital Instant-Direct 50k ×1; Crypto Fund Trader Instant-Direct 10k ×1</t>
        </is>
      </c>
      <c r="L7" s="16">
        <f>H7-J7</f>
        <v/>
      </c>
      <c r="M7" s="19" t="n">
        <v>0</v>
      </c>
      <c r="N7" s="22" t="n">
        <v>0</v>
      </c>
      <c r="O7" s="19" t="n">
        <v>50</v>
      </c>
      <c r="P7" s="22" t="n">
        <v>4880000</v>
      </c>
      <c r="Q7" s="22">
        <f>SUM($G$2:G7)</f>
        <v/>
      </c>
      <c r="R7" s="22">
        <f>SUM($J$2:J7)</f>
        <v/>
      </c>
      <c r="S7" s="22">
        <f>Q7-R7</f>
        <v/>
      </c>
      <c r="T7" s="23">
        <f>IF(R7&gt;0,Q7/R7,"")</f>
        <v/>
      </c>
    </row>
    <row r="8">
      <c r="A8" s="13" t="n">
        <v>7</v>
      </c>
      <c r="B8" s="14" t="n">
        <v>46394</v>
      </c>
      <c r="C8" s="15" t="n">
        <v>3.5</v>
      </c>
      <c r="D8" s="16" t="n">
        <v>4880000</v>
      </c>
      <c r="E8" s="17" t="n">
        <v>244000</v>
      </c>
      <c r="F8" s="13" t="n">
        <v>0</v>
      </c>
      <c r="G8" s="16" t="n">
        <v>0</v>
      </c>
      <c r="H8" s="17">
        <f>L7+G8</f>
        <v/>
      </c>
      <c r="I8" s="13" t="n">
        <v>0</v>
      </c>
      <c r="J8" s="17" t="n">
        <v>0</v>
      </c>
      <c r="K8" s="13" t="inlineStr"/>
      <c r="L8" s="16">
        <f>H8-J8</f>
        <v/>
      </c>
      <c r="M8" s="13" t="n">
        <v>0</v>
      </c>
      <c r="N8" s="17" t="n">
        <v>0</v>
      </c>
      <c r="O8" s="13" t="n">
        <v>50</v>
      </c>
      <c r="P8" s="17" t="n">
        <v>4880000</v>
      </c>
      <c r="Q8" s="17">
        <f>SUM($G$2:G8)</f>
        <v/>
      </c>
      <c r="R8" s="17">
        <f>SUM($J$2:J8)</f>
        <v/>
      </c>
      <c r="S8" s="17">
        <f>Q8-R8</f>
        <v/>
      </c>
      <c r="T8" s="18">
        <f>IF(R8&gt;0,Q8/R8,"")</f>
        <v/>
      </c>
    </row>
    <row r="9">
      <c r="A9" s="19" t="n">
        <v>8</v>
      </c>
      <c r="B9" s="20" t="n">
        <v>46408</v>
      </c>
      <c r="C9" s="21" t="n">
        <v>4</v>
      </c>
      <c r="D9" s="16" t="n">
        <v>4880000</v>
      </c>
      <c r="E9" s="22" t="n">
        <v>244000</v>
      </c>
      <c r="F9" s="19" t="n">
        <v>50</v>
      </c>
      <c r="G9" s="16" t="n">
        <v>387900</v>
      </c>
      <c r="H9" s="22">
        <f>L8+G9</f>
        <v/>
      </c>
      <c r="I9" s="19" t="n">
        <v>181</v>
      </c>
      <c r="J9" s="22" t="n">
        <v>387783</v>
      </c>
      <c r="K9" s="19" t="inlineStr">
        <is>
          <t>Instant Funding Instant-Direct 120k ×5; Kickstart Trading Instant-Direct 100k ×10; Audacity Capital Instant-Direct 50k ×13; Fill88 Instant-Direct 100k ×6; Finotive Funding Instant-Direct 100k ×6; FNC Funding Instant-Direct 100k ×5; Funding Traders Instant-Direct 400k ×1; Ifunds Instant-Direct 500k ×1; Alpine Funded Instant-Direct 200k ×2; AquaFunded Instant-Direct 400k ×1; Atlas Funded Instant-Direct 300k ×1; Atmos Funded Instant-Direct 100k ×4; Blue Guardian Instant-Direct 400k ×1; FundedElite Instant-Direct 100k ×4; Funding Pips Instant-Direct 200k ×2; Global Forex Funds Instant-Direct 100k ×1; Goat Funded Trader Instant-Direct 100k ×4; FundedVerse Instant-Direct 50k ×6; Lark Funding Instant-Direct 100k ×3; Mockapital Instant-Direct 50k ×6; Myfundedcapital Instant-Direct 80k ×3; City Traders Imperium Instant-Direct 80k ×2; FTUK Instant-Direct 100k ×1; Funded Friday Instant-Direct 200k ×1; Funded Trading Plus Instant-Direct 100k ×1; Funding Dynasty Instant-Direct 200k ×1; Funding Frontier Instant-Direct 50k ×1; FundYourFX Instant-Direct 200k ×1; Hex Funded Instant-Direct 100k ×1; FundingRock Instant-Direct 100k ×1; LegionFunding Instant-Direct 100k ×1; MasterFunders Instant-Direct 100k ×1; BloomFunded Instant-Direct 50k ×1; BestProp4U 2 Step 400k ×2; Blink Funding 3 Step 500k ×2; Finotive Futures 1 Step 150k ×6; Funded Trader Markets 1 Step 300k ×3; Investiqa 2 Step 500k ×2; Kingdom Wealth Funding 1 Step 1000k ×1; Ment Funding 1 Step 1000k ×1; FXIFY 3 Step 400k ×2; Funded Squad 2 Step 200k ×4; Ment Funding Futures 1 Step 400k ×1; 10FOUR 1 Step 150k ×5; Blue Guardian Futures 1 Step 100k ×7; FunderPro Futures 1 Step 150k ×4; Fintokei 3 Step 100k ×7; DNA Funded 2 Step 200k ×3; Eightcap Challenges 2 Step 200k ×3; Capitalize 1 Step 500k ×1; E8 Markets 2 Step 150k ×3; Hola Prime 1 Step 150k ×3; IC Funded 2 Step 500k ×1; Blueberry Futures 1 Step 150k ×3; FTMO Futures 1 Step 150k ×3; Halcyon Trader Funding 1 Step 150k ×3; Astrofund 1 Step 100k ×4; BrightFunded 1 Step 200k ×2; Direct Funded Trader 2 Step 200k ×2; FTMO 1 Step 200k ×2; Funded X 1 Step 200k ×2; Hantec Trader 3 Step 200k ×1</t>
        </is>
      </c>
      <c r="L9" s="16">
        <f>H9-J9</f>
        <v/>
      </c>
      <c r="M9" s="19" t="n">
        <v>83</v>
      </c>
      <c r="N9" s="22" t="n">
        <v>18000000</v>
      </c>
      <c r="O9" s="19" t="n">
        <v>148</v>
      </c>
      <c r="P9" s="22" t="n">
        <v>15530000</v>
      </c>
      <c r="Q9" s="22">
        <f>SUM($G$2:G9)</f>
        <v/>
      </c>
      <c r="R9" s="22">
        <f>SUM($J$2:J9)</f>
        <v/>
      </c>
      <c r="S9" s="22">
        <f>Q9-R9</f>
        <v/>
      </c>
      <c r="T9" s="23">
        <f>IF(R9&gt;0,Q9/R9,"")</f>
        <v/>
      </c>
    </row>
    <row r="10">
      <c r="A10" s="13" t="n">
        <v>9</v>
      </c>
      <c r="B10" s="14" t="n">
        <v>46422</v>
      </c>
      <c r="C10" s="15" t="n">
        <v>4.5</v>
      </c>
      <c r="D10" s="16" t="n">
        <v>15530000</v>
      </c>
      <c r="E10" s="17" t="n">
        <v>776500</v>
      </c>
      <c r="F10" s="13" t="n">
        <v>0</v>
      </c>
      <c r="G10" s="16" t="n">
        <v>0</v>
      </c>
      <c r="H10" s="17">
        <f>L9+G10</f>
        <v/>
      </c>
      <c r="I10" s="13" t="n">
        <v>0</v>
      </c>
      <c r="J10" s="17" t="n">
        <v>0</v>
      </c>
      <c r="K10" s="13" t="inlineStr"/>
      <c r="L10" s="16">
        <f>H10-J10</f>
        <v/>
      </c>
      <c r="M10" s="13" t="n">
        <v>83</v>
      </c>
      <c r="N10" s="17" t="n">
        <v>18000000</v>
      </c>
      <c r="O10" s="13" t="n">
        <v>148</v>
      </c>
      <c r="P10" s="17" t="n">
        <v>15530000</v>
      </c>
      <c r="Q10" s="17">
        <f>SUM($G$2:G10)</f>
        <v/>
      </c>
      <c r="R10" s="17">
        <f>SUM($J$2:J10)</f>
        <v/>
      </c>
      <c r="S10" s="17">
        <f>Q10-R10</f>
        <v/>
      </c>
      <c r="T10" s="18">
        <f>IF(R10&gt;0,Q10/R10,"")</f>
        <v/>
      </c>
    </row>
    <row r="11">
      <c r="A11" s="19" t="n">
        <v>10</v>
      </c>
      <c r="B11" s="20" t="n">
        <v>46436</v>
      </c>
      <c r="C11" s="21" t="n">
        <v>5</v>
      </c>
      <c r="D11" s="16" t="n">
        <v>25230000</v>
      </c>
      <c r="E11" s="22" t="n">
        <v>1261500</v>
      </c>
      <c r="F11" s="19" t="n">
        <v>148</v>
      </c>
      <c r="G11" s="16" t="n">
        <v>1300000</v>
      </c>
      <c r="H11" s="22">
        <f>L10+G11</f>
        <v/>
      </c>
      <c r="I11" s="19" t="n">
        <v>25</v>
      </c>
      <c r="J11" s="22" t="n">
        <v>1299840</v>
      </c>
      <c r="K11" s="19" t="inlineStr">
        <is>
          <t>LifeUp Trading 1 Step 150k ×4; Fundora 2 Step 400k ×1; Get Crypto Funded 3 Step 200k ×2; Get Funded Now 1 Step 200k ×2; Hantec Trader 3 Step 200k ×1; Lion Heart Funding 2 Step 400k ×1; FX2 Funding 2 Step 100k ×3; FOREXIVE 2 Step 200k ×1; AIFO 2 Step 200k ×1; BEM Funding 2 Step 100k ×1; Breakout 1 Step 200k ×1; BullRush 2 Step 200k ×1; Exclusive Funded Programme 2 Step 200k ×1; FunderPro 1 Step 200k ×1; Funding Your Trades 2 Step 100k ×1; HyroTrader 1 Step 200k ×1; Mubite 2 Step 200k ×1; Tradersyard 1 Step 150k ×1</t>
        </is>
      </c>
      <c r="L11" s="16">
        <f>H11-J11</f>
        <v/>
      </c>
      <c r="M11" s="19" t="n">
        <v>60</v>
      </c>
      <c r="N11" s="22" t="n">
        <v>12950000</v>
      </c>
      <c r="O11" s="19" t="n">
        <v>196</v>
      </c>
      <c r="P11" s="22" t="n">
        <v>25230000</v>
      </c>
      <c r="Q11" s="22">
        <f>SUM($G$2:G11)</f>
        <v/>
      </c>
      <c r="R11" s="22">
        <f>SUM($J$2:J11)</f>
        <v/>
      </c>
      <c r="S11" s="22">
        <f>Q11-R11</f>
        <v/>
      </c>
      <c r="T11" s="23">
        <f>IF(R11&gt;0,Q11/R11,"")</f>
        <v/>
      </c>
    </row>
    <row r="12">
      <c r="A12" s="13" t="n">
        <v>11</v>
      </c>
      <c r="B12" s="14" t="n">
        <v>46450</v>
      </c>
      <c r="C12" s="15" t="n">
        <v>5.5</v>
      </c>
      <c r="D12" s="16" t="n">
        <v>33330000</v>
      </c>
      <c r="E12" s="17" t="n">
        <v>1666500</v>
      </c>
      <c r="F12" s="13" t="n">
        <v>0</v>
      </c>
      <c r="G12" s="16" t="n">
        <v>0</v>
      </c>
      <c r="H12" s="17">
        <f>L11+G12</f>
        <v/>
      </c>
      <c r="I12" s="13" t="n">
        <v>0</v>
      </c>
      <c r="J12" s="17" t="n">
        <v>0</v>
      </c>
      <c r="K12" s="13" t="inlineStr"/>
      <c r="L12" s="16">
        <f>H12-J12</f>
        <v/>
      </c>
      <c r="M12" s="13" t="n">
        <v>26</v>
      </c>
      <c r="N12" s="17" t="n">
        <v>4850000</v>
      </c>
      <c r="O12" s="13" t="n">
        <v>230</v>
      </c>
      <c r="P12" s="17" t="n">
        <v>33330000</v>
      </c>
      <c r="Q12" s="17">
        <f>SUM($G$2:G12)</f>
        <v/>
      </c>
      <c r="R12" s="17">
        <f>SUM($J$2:J12)</f>
        <v/>
      </c>
      <c r="S12" s="17">
        <f>Q12-R12</f>
        <v/>
      </c>
      <c r="T12" s="18">
        <f>IF(R12&gt;0,Q12/R12,"")</f>
        <v/>
      </c>
    </row>
    <row r="13">
      <c r="A13" s="19" t="n">
        <v>12</v>
      </c>
      <c r="B13" s="20" t="n">
        <v>46464</v>
      </c>
      <c r="C13" s="21" t="n">
        <v>6</v>
      </c>
      <c r="D13" s="16" t="n">
        <v>35280000</v>
      </c>
      <c r="E13" s="22" t="n">
        <v>1764000</v>
      </c>
      <c r="F13" s="19" t="n">
        <v>196</v>
      </c>
      <c r="G13" s="16" t="n">
        <v>2125500</v>
      </c>
      <c r="H13" s="22">
        <f>L12+G13</f>
        <v/>
      </c>
      <c r="I13" s="19" t="n">
        <v>3</v>
      </c>
      <c r="J13" s="22" t="n">
        <v>320784</v>
      </c>
      <c r="K13" s="19" t="inlineStr">
        <is>
          <t>LifeUp Trading 1 Step 150k ×1; MFunded (MarketsVox) 2 Step 100k ×1; Monevis 3 Step 100k ×1</t>
        </is>
      </c>
      <c r="L13" s="16">
        <f>H13-J13</f>
        <v/>
      </c>
      <c r="M13" s="19" t="n">
        <v>18</v>
      </c>
      <c r="N13" s="22" t="n">
        <v>3250000</v>
      </c>
      <c r="O13" s="19" t="n">
        <v>241</v>
      </c>
      <c r="P13" s="22" t="n">
        <v>35280000</v>
      </c>
      <c r="Q13" s="22">
        <f>SUM($G$2:G13)</f>
        <v/>
      </c>
      <c r="R13" s="22">
        <f>SUM($J$2:J13)</f>
        <v/>
      </c>
      <c r="S13" s="22">
        <f>Q13-R13</f>
        <v/>
      </c>
      <c r="T13" s="23">
        <f>IF(R13&gt;0,Q13/R13,"")</f>
        <v/>
      </c>
    </row>
    <row r="14">
      <c r="A14" s="13" t="n">
        <v>13</v>
      </c>
      <c r="B14" s="14" t="n">
        <v>46478</v>
      </c>
      <c r="C14" s="15" t="n">
        <v>6.5</v>
      </c>
      <c r="D14" s="16" t="n">
        <v>37580000</v>
      </c>
      <c r="E14" s="17" t="n">
        <v>1879000</v>
      </c>
      <c r="F14" s="13" t="n">
        <v>34</v>
      </c>
      <c r="G14" s="16" t="n">
        <v>680500</v>
      </c>
      <c r="H14" s="17">
        <f>L13+G14</f>
        <v/>
      </c>
      <c r="I14" s="13" t="n">
        <v>0</v>
      </c>
      <c r="J14" s="17" t="n">
        <v>0</v>
      </c>
      <c r="K14" s="13" t="inlineStr"/>
      <c r="L14" s="16">
        <f>H14-J14</f>
        <v/>
      </c>
      <c r="M14" s="13" t="n">
        <v>6</v>
      </c>
      <c r="N14" s="17" t="n">
        <v>950000</v>
      </c>
      <c r="O14" s="13" t="n">
        <v>253</v>
      </c>
      <c r="P14" s="17" t="n">
        <v>37580000</v>
      </c>
      <c r="Q14" s="17">
        <f>SUM($G$2:G14)</f>
        <v/>
      </c>
      <c r="R14" s="17">
        <f>SUM($J$2:J14)</f>
        <v/>
      </c>
      <c r="S14" s="17">
        <f>Q14-R14</f>
        <v/>
      </c>
      <c r="T14" s="18">
        <f>IF(R14&gt;0,Q14/R14,"")</f>
        <v/>
      </c>
    </row>
    <row r="15">
      <c r="A15" s="19" t="n">
        <v>14</v>
      </c>
      <c r="B15" s="20" t="n">
        <v>46492</v>
      </c>
      <c r="C15" s="21" t="n">
        <v>7</v>
      </c>
      <c r="D15" s="16" t="n">
        <v>38330000</v>
      </c>
      <c r="E15" s="22" t="n">
        <v>1916500</v>
      </c>
      <c r="F15" s="19" t="n">
        <v>207</v>
      </c>
      <c r="G15" s="16" t="n">
        <v>2287500</v>
      </c>
      <c r="H15" s="22">
        <f>L14+G15</f>
        <v/>
      </c>
      <c r="I15" s="19" t="n">
        <v>0</v>
      </c>
      <c r="J15" s="22" t="n">
        <v>0</v>
      </c>
      <c r="K15" s="19" t="inlineStr"/>
      <c r="L15" s="16">
        <f>H15-J15</f>
        <v/>
      </c>
      <c r="M15" s="19" t="n">
        <v>2</v>
      </c>
      <c r="N15" s="22" t="n">
        <v>200000</v>
      </c>
      <c r="O15" s="19" t="n">
        <v>257</v>
      </c>
      <c r="P15" s="22" t="n">
        <v>38330000</v>
      </c>
      <c r="Q15" s="22">
        <f>SUM($G$2:G15)</f>
        <v/>
      </c>
      <c r="R15" s="22">
        <f>SUM($J$2:J15)</f>
        <v/>
      </c>
      <c r="S15" s="22">
        <f>Q15-R15</f>
        <v/>
      </c>
      <c r="T15" s="23">
        <f>IF(R15&gt;0,Q15/R15,"")</f>
        <v/>
      </c>
    </row>
    <row r="16">
      <c r="A16" s="13" t="n">
        <v>15</v>
      </c>
      <c r="B16" s="14" t="n">
        <v>46506</v>
      </c>
      <c r="C16" s="15" t="n">
        <v>7.5</v>
      </c>
      <c r="D16" s="16" t="n">
        <v>38530000</v>
      </c>
      <c r="E16" s="17" t="n">
        <v>1926500</v>
      </c>
      <c r="F16" s="13" t="n">
        <v>46</v>
      </c>
      <c r="G16" s="16" t="n">
        <v>868500</v>
      </c>
      <c r="H16" s="17">
        <f>L15+G16</f>
        <v/>
      </c>
      <c r="I16" s="13" t="n">
        <v>0</v>
      </c>
      <c r="J16" s="17" t="n">
        <v>0</v>
      </c>
      <c r="K16" s="13" t="inlineStr"/>
      <c r="L16" s="16">
        <f>H16-J16</f>
        <v/>
      </c>
      <c r="M16" s="13" t="n">
        <v>0</v>
      </c>
      <c r="N16" s="17" t="n">
        <v>0</v>
      </c>
      <c r="O16" s="13" t="n">
        <v>259</v>
      </c>
      <c r="P16" s="17" t="n">
        <v>38530000</v>
      </c>
      <c r="Q16" s="17">
        <f>SUM($G$2:G16)</f>
        <v/>
      </c>
      <c r="R16" s="17">
        <f>SUM($J$2:J16)</f>
        <v/>
      </c>
      <c r="S16" s="17">
        <f>Q16-R16</f>
        <v/>
      </c>
      <c r="T16" s="18">
        <f>IF(R16&gt;0,Q16/R16,"")</f>
        <v/>
      </c>
    </row>
    <row r="17">
      <c r="A17" s="19" t="n">
        <v>16</v>
      </c>
      <c r="B17" s="20" t="n">
        <v>46520</v>
      </c>
      <c r="C17" s="21" t="n">
        <v>8</v>
      </c>
      <c r="D17" s="16" t="n">
        <v>38530000</v>
      </c>
      <c r="E17" s="22" t="n">
        <v>1926500</v>
      </c>
      <c r="F17" s="19" t="n">
        <v>211</v>
      </c>
      <c r="G17" s="16" t="n">
        <v>2350500</v>
      </c>
      <c r="H17" s="22">
        <f>L16+G17</f>
        <v/>
      </c>
      <c r="I17" s="19" t="n">
        <v>0</v>
      </c>
      <c r="J17" s="22" t="n">
        <v>0</v>
      </c>
      <c r="K17" s="19" t="inlineStr"/>
      <c r="L17" s="16">
        <f>H17-J17</f>
        <v/>
      </c>
      <c r="M17" s="19" t="n">
        <v>0</v>
      </c>
      <c r="N17" s="22" t="n">
        <v>0</v>
      </c>
      <c r="O17" s="19" t="n">
        <v>259</v>
      </c>
      <c r="P17" s="22" t="n">
        <v>38530000</v>
      </c>
      <c r="Q17" s="22">
        <f>SUM($G$2:G17)</f>
        <v/>
      </c>
      <c r="R17" s="22">
        <f>SUM($J$2:J17)</f>
        <v/>
      </c>
      <c r="S17" s="22">
        <f>Q17-R17</f>
        <v/>
      </c>
      <c r="T17" s="23">
        <f>IF(R17&gt;0,Q17/R17,"")</f>
        <v/>
      </c>
    </row>
    <row r="18">
      <c r="A18" s="13" t="n">
        <v>17</v>
      </c>
      <c r="B18" s="14" t="n">
        <v>46534</v>
      </c>
      <c r="C18" s="15" t="n">
        <v>8.5</v>
      </c>
      <c r="D18" s="16" t="n">
        <v>38530000</v>
      </c>
      <c r="E18" s="17" t="n">
        <v>1926500</v>
      </c>
      <c r="F18" s="13" t="n">
        <v>48</v>
      </c>
      <c r="G18" s="16" t="n">
        <v>884500</v>
      </c>
      <c r="H18" s="17">
        <f>L17+G18</f>
        <v/>
      </c>
      <c r="I18" s="13" t="n">
        <v>0</v>
      </c>
      <c r="J18" s="17" t="n">
        <v>0</v>
      </c>
      <c r="K18" s="13" t="inlineStr"/>
      <c r="L18" s="16">
        <f>H18-J18</f>
        <v/>
      </c>
      <c r="M18" s="13" t="n">
        <v>0</v>
      </c>
      <c r="N18" s="17" t="n">
        <v>0</v>
      </c>
      <c r="O18" s="13" t="n">
        <v>259</v>
      </c>
      <c r="P18" s="17" t="n">
        <v>38530000</v>
      </c>
      <c r="Q18" s="17">
        <f>SUM($G$2:G18)</f>
        <v/>
      </c>
      <c r="R18" s="17">
        <f>SUM($J$2:J18)</f>
        <v/>
      </c>
      <c r="S18" s="17">
        <f>Q18-R18</f>
        <v/>
      </c>
      <c r="T18" s="18">
        <f>IF(R18&gt;0,Q18/R18,"")</f>
        <v/>
      </c>
    </row>
    <row r="19">
      <c r="A19" s="19" t="n">
        <v>18</v>
      </c>
      <c r="B19" s="20" t="n">
        <v>46548</v>
      </c>
      <c r="C19" s="21" t="n">
        <v>9</v>
      </c>
      <c r="D19" s="16" t="n">
        <v>38530000</v>
      </c>
      <c r="E19" s="22" t="n">
        <v>1926500</v>
      </c>
      <c r="F19" s="19" t="n">
        <v>211</v>
      </c>
      <c r="G19" s="16" t="n">
        <v>2350500</v>
      </c>
      <c r="H19" s="22">
        <f>L18+G19</f>
        <v/>
      </c>
      <c r="I19" s="19" t="n">
        <v>0</v>
      </c>
      <c r="J19" s="22" t="n">
        <v>0</v>
      </c>
      <c r="K19" s="19" t="inlineStr"/>
      <c r="L19" s="16">
        <f>H19-J19</f>
        <v/>
      </c>
      <c r="M19" s="19" t="n">
        <v>0</v>
      </c>
      <c r="N19" s="22" t="n">
        <v>0</v>
      </c>
      <c r="O19" s="19" t="n">
        <v>259</v>
      </c>
      <c r="P19" s="22" t="n">
        <v>38530000</v>
      </c>
      <c r="Q19" s="22">
        <f>SUM($G$2:G19)</f>
        <v/>
      </c>
      <c r="R19" s="22">
        <f>SUM($J$2:J19)</f>
        <v/>
      </c>
      <c r="S19" s="22">
        <f>Q19-R19</f>
        <v/>
      </c>
      <c r="T19" s="23">
        <f>IF(R19&gt;0,Q19/R19,"")</f>
        <v/>
      </c>
    </row>
    <row r="20">
      <c r="A20" s="13" t="n">
        <v>19</v>
      </c>
      <c r="B20" s="14" t="n">
        <v>46562</v>
      </c>
      <c r="C20" s="15" t="n">
        <v>9.5</v>
      </c>
      <c r="D20" s="16" t="n">
        <v>38530000</v>
      </c>
      <c r="E20" s="17" t="n">
        <v>1926500</v>
      </c>
      <c r="F20" s="13" t="n">
        <v>48</v>
      </c>
      <c r="G20" s="16" t="n">
        <v>884500</v>
      </c>
      <c r="H20" s="17">
        <f>L19+G20</f>
        <v/>
      </c>
      <c r="I20" s="13" t="n">
        <v>0</v>
      </c>
      <c r="J20" s="17" t="n">
        <v>0</v>
      </c>
      <c r="K20" s="13" t="inlineStr"/>
      <c r="L20" s="16">
        <f>H20-J20</f>
        <v/>
      </c>
      <c r="M20" s="13" t="n">
        <v>0</v>
      </c>
      <c r="N20" s="17" t="n">
        <v>0</v>
      </c>
      <c r="O20" s="13" t="n">
        <v>259</v>
      </c>
      <c r="P20" s="17" t="n">
        <v>38530000</v>
      </c>
      <c r="Q20" s="17">
        <f>SUM($G$2:G20)</f>
        <v/>
      </c>
      <c r="R20" s="17">
        <f>SUM($J$2:J20)</f>
        <v/>
      </c>
      <c r="S20" s="17">
        <f>Q20-R20</f>
        <v/>
      </c>
      <c r="T20" s="18">
        <f>IF(R20&gt;0,Q20/R20,"")</f>
        <v/>
      </c>
    </row>
    <row r="21">
      <c r="A21" s="19" t="n">
        <v>20</v>
      </c>
      <c r="B21" s="20" t="n">
        <v>46576</v>
      </c>
      <c r="C21" s="21" t="n">
        <v>10</v>
      </c>
      <c r="D21" s="16" t="n">
        <v>38530000</v>
      </c>
      <c r="E21" s="22" t="n">
        <v>1926500</v>
      </c>
      <c r="F21" s="19" t="n">
        <v>211</v>
      </c>
      <c r="G21" s="16" t="n">
        <v>2350500</v>
      </c>
      <c r="H21" s="22">
        <f>L20+G21</f>
        <v/>
      </c>
      <c r="I21" s="19" t="n">
        <v>0</v>
      </c>
      <c r="J21" s="22" t="n">
        <v>0</v>
      </c>
      <c r="K21" s="19" t="inlineStr"/>
      <c r="L21" s="16">
        <f>H21-J21</f>
        <v/>
      </c>
      <c r="M21" s="19" t="n">
        <v>0</v>
      </c>
      <c r="N21" s="22" t="n">
        <v>0</v>
      </c>
      <c r="O21" s="19" t="n">
        <v>259</v>
      </c>
      <c r="P21" s="22" t="n">
        <v>38530000</v>
      </c>
      <c r="Q21" s="22">
        <f>SUM($G$2:G21)</f>
        <v/>
      </c>
      <c r="R21" s="22">
        <f>SUM($J$2:J21)</f>
        <v/>
      </c>
      <c r="S21" s="22">
        <f>Q21-R21</f>
        <v/>
      </c>
      <c r="T21" s="23">
        <f>IF(R21&gt;0,Q21/R21,"")</f>
        <v/>
      </c>
    </row>
    <row r="22">
      <c r="A22" s="13" t="n">
        <v>21</v>
      </c>
      <c r="B22" s="14" t="n">
        <v>46590</v>
      </c>
      <c r="C22" s="15" t="n">
        <v>10.5</v>
      </c>
      <c r="D22" s="16" t="n">
        <v>38530000</v>
      </c>
      <c r="E22" s="17" t="n">
        <v>1926500</v>
      </c>
      <c r="F22" s="13" t="n">
        <v>48</v>
      </c>
      <c r="G22" s="16" t="n">
        <v>884500</v>
      </c>
      <c r="H22" s="17">
        <f>L21+G22</f>
        <v/>
      </c>
      <c r="I22" s="13" t="n">
        <v>0</v>
      </c>
      <c r="J22" s="17" t="n">
        <v>0</v>
      </c>
      <c r="K22" s="13" t="inlineStr"/>
      <c r="L22" s="16">
        <f>H22-J22</f>
        <v/>
      </c>
      <c r="M22" s="13" t="n">
        <v>0</v>
      </c>
      <c r="N22" s="17" t="n">
        <v>0</v>
      </c>
      <c r="O22" s="13" t="n">
        <v>259</v>
      </c>
      <c r="P22" s="17" t="n">
        <v>38530000</v>
      </c>
      <c r="Q22" s="17">
        <f>SUM($G$2:G22)</f>
        <v/>
      </c>
      <c r="R22" s="17">
        <f>SUM($J$2:J22)</f>
        <v/>
      </c>
      <c r="S22" s="17">
        <f>Q22-R22</f>
        <v/>
      </c>
      <c r="T22" s="18">
        <f>IF(R22&gt;0,Q22/R22,"")</f>
        <v/>
      </c>
    </row>
    <row r="23">
      <c r="A23" s="19" t="n">
        <v>22</v>
      </c>
      <c r="B23" s="20" t="n">
        <v>46604</v>
      </c>
      <c r="C23" s="21" t="n">
        <v>11</v>
      </c>
      <c r="D23" s="16" t="n">
        <v>38530000</v>
      </c>
      <c r="E23" s="22" t="n">
        <v>1926500</v>
      </c>
      <c r="F23" s="19" t="n">
        <v>211</v>
      </c>
      <c r="G23" s="16" t="n">
        <v>2350500</v>
      </c>
      <c r="H23" s="22">
        <f>L22+G23</f>
        <v/>
      </c>
      <c r="I23" s="19" t="n">
        <v>0</v>
      </c>
      <c r="J23" s="22" t="n">
        <v>0</v>
      </c>
      <c r="K23" s="19" t="inlineStr"/>
      <c r="L23" s="16">
        <f>H23-J23</f>
        <v/>
      </c>
      <c r="M23" s="19" t="n">
        <v>0</v>
      </c>
      <c r="N23" s="22" t="n">
        <v>0</v>
      </c>
      <c r="O23" s="19" t="n">
        <v>259</v>
      </c>
      <c r="P23" s="22" t="n">
        <v>38530000</v>
      </c>
      <c r="Q23" s="22">
        <f>SUM($G$2:G23)</f>
        <v/>
      </c>
      <c r="R23" s="22">
        <f>SUM($J$2:J23)</f>
        <v/>
      </c>
      <c r="S23" s="22">
        <f>Q23-R23</f>
        <v/>
      </c>
      <c r="T23" s="23">
        <f>IF(R23&gt;0,Q23/R23,"")</f>
        <v/>
      </c>
    </row>
    <row r="24">
      <c r="A24" s="13" t="n">
        <v>23</v>
      </c>
      <c r="B24" s="14" t="n">
        <v>46618</v>
      </c>
      <c r="C24" s="15" t="n">
        <v>11.5</v>
      </c>
      <c r="D24" s="16" t="n">
        <v>38530000</v>
      </c>
      <c r="E24" s="17" t="n">
        <v>1926500</v>
      </c>
      <c r="F24" s="13" t="n">
        <v>48</v>
      </c>
      <c r="G24" s="16" t="n">
        <v>884500</v>
      </c>
      <c r="H24" s="17">
        <f>L23+G24</f>
        <v/>
      </c>
      <c r="I24" s="13" t="n">
        <v>0</v>
      </c>
      <c r="J24" s="17" t="n">
        <v>0</v>
      </c>
      <c r="K24" s="13" t="inlineStr"/>
      <c r="L24" s="16">
        <f>H24-J24</f>
        <v/>
      </c>
      <c r="M24" s="13" t="n">
        <v>0</v>
      </c>
      <c r="N24" s="17" t="n">
        <v>0</v>
      </c>
      <c r="O24" s="13" t="n">
        <v>259</v>
      </c>
      <c r="P24" s="17" t="n">
        <v>38530000</v>
      </c>
      <c r="Q24" s="17">
        <f>SUM($G$2:G24)</f>
        <v/>
      </c>
      <c r="R24" s="17">
        <f>SUM($J$2:J24)</f>
        <v/>
      </c>
      <c r="S24" s="17">
        <f>Q24-R24</f>
        <v/>
      </c>
      <c r="T24" s="18">
        <f>IF(R24&gt;0,Q24/R24,"")</f>
        <v/>
      </c>
    </row>
    <row r="25">
      <c r="A25" s="19" t="n">
        <v>24</v>
      </c>
      <c r="B25" s="20" t="n">
        <v>46632</v>
      </c>
      <c r="C25" s="21" t="n">
        <v>12</v>
      </c>
      <c r="D25" s="16" t="n">
        <v>38530000</v>
      </c>
      <c r="E25" s="22" t="n">
        <v>1926500</v>
      </c>
      <c r="F25" s="19" t="n">
        <v>211</v>
      </c>
      <c r="G25" s="16" t="n">
        <v>2350500</v>
      </c>
      <c r="H25" s="22">
        <f>L24+G25</f>
        <v/>
      </c>
      <c r="I25" s="19" t="n">
        <v>0</v>
      </c>
      <c r="J25" s="22" t="n">
        <v>0</v>
      </c>
      <c r="K25" s="19" t="inlineStr"/>
      <c r="L25" s="16">
        <f>H25-J25</f>
        <v/>
      </c>
      <c r="M25" s="19" t="n">
        <v>0</v>
      </c>
      <c r="N25" s="22" t="n">
        <v>0</v>
      </c>
      <c r="O25" s="19" t="n">
        <v>259</v>
      </c>
      <c r="P25" s="22" t="n">
        <v>38530000</v>
      </c>
      <c r="Q25" s="22">
        <f>SUM($G$2:G25)</f>
        <v/>
      </c>
      <c r="R25" s="22">
        <f>SUM($J$2:J25)</f>
        <v/>
      </c>
      <c r="S25" s="22">
        <f>Q25-R25</f>
        <v/>
      </c>
      <c r="T25" s="23">
        <f>IF(R25&gt;0,Q25/R25,"")</f>
        <v/>
      </c>
    </row>
  </sheetData>
  <autoFilter ref="A1:T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4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7" customWidth="1" min="3" max="3"/>
    <col width="16" customWidth="1" min="4" max="4"/>
    <col width="28" customWidth="1" min="5" max="5"/>
    <col width="26" customWidth="1" min="6" max="6"/>
    <col width="14" customWidth="1" min="7" max="7"/>
    <col width="16" customWidth="1" min="8" max="8"/>
    <col width="16" customWidth="1" min="9" max="9"/>
    <col width="70" customWidth="1" min="10" max="10"/>
  </cols>
  <sheetData>
    <row r="1" ht="40" customHeight="1">
      <c r="A1" s="12" t="inlineStr">
        <is>
          <t>N°</t>
        </is>
      </c>
      <c r="B1" s="12" t="inlineStr">
        <is>
          <t>Date</t>
        </is>
      </c>
      <c r="C1" s="12" t="inlineStr">
        <is>
          <t>Mois</t>
        </is>
      </c>
      <c r="D1" s="12" t="inlineStr">
        <is>
          <t>Opération</t>
        </is>
      </c>
      <c r="E1" s="12" t="inlineStr">
        <is>
          <t>Prop firm</t>
        </is>
      </c>
      <c r="F1" s="12" t="inlineStr">
        <is>
          <t>Compte</t>
        </is>
      </c>
      <c r="G1" s="12" t="inlineStr">
        <is>
          <t>Taille du compte ($)</t>
        </is>
      </c>
      <c r="H1" s="12" t="inlineStr">
        <is>
          <t>Montant ($) (+ payout / – achat)</t>
        </is>
      </c>
      <c r="I1" s="12" t="inlineStr">
        <is>
          <t>Trésorerie après opération ($)</t>
        </is>
      </c>
      <c r="J1" s="12" t="inlineStr">
        <is>
          <t>Détail</t>
        </is>
      </c>
    </row>
    <row r="2">
      <c r="A2" s="13" t="n">
        <v>1</v>
      </c>
      <c r="B2" s="14" t="n">
        <v>46296</v>
      </c>
      <c r="C2" s="15" t="n">
        <v>0</v>
      </c>
      <c r="D2" s="24" t="inlineStr">
        <is>
          <t>Financement</t>
        </is>
      </c>
      <c r="E2" s="13" t="inlineStr">
        <is>
          <t>FundedNext</t>
        </is>
      </c>
      <c r="F2" s="13" t="inlineStr">
        <is>
          <t>Départ 10k</t>
        </is>
      </c>
      <c r="G2" s="17" t="n">
        <v>10000</v>
      </c>
      <c r="H2" s="17" t="n">
        <v>0</v>
      </c>
      <c r="I2" s="17" t="n">
        <v>0</v>
      </c>
      <c r="J2" s="13" t="inlineStr">
        <is>
          <t>Compte de départ déjà financé</t>
        </is>
      </c>
    </row>
    <row r="3">
      <c r="A3" s="19" t="n">
        <v>2</v>
      </c>
      <c r="B3" s="20" t="n">
        <v>46324</v>
      </c>
      <c r="C3" s="21" t="n">
        <v>1</v>
      </c>
      <c r="D3" s="25" t="inlineStr">
        <is>
          <t>Payout</t>
        </is>
      </c>
      <c r="E3" s="19" t="inlineStr">
        <is>
          <t>FundedNext</t>
        </is>
      </c>
      <c r="F3" s="19" t="inlineStr">
        <is>
          <t>#1 Départ 10k</t>
        </is>
      </c>
      <c r="G3" s="22" t="n">
        <v>10000</v>
      </c>
      <c r="H3" s="22" t="n">
        <v>800</v>
      </c>
      <c r="I3" s="22" t="n">
        <v>800</v>
      </c>
      <c r="J3" s="19" t="inlineStr">
        <is>
          <t>10 % × 10,000 × split 80%</t>
        </is>
      </c>
    </row>
    <row r="4">
      <c r="A4" s="13" t="n">
        <v>3</v>
      </c>
      <c r="B4" s="14" t="n">
        <v>46324</v>
      </c>
      <c r="C4" s="15" t="n">
        <v>1</v>
      </c>
      <c r="D4" s="26" t="inlineStr">
        <is>
          <t>Achat challenge</t>
        </is>
      </c>
      <c r="E4" s="13" t="inlineStr">
        <is>
          <t>Moneta Funded</t>
        </is>
      </c>
      <c r="F4" s="13" t="inlineStr">
        <is>
          <t>#2 Instant-Direct 100k</t>
        </is>
      </c>
      <c r="G4" s="17" t="n">
        <v>100000</v>
      </c>
      <c r="H4" s="17" t="n">
        <v>-780</v>
      </c>
      <c r="I4" s="17" t="n">
        <v>20</v>
      </c>
      <c r="J4" s="13" t="inlineStr">
        <is>
          <t>Groupe A – rang 1 – financement prévu le 29/10/2026 (instant)</t>
        </is>
      </c>
    </row>
    <row r="5">
      <c r="A5" s="19" t="n">
        <v>4</v>
      </c>
      <c r="B5" s="20" t="n">
        <v>46324</v>
      </c>
      <c r="C5" s="21" t="n">
        <v>1</v>
      </c>
      <c r="D5" s="24" t="inlineStr">
        <is>
          <t>Financement</t>
        </is>
      </c>
      <c r="E5" s="19" t="inlineStr">
        <is>
          <t>Moneta Funded</t>
        </is>
      </c>
      <c r="F5" s="19" t="inlineStr">
        <is>
          <t>#2 Instant-Direct 100k</t>
        </is>
      </c>
      <c r="G5" s="22" t="n">
        <v>100000</v>
      </c>
      <c r="H5" s="22" t="n">
        <v>0</v>
      </c>
      <c r="I5" s="22" t="n">
        <v>20</v>
      </c>
      <c r="J5" s="19" t="inlineStr">
        <is>
          <t>Financé dès l'achat – 1er payout le 26/11/2026</t>
        </is>
      </c>
    </row>
    <row r="6">
      <c r="A6" s="13" t="n">
        <v>5</v>
      </c>
      <c r="B6" s="14" t="n">
        <v>46352</v>
      </c>
      <c r="C6" s="15" t="n">
        <v>2</v>
      </c>
      <c r="D6" s="25" t="inlineStr">
        <is>
          <t>Payout</t>
        </is>
      </c>
      <c r="E6" s="13" t="inlineStr">
        <is>
          <t>FundedNext</t>
        </is>
      </c>
      <c r="F6" s="13" t="inlineStr">
        <is>
          <t>#1 Départ 10k</t>
        </is>
      </c>
      <c r="G6" s="17" t="n">
        <v>10000</v>
      </c>
      <c r="H6" s="17" t="n">
        <v>800</v>
      </c>
      <c r="I6" s="17" t="n">
        <v>820</v>
      </c>
      <c r="J6" s="13" t="inlineStr">
        <is>
          <t>10 % × 10,000 × split 80%</t>
        </is>
      </c>
    </row>
    <row r="7">
      <c r="A7" s="19" t="n">
        <v>6</v>
      </c>
      <c r="B7" s="20" t="n">
        <v>46352</v>
      </c>
      <c r="C7" s="21" t="n">
        <v>2</v>
      </c>
      <c r="D7" s="25" t="inlineStr">
        <is>
          <t>Payout</t>
        </is>
      </c>
      <c r="E7" s="19" t="inlineStr">
        <is>
          <t>Moneta Funded</t>
        </is>
      </c>
      <c r="F7" s="19" t="inlineStr">
        <is>
          <t>#2 Instant-Direct 100k</t>
        </is>
      </c>
      <c r="G7" s="22" t="n">
        <v>100000</v>
      </c>
      <c r="H7" s="22" t="n">
        <v>8000</v>
      </c>
      <c r="I7" s="22" t="n">
        <v>8820</v>
      </c>
      <c r="J7" s="19" t="inlineStr">
        <is>
          <t>10 % × 100,000 × split 80%</t>
        </is>
      </c>
    </row>
    <row r="8">
      <c r="A8" s="13" t="n">
        <v>7</v>
      </c>
      <c r="B8" s="14" t="n">
        <v>46352</v>
      </c>
      <c r="C8" s="15" t="n">
        <v>2</v>
      </c>
      <c r="D8" s="26" t="inlineStr">
        <is>
          <t>Achat challenge</t>
        </is>
      </c>
      <c r="E8" s="13" t="inlineStr">
        <is>
          <t>Moneta Funded</t>
        </is>
      </c>
      <c r="F8" s="13" t="inlineStr">
        <is>
          <t>#3 Instant-Direct 100k</t>
        </is>
      </c>
      <c r="G8" s="17" t="n">
        <v>100000</v>
      </c>
      <c r="H8" s="17" t="n">
        <v>-780</v>
      </c>
      <c r="I8" s="17" t="n">
        <v>8040</v>
      </c>
      <c r="J8" s="13" t="inlineStr">
        <is>
          <t>Groupe A – rang 1 – financement prévu le 26/11/2026 (instant)</t>
        </is>
      </c>
    </row>
    <row r="9">
      <c r="A9" s="19" t="n">
        <v>8</v>
      </c>
      <c r="B9" s="20" t="n">
        <v>46352</v>
      </c>
      <c r="C9" s="21" t="n">
        <v>2</v>
      </c>
      <c r="D9" s="26" t="inlineStr">
        <is>
          <t>Achat challenge</t>
        </is>
      </c>
      <c r="E9" s="19" t="inlineStr">
        <is>
          <t>Moneta Funded</t>
        </is>
      </c>
      <c r="F9" s="19" t="inlineStr">
        <is>
          <t>#4 Instant-Direct 100k</t>
        </is>
      </c>
      <c r="G9" s="22" t="n">
        <v>100000</v>
      </c>
      <c r="H9" s="22" t="n">
        <v>-780</v>
      </c>
      <c r="I9" s="22" t="n">
        <v>7260</v>
      </c>
      <c r="J9" s="19" t="inlineStr">
        <is>
          <t>Groupe A – rang 1 – financement prévu le 26/11/2026 (instant)</t>
        </is>
      </c>
    </row>
    <row r="10">
      <c r="A10" s="13" t="n">
        <v>9</v>
      </c>
      <c r="B10" s="14" t="n">
        <v>46352</v>
      </c>
      <c r="C10" s="15" t="n">
        <v>2</v>
      </c>
      <c r="D10" s="26" t="inlineStr">
        <is>
          <t>Achat challenge</t>
        </is>
      </c>
      <c r="E10" s="13" t="inlineStr">
        <is>
          <t>Moneta Funded</t>
        </is>
      </c>
      <c r="F10" s="13" t="inlineStr">
        <is>
          <t>#5 Instant-Direct 100k</t>
        </is>
      </c>
      <c r="G10" s="17" t="n">
        <v>100000</v>
      </c>
      <c r="H10" s="17" t="n">
        <v>-780</v>
      </c>
      <c r="I10" s="17" t="n">
        <v>6480</v>
      </c>
      <c r="J10" s="13" t="inlineStr">
        <is>
          <t>Groupe A – rang 1 – financement prévu le 26/11/2026 (instant)</t>
        </is>
      </c>
    </row>
    <row r="11">
      <c r="A11" s="19" t="n">
        <v>10</v>
      </c>
      <c r="B11" s="20" t="n">
        <v>46352</v>
      </c>
      <c r="C11" s="21" t="n">
        <v>2</v>
      </c>
      <c r="D11" s="26" t="inlineStr">
        <is>
          <t>Achat challenge</t>
        </is>
      </c>
      <c r="E11" s="19" t="inlineStr">
        <is>
          <t>Moneta Funded</t>
        </is>
      </c>
      <c r="F11" s="19" t="inlineStr">
        <is>
          <t>#6 Instant-Direct 100k</t>
        </is>
      </c>
      <c r="G11" s="22" t="n">
        <v>100000</v>
      </c>
      <c r="H11" s="22" t="n">
        <v>-780</v>
      </c>
      <c r="I11" s="22" t="n">
        <v>5700</v>
      </c>
      <c r="J11" s="19" t="inlineStr">
        <is>
          <t>Groupe A – rang 1 – financement prévu le 26/11/2026 (instant)</t>
        </is>
      </c>
    </row>
    <row r="12">
      <c r="A12" s="13" t="n">
        <v>11</v>
      </c>
      <c r="B12" s="14" t="n">
        <v>46352</v>
      </c>
      <c r="C12" s="15" t="n">
        <v>2</v>
      </c>
      <c r="D12" s="26" t="inlineStr">
        <is>
          <t>Achat challenge</t>
        </is>
      </c>
      <c r="E12" s="13" t="inlineStr">
        <is>
          <t>Moneta Funded</t>
        </is>
      </c>
      <c r="F12" s="13" t="inlineStr">
        <is>
          <t>#7 Instant-Direct 100k</t>
        </is>
      </c>
      <c r="G12" s="17" t="n">
        <v>100000</v>
      </c>
      <c r="H12" s="17" t="n">
        <v>-780</v>
      </c>
      <c r="I12" s="17" t="n">
        <v>4920</v>
      </c>
      <c r="J12" s="13" t="inlineStr">
        <is>
          <t>Groupe A – rang 1 – financement prévu le 26/11/2026 (instant)</t>
        </is>
      </c>
    </row>
    <row r="13">
      <c r="A13" s="19" t="n">
        <v>12</v>
      </c>
      <c r="B13" s="20" t="n">
        <v>46352</v>
      </c>
      <c r="C13" s="21" t="n">
        <v>2</v>
      </c>
      <c r="D13" s="26" t="inlineStr">
        <is>
          <t>Achat challenge</t>
        </is>
      </c>
      <c r="E13" s="19" t="inlineStr">
        <is>
          <t>Moneta Funded</t>
        </is>
      </c>
      <c r="F13" s="19" t="inlineStr">
        <is>
          <t>#8 Instant-Direct 100k</t>
        </is>
      </c>
      <c r="G13" s="22" t="n">
        <v>100000</v>
      </c>
      <c r="H13" s="22" t="n">
        <v>-780</v>
      </c>
      <c r="I13" s="22" t="n">
        <v>4140</v>
      </c>
      <c r="J13" s="19" t="inlineStr">
        <is>
          <t>Groupe A – rang 1 – financement prévu le 26/11/2026 (instant)</t>
        </is>
      </c>
    </row>
    <row r="14">
      <c r="A14" s="13" t="n">
        <v>13</v>
      </c>
      <c r="B14" s="14" t="n">
        <v>46352</v>
      </c>
      <c r="C14" s="15" t="n">
        <v>2</v>
      </c>
      <c r="D14" s="26" t="inlineStr">
        <is>
          <t>Achat challenge</t>
        </is>
      </c>
      <c r="E14" s="13" t="inlineStr">
        <is>
          <t>Moneta Funded</t>
        </is>
      </c>
      <c r="F14" s="13" t="inlineStr">
        <is>
          <t>#9 Instant-Direct 100k</t>
        </is>
      </c>
      <c r="G14" s="17" t="n">
        <v>100000</v>
      </c>
      <c r="H14" s="17" t="n">
        <v>-780</v>
      </c>
      <c r="I14" s="17" t="n">
        <v>3360</v>
      </c>
      <c r="J14" s="13" t="inlineStr">
        <is>
          <t>Groupe A – rang 1 – financement prévu le 26/11/2026 (instant)</t>
        </is>
      </c>
    </row>
    <row r="15">
      <c r="A15" s="19" t="n">
        <v>14</v>
      </c>
      <c r="B15" s="20" t="n">
        <v>46352</v>
      </c>
      <c r="C15" s="21" t="n">
        <v>2</v>
      </c>
      <c r="D15" s="26" t="inlineStr">
        <is>
          <t>Achat challenge</t>
        </is>
      </c>
      <c r="E15" s="19" t="inlineStr">
        <is>
          <t>Moneta Funded</t>
        </is>
      </c>
      <c r="F15" s="19" t="inlineStr">
        <is>
          <t>#10 Instant-Direct 100k</t>
        </is>
      </c>
      <c r="G15" s="22" t="n">
        <v>100000</v>
      </c>
      <c r="H15" s="22" t="n">
        <v>-780</v>
      </c>
      <c r="I15" s="22" t="n">
        <v>2580</v>
      </c>
      <c r="J15" s="19" t="inlineStr">
        <is>
          <t>Groupe A – rang 1 – financement prévu le 26/11/2026 (instant)</t>
        </is>
      </c>
    </row>
    <row r="16">
      <c r="A16" s="13" t="n">
        <v>15</v>
      </c>
      <c r="B16" s="14" t="n">
        <v>46352</v>
      </c>
      <c r="C16" s="15" t="n">
        <v>2</v>
      </c>
      <c r="D16" s="26" t="inlineStr">
        <is>
          <t>Achat challenge</t>
        </is>
      </c>
      <c r="E16" s="13" t="inlineStr">
        <is>
          <t>Moneta Funded</t>
        </is>
      </c>
      <c r="F16" s="13" t="inlineStr">
        <is>
          <t>#11 Instant-Direct 100k</t>
        </is>
      </c>
      <c r="G16" s="17" t="n">
        <v>100000</v>
      </c>
      <c r="H16" s="17" t="n">
        <v>-780</v>
      </c>
      <c r="I16" s="17" t="n">
        <v>1800</v>
      </c>
      <c r="J16" s="13" t="inlineStr">
        <is>
          <t>Groupe A – rang 1 – financement prévu le 26/11/2026 (instant)</t>
        </is>
      </c>
    </row>
    <row r="17">
      <c r="A17" s="19" t="n">
        <v>16</v>
      </c>
      <c r="B17" s="20" t="n">
        <v>46352</v>
      </c>
      <c r="C17" s="21" t="n">
        <v>2</v>
      </c>
      <c r="D17" s="26" t="inlineStr">
        <is>
          <t>Achat challenge</t>
        </is>
      </c>
      <c r="E17" s="19" t="inlineStr">
        <is>
          <t>Moneta Funded</t>
        </is>
      </c>
      <c r="F17" s="19" t="inlineStr">
        <is>
          <t>#12 Instant-Direct 100k</t>
        </is>
      </c>
      <c r="G17" s="22" t="n">
        <v>100000</v>
      </c>
      <c r="H17" s="22" t="n">
        <v>-780</v>
      </c>
      <c r="I17" s="22" t="n">
        <v>1020</v>
      </c>
      <c r="J17" s="19" t="inlineStr">
        <is>
          <t>Groupe A – rang 1 – financement prévu le 26/11/2026 (instant)</t>
        </is>
      </c>
    </row>
    <row r="18">
      <c r="A18" s="13" t="n">
        <v>17</v>
      </c>
      <c r="B18" s="14" t="n">
        <v>46352</v>
      </c>
      <c r="C18" s="15" t="n">
        <v>2</v>
      </c>
      <c r="D18" s="26" t="inlineStr">
        <is>
          <t>Achat challenge</t>
        </is>
      </c>
      <c r="E18" s="13" t="inlineStr">
        <is>
          <t>Moneta Funded</t>
        </is>
      </c>
      <c r="F18" s="13" t="inlineStr">
        <is>
          <t>#13 Instant-Direct 100k</t>
        </is>
      </c>
      <c r="G18" s="17" t="n">
        <v>100000</v>
      </c>
      <c r="H18" s="17" t="n">
        <v>-780</v>
      </c>
      <c r="I18" s="17" t="n">
        <v>240</v>
      </c>
      <c r="J18" s="13" t="inlineStr">
        <is>
          <t>Groupe A – rang 1 – financement prévu le 26/11/2026 (instant)</t>
        </is>
      </c>
    </row>
    <row r="19">
      <c r="A19" s="19" t="n">
        <v>18</v>
      </c>
      <c r="B19" s="20" t="n">
        <v>46352</v>
      </c>
      <c r="C19" s="21" t="n">
        <v>2</v>
      </c>
      <c r="D19" s="26" t="inlineStr">
        <is>
          <t>Achat challenge</t>
        </is>
      </c>
      <c r="E19" s="19" t="inlineStr">
        <is>
          <t>FunderPro Futures</t>
        </is>
      </c>
      <c r="F19" s="19" t="inlineStr">
        <is>
          <t>#14 1 Step 150k</t>
        </is>
      </c>
      <c r="G19" s="22" t="n">
        <v>150000</v>
      </c>
      <c r="H19" s="22" t="n">
        <v>-219</v>
      </c>
      <c r="I19" s="22" t="n">
        <v>21</v>
      </c>
      <c r="J19" s="19" t="inlineStr">
        <is>
          <t>Groupe B – rang 49 – financement prévu le 24/12/2026 (objectif objectif par défaut (non renseigné))</t>
        </is>
      </c>
    </row>
    <row r="20">
      <c r="A20" s="13" t="n">
        <v>19</v>
      </c>
      <c r="B20" s="14" t="n">
        <v>46352</v>
      </c>
      <c r="C20" s="15" t="n">
        <v>2</v>
      </c>
      <c r="D20" s="24" t="inlineStr">
        <is>
          <t>Financement</t>
        </is>
      </c>
      <c r="E20" s="13" t="inlineStr">
        <is>
          <t>Moneta Funded</t>
        </is>
      </c>
      <c r="F20" s="13" t="inlineStr">
        <is>
          <t>#3 Instant-Direct 100k</t>
        </is>
      </c>
      <c r="G20" s="17" t="n">
        <v>100000</v>
      </c>
      <c r="H20" s="17" t="n">
        <v>0</v>
      </c>
      <c r="I20" s="17" t="n">
        <v>21</v>
      </c>
      <c r="J20" s="13" t="inlineStr">
        <is>
          <t>Financé dès l'achat – 1er payout le 24/12/2026</t>
        </is>
      </c>
    </row>
    <row r="21">
      <c r="A21" s="19" t="n">
        <v>20</v>
      </c>
      <c r="B21" s="20" t="n">
        <v>46352</v>
      </c>
      <c r="C21" s="21" t="n">
        <v>2</v>
      </c>
      <c r="D21" s="24" t="inlineStr">
        <is>
          <t>Financement</t>
        </is>
      </c>
      <c r="E21" s="19" t="inlineStr">
        <is>
          <t>Moneta Funded</t>
        </is>
      </c>
      <c r="F21" s="19" t="inlineStr">
        <is>
          <t>#4 Instant-Direct 100k</t>
        </is>
      </c>
      <c r="G21" s="22" t="n">
        <v>100000</v>
      </c>
      <c r="H21" s="22" t="n">
        <v>0</v>
      </c>
      <c r="I21" s="22" t="n">
        <v>21</v>
      </c>
      <c r="J21" s="19" t="inlineStr">
        <is>
          <t>Financé dès l'achat – 1er payout le 24/12/2026</t>
        </is>
      </c>
    </row>
    <row r="22">
      <c r="A22" s="13" t="n">
        <v>21</v>
      </c>
      <c r="B22" s="14" t="n">
        <v>46352</v>
      </c>
      <c r="C22" s="15" t="n">
        <v>2</v>
      </c>
      <c r="D22" s="24" t="inlineStr">
        <is>
          <t>Financement</t>
        </is>
      </c>
      <c r="E22" s="13" t="inlineStr">
        <is>
          <t>Moneta Funded</t>
        </is>
      </c>
      <c r="F22" s="13" t="inlineStr">
        <is>
          <t>#5 Instant-Direct 100k</t>
        </is>
      </c>
      <c r="G22" s="17" t="n">
        <v>100000</v>
      </c>
      <c r="H22" s="17" t="n">
        <v>0</v>
      </c>
      <c r="I22" s="17" t="n">
        <v>21</v>
      </c>
      <c r="J22" s="13" t="inlineStr">
        <is>
          <t>Financé dès l'achat – 1er payout le 24/12/2026</t>
        </is>
      </c>
    </row>
    <row r="23">
      <c r="A23" s="19" t="n">
        <v>22</v>
      </c>
      <c r="B23" s="20" t="n">
        <v>46352</v>
      </c>
      <c r="C23" s="21" t="n">
        <v>2</v>
      </c>
      <c r="D23" s="24" t="inlineStr">
        <is>
          <t>Financement</t>
        </is>
      </c>
      <c r="E23" s="19" t="inlineStr">
        <is>
          <t>Moneta Funded</t>
        </is>
      </c>
      <c r="F23" s="19" t="inlineStr">
        <is>
          <t>#6 Instant-Direct 100k</t>
        </is>
      </c>
      <c r="G23" s="22" t="n">
        <v>100000</v>
      </c>
      <c r="H23" s="22" t="n">
        <v>0</v>
      </c>
      <c r="I23" s="22" t="n">
        <v>21</v>
      </c>
      <c r="J23" s="19" t="inlineStr">
        <is>
          <t>Financé dès l'achat – 1er payout le 24/12/2026</t>
        </is>
      </c>
    </row>
    <row r="24">
      <c r="A24" s="13" t="n">
        <v>23</v>
      </c>
      <c r="B24" s="14" t="n">
        <v>46352</v>
      </c>
      <c r="C24" s="15" t="n">
        <v>2</v>
      </c>
      <c r="D24" s="24" t="inlineStr">
        <is>
          <t>Financement</t>
        </is>
      </c>
      <c r="E24" s="13" t="inlineStr">
        <is>
          <t>Moneta Funded</t>
        </is>
      </c>
      <c r="F24" s="13" t="inlineStr">
        <is>
          <t>#7 Instant-Direct 100k</t>
        </is>
      </c>
      <c r="G24" s="17" t="n">
        <v>100000</v>
      </c>
      <c r="H24" s="17" t="n">
        <v>0</v>
      </c>
      <c r="I24" s="17" t="n">
        <v>21</v>
      </c>
      <c r="J24" s="13" t="inlineStr">
        <is>
          <t>Financé dès l'achat – 1er payout le 24/12/2026</t>
        </is>
      </c>
    </row>
    <row r="25">
      <c r="A25" s="19" t="n">
        <v>24</v>
      </c>
      <c r="B25" s="20" t="n">
        <v>46352</v>
      </c>
      <c r="C25" s="21" t="n">
        <v>2</v>
      </c>
      <c r="D25" s="24" t="inlineStr">
        <is>
          <t>Financement</t>
        </is>
      </c>
      <c r="E25" s="19" t="inlineStr">
        <is>
          <t>Moneta Funded</t>
        </is>
      </c>
      <c r="F25" s="19" t="inlineStr">
        <is>
          <t>#8 Instant-Direct 100k</t>
        </is>
      </c>
      <c r="G25" s="22" t="n">
        <v>100000</v>
      </c>
      <c r="H25" s="22" t="n">
        <v>0</v>
      </c>
      <c r="I25" s="22" t="n">
        <v>21</v>
      </c>
      <c r="J25" s="19" t="inlineStr">
        <is>
          <t>Financé dès l'achat – 1er payout le 24/12/2026</t>
        </is>
      </c>
    </row>
    <row r="26">
      <c r="A26" s="13" t="n">
        <v>25</v>
      </c>
      <c r="B26" s="14" t="n">
        <v>46352</v>
      </c>
      <c r="C26" s="15" t="n">
        <v>2</v>
      </c>
      <c r="D26" s="24" t="inlineStr">
        <is>
          <t>Financement</t>
        </is>
      </c>
      <c r="E26" s="13" t="inlineStr">
        <is>
          <t>Moneta Funded</t>
        </is>
      </c>
      <c r="F26" s="13" t="inlineStr">
        <is>
          <t>#9 Instant-Direct 100k</t>
        </is>
      </c>
      <c r="G26" s="17" t="n">
        <v>100000</v>
      </c>
      <c r="H26" s="17" t="n">
        <v>0</v>
      </c>
      <c r="I26" s="17" t="n">
        <v>21</v>
      </c>
      <c r="J26" s="13" t="inlineStr">
        <is>
          <t>Financé dès l'achat – 1er payout le 24/12/2026</t>
        </is>
      </c>
    </row>
    <row r="27">
      <c r="A27" s="19" t="n">
        <v>26</v>
      </c>
      <c r="B27" s="20" t="n">
        <v>46352</v>
      </c>
      <c r="C27" s="21" t="n">
        <v>2</v>
      </c>
      <c r="D27" s="24" t="inlineStr">
        <is>
          <t>Financement</t>
        </is>
      </c>
      <c r="E27" s="19" t="inlineStr">
        <is>
          <t>Moneta Funded</t>
        </is>
      </c>
      <c r="F27" s="19" t="inlineStr">
        <is>
          <t>#10 Instant-Direct 100k</t>
        </is>
      </c>
      <c r="G27" s="22" t="n">
        <v>100000</v>
      </c>
      <c r="H27" s="22" t="n">
        <v>0</v>
      </c>
      <c r="I27" s="22" t="n">
        <v>21</v>
      </c>
      <c r="J27" s="19" t="inlineStr">
        <is>
          <t>Financé dès l'achat – 1er payout le 24/12/2026</t>
        </is>
      </c>
    </row>
    <row r="28">
      <c r="A28" s="13" t="n">
        <v>27</v>
      </c>
      <c r="B28" s="14" t="n">
        <v>46352</v>
      </c>
      <c r="C28" s="15" t="n">
        <v>2</v>
      </c>
      <c r="D28" s="24" t="inlineStr">
        <is>
          <t>Financement</t>
        </is>
      </c>
      <c r="E28" s="13" t="inlineStr">
        <is>
          <t>Moneta Funded</t>
        </is>
      </c>
      <c r="F28" s="13" t="inlineStr">
        <is>
          <t>#11 Instant-Direct 100k</t>
        </is>
      </c>
      <c r="G28" s="17" t="n">
        <v>100000</v>
      </c>
      <c r="H28" s="17" t="n">
        <v>0</v>
      </c>
      <c r="I28" s="17" t="n">
        <v>21</v>
      </c>
      <c r="J28" s="13" t="inlineStr">
        <is>
          <t>Financé dès l'achat – 1er payout le 24/12/2026</t>
        </is>
      </c>
    </row>
    <row r="29">
      <c r="A29" s="19" t="n">
        <v>28</v>
      </c>
      <c r="B29" s="20" t="n">
        <v>46352</v>
      </c>
      <c r="C29" s="21" t="n">
        <v>2</v>
      </c>
      <c r="D29" s="24" t="inlineStr">
        <is>
          <t>Financement</t>
        </is>
      </c>
      <c r="E29" s="19" t="inlineStr">
        <is>
          <t>Moneta Funded</t>
        </is>
      </c>
      <c r="F29" s="19" t="inlineStr">
        <is>
          <t>#12 Instant-Direct 100k</t>
        </is>
      </c>
      <c r="G29" s="22" t="n">
        <v>100000</v>
      </c>
      <c r="H29" s="22" t="n">
        <v>0</v>
      </c>
      <c r="I29" s="22" t="n">
        <v>21</v>
      </c>
      <c r="J29" s="19" t="inlineStr">
        <is>
          <t>Financé dès l'achat – 1er payout le 24/12/2026</t>
        </is>
      </c>
    </row>
    <row r="30">
      <c r="A30" s="13" t="n">
        <v>29</v>
      </c>
      <c r="B30" s="14" t="n">
        <v>46352</v>
      </c>
      <c r="C30" s="15" t="n">
        <v>2</v>
      </c>
      <c r="D30" s="24" t="inlineStr">
        <is>
          <t>Financement</t>
        </is>
      </c>
      <c r="E30" s="13" t="inlineStr">
        <is>
          <t>Moneta Funded</t>
        </is>
      </c>
      <c r="F30" s="13" t="inlineStr">
        <is>
          <t>#13 Instant-Direct 100k</t>
        </is>
      </c>
      <c r="G30" s="17" t="n">
        <v>100000</v>
      </c>
      <c r="H30" s="17" t="n">
        <v>0</v>
      </c>
      <c r="I30" s="17" t="n">
        <v>21</v>
      </c>
      <c r="J30" s="13" t="inlineStr">
        <is>
          <t>Financé dès l'achat – 1er payout le 24/12/2026</t>
        </is>
      </c>
    </row>
    <row r="31">
      <c r="A31" s="19" t="n">
        <v>30</v>
      </c>
      <c r="B31" s="20" t="n">
        <v>46380</v>
      </c>
      <c r="C31" s="21" t="n">
        <v>3</v>
      </c>
      <c r="D31" s="24" t="inlineStr">
        <is>
          <t>Financement</t>
        </is>
      </c>
      <c r="E31" s="19" t="inlineStr">
        <is>
          <t>FunderPro Futures</t>
        </is>
      </c>
      <c r="F31" s="19" t="inlineStr">
        <is>
          <t>#14 1 Step 150k</t>
        </is>
      </c>
      <c r="G31" s="22" t="n">
        <v>150000</v>
      </c>
      <c r="H31" s="22" t="n">
        <v>0</v>
      </c>
      <c r="I31" s="22" t="n">
        <v>21</v>
      </c>
      <c r="J31" s="19" t="inlineStr">
        <is>
          <t>Évaluation réussie (objectif par défaut (non renseigné)) – 1er payout le 21/01/2027</t>
        </is>
      </c>
    </row>
    <row r="32">
      <c r="A32" s="13" t="n">
        <v>31</v>
      </c>
      <c r="B32" s="14" t="n">
        <v>46380</v>
      </c>
      <c r="C32" s="15" t="n">
        <v>3</v>
      </c>
      <c r="D32" s="25" t="inlineStr">
        <is>
          <t>Payout</t>
        </is>
      </c>
      <c r="E32" s="13" t="inlineStr">
        <is>
          <t>FundedNext</t>
        </is>
      </c>
      <c r="F32" s="13" t="inlineStr">
        <is>
          <t>#1 Départ 10k</t>
        </is>
      </c>
      <c r="G32" s="17" t="n">
        <v>10000</v>
      </c>
      <c r="H32" s="17" t="n">
        <v>800</v>
      </c>
      <c r="I32" s="17" t="n">
        <v>821</v>
      </c>
      <c r="J32" s="13" t="inlineStr">
        <is>
          <t>10 % × 10,000 × split 80%</t>
        </is>
      </c>
    </row>
    <row r="33">
      <c r="A33" s="19" t="n">
        <v>32</v>
      </c>
      <c r="B33" s="20" t="n">
        <v>46380</v>
      </c>
      <c r="C33" s="21" t="n">
        <v>3</v>
      </c>
      <c r="D33" s="25" t="inlineStr">
        <is>
          <t>Payout</t>
        </is>
      </c>
      <c r="E33" s="19" t="inlineStr">
        <is>
          <t>Moneta Funded</t>
        </is>
      </c>
      <c r="F33" s="19" t="inlineStr">
        <is>
          <t>#2 Instant-Direct 100k</t>
        </is>
      </c>
      <c r="G33" s="22" t="n">
        <v>100000</v>
      </c>
      <c r="H33" s="22" t="n">
        <v>8000</v>
      </c>
      <c r="I33" s="22" t="n">
        <v>8821</v>
      </c>
      <c r="J33" s="19" t="inlineStr">
        <is>
          <t>10 % × 100,000 × split 80%</t>
        </is>
      </c>
    </row>
    <row r="34">
      <c r="A34" s="13" t="n">
        <v>33</v>
      </c>
      <c r="B34" s="14" t="n">
        <v>46380</v>
      </c>
      <c r="C34" s="15" t="n">
        <v>3</v>
      </c>
      <c r="D34" s="25" t="inlineStr">
        <is>
          <t>Payout</t>
        </is>
      </c>
      <c r="E34" s="13" t="inlineStr">
        <is>
          <t>Moneta Funded</t>
        </is>
      </c>
      <c r="F34" s="13" t="inlineStr">
        <is>
          <t>#3 Instant-Direct 100k</t>
        </is>
      </c>
      <c r="G34" s="17" t="n">
        <v>100000</v>
      </c>
      <c r="H34" s="17" t="n">
        <v>8000</v>
      </c>
      <c r="I34" s="17" t="n">
        <v>16821</v>
      </c>
      <c r="J34" s="13" t="inlineStr">
        <is>
          <t>10 % × 100,000 × split 80%</t>
        </is>
      </c>
    </row>
    <row r="35">
      <c r="A35" s="19" t="n">
        <v>34</v>
      </c>
      <c r="B35" s="20" t="n">
        <v>46380</v>
      </c>
      <c r="C35" s="21" t="n">
        <v>3</v>
      </c>
      <c r="D35" s="25" t="inlineStr">
        <is>
          <t>Payout</t>
        </is>
      </c>
      <c r="E35" s="19" t="inlineStr">
        <is>
          <t>Moneta Funded</t>
        </is>
      </c>
      <c r="F35" s="19" t="inlineStr">
        <is>
          <t>#4 Instant-Direct 100k</t>
        </is>
      </c>
      <c r="G35" s="22" t="n">
        <v>100000</v>
      </c>
      <c r="H35" s="22" t="n">
        <v>8000</v>
      </c>
      <c r="I35" s="22" t="n">
        <v>24821</v>
      </c>
      <c r="J35" s="19" t="inlineStr">
        <is>
          <t>10 % × 100,000 × split 80%</t>
        </is>
      </c>
    </row>
    <row r="36">
      <c r="A36" s="13" t="n">
        <v>35</v>
      </c>
      <c r="B36" s="14" t="n">
        <v>46380</v>
      </c>
      <c r="C36" s="15" t="n">
        <v>3</v>
      </c>
      <c r="D36" s="25" t="inlineStr">
        <is>
          <t>Payout</t>
        </is>
      </c>
      <c r="E36" s="13" t="inlineStr">
        <is>
          <t>Moneta Funded</t>
        </is>
      </c>
      <c r="F36" s="13" t="inlineStr">
        <is>
          <t>#5 Instant-Direct 100k</t>
        </is>
      </c>
      <c r="G36" s="17" t="n">
        <v>100000</v>
      </c>
      <c r="H36" s="17" t="n">
        <v>8000</v>
      </c>
      <c r="I36" s="17" t="n">
        <v>32821</v>
      </c>
      <c r="J36" s="13" t="inlineStr">
        <is>
          <t>10 % × 100,000 × split 80%</t>
        </is>
      </c>
    </row>
    <row r="37">
      <c r="A37" s="19" t="n">
        <v>36</v>
      </c>
      <c r="B37" s="20" t="n">
        <v>46380</v>
      </c>
      <c r="C37" s="21" t="n">
        <v>3</v>
      </c>
      <c r="D37" s="25" t="inlineStr">
        <is>
          <t>Payout</t>
        </is>
      </c>
      <c r="E37" s="19" t="inlineStr">
        <is>
          <t>Moneta Funded</t>
        </is>
      </c>
      <c r="F37" s="19" t="inlineStr">
        <is>
          <t>#6 Instant-Direct 100k</t>
        </is>
      </c>
      <c r="G37" s="22" t="n">
        <v>100000</v>
      </c>
      <c r="H37" s="22" t="n">
        <v>8000</v>
      </c>
      <c r="I37" s="22" t="n">
        <v>40821</v>
      </c>
      <c r="J37" s="19" t="inlineStr">
        <is>
          <t>10 % × 100,000 × split 80%</t>
        </is>
      </c>
    </row>
    <row r="38">
      <c r="A38" s="13" t="n">
        <v>37</v>
      </c>
      <c r="B38" s="14" t="n">
        <v>46380</v>
      </c>
      <c r="C38" s="15" t="n">
        <v>3</v>
      </c>
      <c r="D38" s="25" t="inlineStr">
        <is>
          <t>Payout</t>
        </is>
      </c>
      <c r="E38" s="13" t="inlineStr">
        <is>
          <t>Moneta Funded</t>
        </is>
      </c>
      <c r="F38" s="13" t="inlineStr">
        <is>
          <t>#7 Instant-Direct 100k</t>
        </is>
      </c>
      <c r="G38" s="17" t="n">
        <v>100000</v>
      </c>
      <c r="H38" s="17" t="n">
        <v>8000</v>
      </c>
      <c r="I38" s="17" t="n">
        <v>48821</v>
      </c>
      <c r="J38" s="13" t="inlineStr">
        <is>
          <t>10 % × 100,000 × split 80%</t>
        </is>
      </c>
    </row>
    <row r="39">
      <c r="A39" s="19" t="n">
        <v>38</v>
      </c>
      <c r="B39" s="20" t="n">
        <v>46380</v>
      </c>
      <c r="C39" s="21" t="n">
        <v>3</v>
      </c>
      <c r="D39" s="25" t="inlineStr">
        <is>
          <t>Payout</t>
        </is>
      </c>
      <c r="E39" s="19" t="inlineStr">
        <is>
          <t>Moneta Funded</t>
        </is>
      </c>
      <c r="F39" s="19" t="inlineStr">
        <is>
          <t>#8 Instant-Direct 100k</t>
        </is>
      </c>
      <c r="G39" s="22" t="n">
        <v>100000</v>
      </c>
      <c r="H39" s="22" t="n">
        <v>8000</v>
      </c>
      <c r="I39" s="22" t="n">
        <v>56821</v>
      </c>
      <c r="J39" s="19" t="inlineStr">
        <is>
          <t>10 % × 100,000 × split 80%</t>
        </is>
      </c>
    </row>
    <row r="40">
      <c r="A40" s="13" t="n">
        <v>39</v>
      </c>
      <c r="B40" s="14" t="n">
        <v>46380</v>
      </c>
      <c r="C40" s="15" t="n">
        <v>3</v>
      </c>
      <c r="D40" s="25" t="inlineStr">
        <is>
          <t>Payout</t>
        </is>
      </c>
      <c r="E40" s="13" t="inlineStr">
        <is>
          <t>Moneta Funded</t>
        </is>
      </c>
      <c r="F40" s="13" t="inlineStr">
        <is>
          <t>#9 Instant-Direct 100k</t>
        </is>
      </c>
      <c r="G40" s="17" t="n">
        <v>100000</v>
      </c>
      <c r="H40" s="17" t="n">
        <v>8000</v>
      </c>
      <c r="I40" s="17" t="n">
        <v>64821</v>
      </c>
      <c r="J40" s="13" t="inlineStr">
        <is>
          <t>10 % × 100,000 × split 80%</t>
        </is>
      </c>
    </row>
    <row r="41">
      <c r="A41" s="19" t="n">
        <v>40</v>
      </c>
      <c r="B41" s="20" t="n">
        <v>46380</v>
      </c>
      <c r="C41" s="21" t="n">
        <v>3</v>
      </c>
      <c r="D41" s="25" t="inlineStr">
        <is>
          <t>Payout</t>
        </is>
      </c>
      <c r="E41" s="19" t="inlineStr">
        <is>
          <t>Moneta Funded</t>
        </is>
      </c>
      <c r="F41" s="19" t="inlineStr">
        <is>
          <t>#10 Instant-Direct 100k</t>
        </is>
      </c>
      <c r="G41" s="22" t="n">
        <v>100000</v>
      </c>
      <c r="H41" s="22" t="n">
        <v>8000</v>
      </c>
      <c r="I41" s="22" t="n">
        <v>72821</v>
      </c>
      <c r="J41" s="19" t="inlineStr">
        <is>
          <t>10 % × 100,000 × split 80%</t>
        </is>
      </c>
    </row>
    <row r="42">
      <c r="A42" s="13" t="n">
        <v>41</v>
      </c>
      <c r="B42" s="14" t="n">
        <v>46380</v>
      </c>
      <c r="C42" s="15" t="n">
        <v>3</v>
      </c>
      <c r="D42" s="25" t="inlineStr">
        <is>
          <t>Payout</t>
        </is>
      </c>
      <c r="E42" s="13" t="inlineStr">
        <is>
          <t>Moneta Funded</t>
        </is>
      </c>
      <c r="F42" s="13" t="inlineStr">
        <is>
          <t>#11 Instant-Direct 100k</t>
        </is>
      </c>
      <c r="G42" s="17" t="n">
        <v>100000</v>
      </c>
      <c r="H42" s="17" t="n">
        <v>8000</v>
      </c>
      <c r="I42" s="17" t="n">
        <v>80821</v>
      </c>
      <c r="J42" s="13" t="inlineStr">
        <is>
          <t>10 % × 100,000 × split 80%</t>
        </is>
      </c>
    </row>
    <row r="43">
      <c r="A43" s="19" t="n">
        <v>42</v>
      </c>
      <c r="B43" s="20" t="n">
        <v>46380</v>
      </c>
      <c r="C43" s="21" t="n">
        <v>3</v>
      </c>
      <c r="D43" s="25" t="inlineStr">
        <is>
          <t>Payout</t>
        </is>
      </c>
      <c r="E43" s="19" t="inlineStr">
        <is>
          <t>Moneta Funded</t>
        </is>
      </c>
      <c r="F43" s="19" t="inlineStr">
        <is>
          <t>#12 Instant-Direct 100k</t>
        </is>
      </c>
      <c r="G43" s="22" t="n">
        <v>100000</v>
      </c>
      <c r="H43" s="22" t="n">
        <v>8000</v>
      </c>
      <c r="I43" s="22" t="n">
        <v>88821</v>
      </c>
      <c r="J43" s="19" t="inlineStr">
        <is>
          <t>10 % × 100,000 × split 80%</t>
        </is>
      </c>
    </row>
    <row r="44">
      <c r="A44" s="13" t="n">
        <v>43</v>
      </c>
      <c r="B44" s="14" t="n">
        <v>46380</v>
      </c>
      <c r="C44" s="15" t="n">
        <v>3</v>
      </c>
      <c r="D44" s="25" t="inlineStr">
        <is>
          <t>Payout</t>
        </is>
      </c>
      <c r="E44" s="13" t="inlineStr">
        <is>
          <t>Moneta Funded</t>
        </is>
      </c>
      <c r="F44" s="13" t="inlineStr">
        <is>
          <t>#13 Instant-Direct 100k</t>
        </is>
      </c>
      <c r="G44" s="17" t="n">
        <v>100000</v>
      </c>
      <c r="H44" s="17" t="n">
        <v>8000</v>
      </c>
      <c r="I44" s="17" t="n">
        <v>96821</v>
      </c>
      <c r="J44" s="13" t="inlineStr">
        <is>
          <t>10 % × 100,000 × split 80%</t>
        </is>
      </c>
    </row>
    <row r="45">
      <c r="A45" s="19" t="n">
        <v>44</v>
      </c>
      <c r="B45" s="20" t="n">
        <v>46380</v>
      </c>
      <c r="C45" s="21" t="n">
        <v>3</v>
      </c>
      <c r="D45" s="26" t="inlineStr">
        <is>
          <t>Achat challenge</t>
        </is>
      </c>
      <c r="E45" s="19" t="inlineStr">
        <is>
          <t>Moneta Funded</t>
        </is>
      </c>
      <c r="F45" s="19" t="inlineStr">
        <is>
          <t>#15 Instant-Direct 100k</t>
        </is>
      </c>
      <c r="G45" s="22" t="n">
        <v>100000</v>
      </c>
      <c r="H45" s="22" t="n">
        <v>-780</v>
      </c>
      <c r="I45" s="22" t="n">
        <v>96041</v>
      </c>
      <c r="J45" s="19" t="inlineStr">
        <is>
          <t>Groupe A – rang 1 – financement prévu le 24/12/2026 (instant)</t>
        </is>
      </c>
    </row>
    <row r="46">
      <c r="A46" s="13" t="n">
        <v>45</v>
      </c>
      <c r="B46" s="14" t="n">
        <v>46380</v>
      </c>
      <c r="C46" s="15" t="n">
        <v>3</v>
      </c>
      <c r="D46" s="26" t="inlineStr">
        <is>
          <t>Achat challenge</t>
        </is>
      </c>
      <c r="E46" s="13" t="inlineStr">
        <is>
          <t>Moneta Funded</t>
        </is>
      </c>
      <c r="F46" s="13" t="inlineStr">
        <is>
          <t>#16 Instant-Direct 100k</t>
        </is>
      </c>
      <c r="G46" s="17" t="n">
        <v>100000</v>
      </c>
      <c r="H46" s="17" t="n">
        <v>-780</v>
      </c>
      <c r="I46" s="17" t="n">
        <v>95261</v>
      </c>
      <c r="J46" s="13" t="inlineStr">
        <is>
          <t>Groupe A – rang 1 – financement prévu le 24/12/2026 (instant)</t>
        </is>
      </c>
    </row>
    <row r="47">
      <c r="A47" s="19" t="n">
        <v>46</v>
      </c>
      <c r="B47" s="20" t="n">
        <v>46380</v>
      </c>
      <c r="C47" s="21" t="n">
        <v>3</v>
      </c>
      <c r="D47" s="26" t="inlineStr">
        <is>
          <t>Achat challenge</t>
        </is>
      </c>
      <c r="E47" s="19" t="inlineStr">
        <is>
          <t>Moneta Funded</t>
        </is>
      </c>
      <c r="F47" s="19" t="inlineStr">
        <is>
          <t>#17 Instant-Direct 100k</t>
        </is>
      </c>
      <c r="G47" s="22" t="n">
        <v>100000</v>
      </c>
      <c r="H47" s="22" t="n">
        <v>-780</v>
      </c>
      <c r="I47" s="22" t="n">
        <v>94481</v>
      </c>
      <c r="J47" s="19" t="inlineStr">
        <is>
          <t>Groupe A – rang 1 – financement prévu le 24/12/2026 (instant)</t>
        </is>
      </c>
    </row>
    <row r="48">
      <c r="A48" s="13" t="n">
        <v>47</v>
      </c>
      <c r="B48" s="14" t="n">
        <v>46380</v>
      </c>
      <c r="C48" s="15" t="n">
        <v>3</v>
      </c>
      <c r="D48" s="26" t="inlineStr">
        <is>
          <t>Achat challenge</t>
        </is>
      </c>
      <c r="E48" s="13" t="inlineStr">
        <is>
          <t>Moneta Funded</t>
        </is>
      </c>
      <c r="F48" s="13" t="inlineStr">
        <is>
          <t>#18 Instant-Direct 100k</t>
        </is>
      </c>
      <c r="G48" s="17" t="n">
        <v>100000</v>
      </c>
      <c r="H48" s="17" t="n">
        <v>-780</v>
      </c>
      <c r="I48" s="17" t="n">
        <v>93701</v>
      </c>
      <c r="J48" s="13" t="inlineStr">
        <is>
          <t>Groupe A – rang 1 – financement prévu le 24/12/2026 (instant)</t>
        </is>
      </c>
    </row>
    <row r="49">
      <c r="A49" s="19" t="n">
        <v>48</v>
      </c>
      <c r="B49" s="20" t="n">
        <v>46380</v>
      </c>
      <c r="C49" s="21" t="n">
        <v>3</v>
      </c>
      <c r="D49" s="26" t="inlineStr">
        <is>
          <t>Achat challenge</t>
        </is>
      </c>
      <c r="E49" s="19" t="inlineStr">
        <is>
          <t>Moneta Funded</t>
        </is>
      </c>
      <c r="F49" s="19" t="inlineStr">
        <is>
          <t>#19 Instant-Direct 100k</t>
        </is>
      </c>
      <c r="G49" s="22" t="n">
        <v>100000</v>
      </c>
      <c r="H49" s="22" t="n">
        <v>-780</v>
      </c>
      <c r="I49" s="22" t="n">
        <v>92921</v>
      </c>
      <c r="J49" s="19" t="inlineStr">
        <is>
          <t>Groupe A – rang 1 – financement prévu le 24/12/2026 (instant)</t>
        </is>
      </c>
    </row>
    <row r="50">
      <c r="A50" s="13" t="n">
        <v>49</v>
      </c>
      <c r="B50" s="14" t="n">
        <v>46380</v>
      </c>
      <c r="C50" s="15" t="n">
        <v>3</v>
      </c>
      <c r="D50" s="26" t="inlineStr">
        <is>
          <t>Achat challenge</t>
        </is>
      </c>
      <c r="E50" s="13" t="inlineStr">
        <is>
          <t>Moneta Funded</t>
        </is>
      </c>
      <c r="F50" s="13" t="inlineStr">
        <is>
          <t>#20 Instant-Direct 100k</t>
        </is>
      </c>
      <c r="G50" s="17" t="n">
        <v>100000</v>
      </c>
      <c r="H50" s="17" t="n">
        <v>-780</v>
      </c>
      <c r="I50" s="17" t="n">
        <v>92141</v>
      </c>
      <c r="J50" s="13" t="inlineStr">
        <is>
          <t>Groupe A – rang 1 – financement prévu le 24/12/2026 (instant)</t>
        </is>
      </c>
    </row>
    <row r="51">
      <c r="A51" s="19" t="n">
        <v>50</v>
      </c>
      <c r="B51" s="20" t="n">
        <v>46380</v>
      </c>
      <c r="C51" s="21" t="n">
        <v>3</v>
      </c>
      <c r="D51" s="26" t="inlineStr">
        <is>
          <t>Achat challenge</t>
        </is>
      </c>
      <c r="E51" s="19" t="inlineStr">
        <is>
          <t>Moneta Funded</t>
        </is>
      </c>
      <c r="F51" s="19" t="inlineStr">
        <is>
          <t>#21 Instant-Direct 100k</t>
        </is>
      </c>
      <c r="G51" s="22" t="n">
        <v>100000</v>
      </c>
      <c r="H51" s="22" t="n">
        <v>-780</v>
      </c>
      <c r="I51" s="22" t="n">
        <v>91361</v>
      </c>
      <c r="J51" s="19" t="inlineStr">
        <is>
          <t>Groupe A – rang 1 – financement prévu le 24/12/2026 (instant)</t>
        </is>
      </c>
    </row>
    <row r="52">
      <c r="A52" s="13" t="n">
        <v>51</v>
      </c>
      <c r="B52" s="14" t="n">
        <v>46380</v>
      </c>
      <c r="C52" s="15" t="n">
        <v>3</v>
      </c>
      <c r="D52" s="26" t="inlineStr">
        <is>
          <t>Achat challenge</t>
        </is>
      </c>
      <c r="E52" s="13" t="inlineStr">
        <is>
          <t>Moneta Funded</t>
        </is>
      </c>
      <c r="F52" s="13" t="inlineStr">
        <is>
          <t>#22 Instant-Direct 100k</t>
        </is>
      </c>
      <c r="G52" s="17" t="n">
        <v>100000</v>
      </c>
      <c r="H52" s="17" t="n">
        <v>-780</v>
      </c>
      <c r="I52" s="17" t="n">
        <v>90581</v>
      </c>
      <c r="J52" s="13" t="inlineStr">
        <is>
          <t>Groupe A – rang 1 – financement prévu le 24/12/2026 (instant)</t>
        </is>
      </c>
    </row>
    <row r="53">
      <c r="A53" s="19" t="n">
        <v>52</v>
      </c>
      <c r="B53" s="20" t="n">
        <v>46380</v>
      </c>
      <c r="C53" s="21" t="n">
        <v>3</v>
      </c>
      <c r="D53" s="26" t="inlineStr">
        <is>
          <t>Achat challenge</t>
        </is>
      </c>
      <c r="E53" s="19" t="inlineStr">
        <is>
          <t>Moneta Funded</t>
        </is>
      </c>
      <c r="F53" s="19" t="inlineStr">
        <is>
          <t>#23 Instant-Direct 100k</t>
        </is>
      </c>
      <c r="G53" s="22" t="n">
        <v>100000</v>
      </c>
      <c r="H53" s="22" t="n">
        <v>-780</v>
      </c>
      <c r="I53" s="22" t="n">
        <v>89801</v>
      </c>
      <c r="J53" s="19" t="inlineStr">
        <is>
          <t>Groupe A – rang 1 – financement prévu le 24/12/2026 (instant)</t>
        </is>
      </c>
    </row>
    <row r="54">
      <c r="A54" s="13" t="n">
        <v>53</v>
      </c>
      <c r="B54" s="14" t="n">
        <v>46380</v>
      </c>
      <c r="C54" s="15" t="n">
        <v>3</v>
      </c>
      <c r="D54" s="26" t="inlineStr">
        <is>
          <t>Achat challenge</t>
        </is>
      </c>
      <c r="E54" s="13" t="inlineStr">
        <is>
          <t>Moneta Funded</t>
        </is>
      </c>
      <c r="F54" s="13" t="inlineStr">
        <is>
          <t>#24 Instant-Direct 100k</t>
        </is>
      </c>
      <c r="G54" s="17" t="n">
        <v>100000</v>
      </c>
      <c r="H54" s="17" t="n">
        <v>-780</v>
      </c>
      <c r="I54" s="17" t="n">
        <v>89021</v>
      </c>
      <c r="J54" s="13" t="inlineStr">
        <is>
          <t>Groupe A – rang 1 – financement prévu le 24/12/2026 (instant)</t>
        </is>
      </c>
    </row>
    <row r="55">
      <c r="A55" s="19" t="n">
        <v>54</v>
      </c>
      <c r="B55" s="20" t="n">
        <v>46380</v>
      </c>
      <c r="C55" s="21" t="n">
        <v>3</v>
      </c>
      <c r="D55" s="26" t="inlineStr">
        <is>
          <t>Achat challenge</t>
        </is>
      </c>
      <c r="E55" s="19" t="inlineStr">
        <is>
          <t>Moneta Funded</t>
        </is>
      </c>
      <c r="F55" s="19" t="inlineStr">
        <is>
          <t>#25 Instant-Direct 100k</t>
        </is>
      </c>
      <c r="G55" s="22" t="n">
        <v>100000</v>
      </c>
      <c r="H55" s="22" t="n">
        <v>-780</v>
      </c>
      <c r="I55" s="22" t="n">
        <v>88241</v>
      </c>
      <c r="J55" s="19" t="inlineStr">
        <is>
          <t>Groupe A – rang 1 – financement prévu le 24/12/2026 (instant)</t>
        </is>
      </c>
    </row>
    <row r="56">
      <c r="A56" s="13" t="n">
        <v>55</v>
      </c>
      <c r="B56" s="14" t="n">
        <v>46380</v>
      </c>
      <c r="C56" s="15" t="n">
        <v>3</v>
      </c>
      <c r="D56" s="26" t="inlineStr">
        <is>
          <t>Achat challenge</t>
        </is>
      </c>
      <c r="E56" s="13" t="inlineStr">
        <is>
          <t>IQ Capital</t>
        </is>
      </c>
      <c r="F56" s="13" t="inlineStr">
        <is>
          <t>#26 Instant-Direct 100k</t>
        </is>
      </c>
      <c r="G56" s="17" t="n">
        <v>100000</v>
      </c>
      <c r="H56" s="17" t="n">
        <v>-3495</v>
      </c>
      <c r="I56" s="17" t="n">
        <v>84746</v>
      </c>
      <c r="J56" s="13" t="inlineStr">
        <is>
          <t>Groupe A – rang 2 – financement prévu le 24/12/2026 (instant)</t>
        </is>
      </c>
    </row>
    <row r="57">
      <c r="A57" s="19" t="n">
        <v>56</v>
      </c>
      <c r="B57" s="20" t="n">
        <v>46380</v>
      </c>
      <c r="C57" s="21" t="n">
        <v>3</v>
      </c>
      <c r="D57" s="26" t="inlineStr">
        <is>
          <t>Achat challenge</t>
        </is>
      </c>
      <c r="E57" s="19" t="inlineStr">
        <is>
          <t>IQ Capital</t>
        </is>
      </c>
      <c r="F57" s="19" t="inlineStr">
        <is>
          <t>#27 Instant-Direct 100k</t>
        </is>
      </c>
      <c r="G57" s="22" t="n">
        <v>100000</v>
      </c>
      <c r="H57" s="22" t="n">
        <v>-3495</v>
      </c>
      <c r="I57" s="22" t="n">
        <v>81251</v>
      </c>
      <c r="J57" s="19" t="inlineStr">
        <is>
          <t>Groupe A – rang 2 – financement prévu le 24/12/2026 (instant)</t>
        </is>
      </c>
    </row>
    <row r="58">
      <c r="A58" s="13" t="n">
        <v>57</v>
      </c>
      <c r="B58" s="14" t="n">
        <v>46380</v>
      </c>
      <c r="C58" s="15" t="n">
        <v>3</v>
      </c>
      <c r="D58" s="26" t="inlineStr">
        <is>
          <t>Achat challenge</t>
        </is>
      </c>
      <c r="E58" s="13" t="inlineStr">
        <is>
          <t>IQ Capital</t>
        </is>
      </c>
      <c r="F58" s="13" t="inlineStr">
        <is>
          <t>#28 Instant-Direct 100k</t>
        </is>
      </c>
      <c r="G58" s="17" t="n">
        <v>100000</v>
      </c>
      <c r="H58" s="17" t="n">
        <v>-3495</v>
      </c>
      <c r="I58" s="17" t="n">
        <v>77756</v>
      </c>
      <c r="J58" s="13" t="inlineStr">
        <is>
          <t>Groupe A – rang 2 – financement prévu le 24/12/2026 (instant)</t>
        </is>
      </c>
    </row>
    <row r="59">
      <c r="A59" s="19" t="n">
        <v>58</v>
      </c>
      <c r="B59" s="20" t="n">
        <v>46380</v>
      </c>
      <c r="C59" s="21" t="n">
        <v>3</v>
      </c>
      <c r="D59" s="26" t="inlineStr">
        <is>
          <t>Achat challenge</t>
        </is>
      </c>
      <c r="E59" s="19" t="inlineStr">
        <is>
          <t>IQ Capital</t>
        </is>
      </c>
      <c r="F59" s="19" t="inlineStr">
        <is>
          <t>#29 Instant-Direct 100k</t>
        </is>
      </c>
      <c r="G59" s="22" t="n">
        <v>100000</v>
      </c>
      <c r="H59" s="22" t="n">
        <v>-3495</v>
      </c>
      <c r="I59" s="22" t="n">
        <v>74261</v>
      </c>
      <c r="J59" s="19" t="inlineStr">
        <is>
          <t>Groupe A – rang 2 – financement prévu le 24/12/2026 (instant)</t>
        </is>
      </c>
    </row>
    <row r="60">
      <c r="A60" s="13" t="n">
        <v>59</v>
      </c>
      <c r="B60" s="14" t="n">
        <v>46380</v>
      </c>
      <c r="C60" s="15" t="n">
        <v>3</v>
      </c>
      <c r="D60" s="26" t="inlineStr">
        <is>
          <t>Achat challenge</t>
        </is>
      </c>
      <c r="E60" s="13" t="inlineStr">
        <is>
          <t>IQ Capital</t>
        </is>
      </c>
      <c r="F60" s="13" t="inlineStr">
        <is>
          <t>#30 Instant-Direct 100k</t>
        </is>
      </c>
      <c r="G60" s="17" t="n">
        <v>100000</v>
      </c>
      <c r="H60" s="17" t="n">
        <v>-3495</v>
      </c>
      <c r="I60" s="17" t="n">
        <v>70766</v>
      </c>
      <c r="J60" s="13" t="inlineStr">
        <is>
          <t>Groupe A – rang 2 – financement prévu le 24/12/2026 (instant)</t>
        </is>
      </c>
    </row>
    <row r="61">
      <c r="A61" s="19" t="n">
        <v>60</v>
      </c>
      <c r="B61" s="20" t="n">
        <v>46380</v>
      </c>
      <c r="C61" s="21" t="n">
        <v>3</v>
      </c>
      <c r="D61" s="26" t="inlineStr">
        <is>
          <t>Achat challenge</t>
        </is>
      </c>
      <c r="E61" s="19" t="inlineStr">
        <is>
          <t>IQ Capital</t>
        </is>
      </c>
      <c r="F61" s="19" t="inlineStr">
        <is>
          <t>#31 Instant-Direct 100k</t>
        </is>
      </c>
      <c r="G61" s="22" t="n">
        <v>100000</v>
      </c>
      <c r="H61" s="22" t="n">
        <v>-3495</v>
      </c>
      <c r="I61" s="22" t="n">
        <v>67271</v>
      </c>
      <c r="J61" s="19" t="inlineStr">
        <is>
          <t>Groupe A – rang 2 – financement prévu le 24/12/2026 (instant)</t>
        </is>
      </c>
    </row>
    <row r="62">
      <c r="A62" s="13" t="n">
        <v>61</v>
      </c>
      <c r="B62" s="14" t="n">
        <v>46380</v>
      </c>
      <c r="C62" s="15" t="n">
        <v>3</v>
      </c>
      <c r="D62" s="26" t="inlineStr">
        <is>
          <t>Achat challenge</t>
        </is>
      </c>
      <c r="E62" s="13" t="inlineStr">
        <is>
          <t>IQ Capital</t>
        </is>
      </c>
      <c r="F62" s="13" t="inlineStr">
        <is>
          <t>#32 Instant-Direct 100k</t>
        </is>
      </c>
      <c r="G62" s="17" t="n">
        <v>100000</v>
      </c>
      <c r="H62" s="17" t="n">
        <v>-3495</v>
      </c>
      <c r="I62" s="17" t="n">
        <v>63776</v>
      </c>
      <c r="J62" s="13" t="inlineStr">
        <is>
          <t>Groupe A – rang 2 – financement prévu le 24/12/2026 (instant)</t>
        </is>
      </c>
    </row>
    <row r="63">
      <c r="A63" s="19" t="n">
        <v>62</v>
      </c>
      <c r="B63" s="20" t="n">
        <v>46380</v>
      </c>
      <c r="C63" s="21" t="n">
        <v>3</v>
      </c>
      <c r="D63" s="26" t="inlineStr">
        <is>
          <t>Achat challenge</t>
        </is>
      </c>
      <c r="E63" s="19" t="inlineStr">
        <is>
          <t>IQ Capital</t>
        </is>
      </c>
      <c r="F63" s="19" t="inlineStr">
        <is>
          <t>#33 Instant-Direct 100k</t>
        </is>
      </c>
      <c r="G63" s="22" t="n">
        <v>100000</v>
      </c>
      <c r="H63" s="22" t="n">
        <v>-3495</v>
      </c>
      <c r="I63" s="22" t="n">
        <v>60281</v>
      </c>
      <c r="J63" s="19" t="inlineStr">
        <is>
          <t>Groupe A – rang 2 – financement prévu le 24/12/2026 (instant)</t>
        </is>
      </c>
    </row>
    <row r="64">
      <c r="A64" s="13" t="n">
        <v>63</v>
      </c>
      <c r="B64" s="14" t="n">
        <v>46380</v>
      </c>
      <c r="C64" s="15" t="n">
        <v>3</v>
      </c>
      <c r="D64" s="26" t="inlineStr">
        <is>
          <t>Achat challenge</t>
        </is>
      </c>
      <c r="E64" s="13" t="inlineStr">
        <is>
          <t>IQ Capital</t>
        </is>
      </c>
      <c r="F64" s="13" t="inlineStr">
        <is>
          <t>#34 Instant-Direct 100k</t>
        </is>
      </c>
      <c r="G64" s="17" t="n">
        <v>100000</v>
      </c>
      <c r="H64" s="17" t="n">
        <v>-3495</v>
      </c>
      <c r="I64" s="17" t="n">
        <v>56786</v>
      </c>
      <c r="J64" s="13" t="inlineStr">
        <is>
          <t>Groupe A – rang 2 – financement prévu le 24/12/2026 (instant)</t>
        </is>
      </c>
    </row>
    <row r="65">
      <c r="A65" s="19" t="n">
        <v>64</v>
      </c>
      <c r="B65" s="20" t="n">
        <v>46380</v>
      </c>
      <c r="C65" s="21" t="n">
        <v>3</v>
      </c>
      <c r="D65" s="26" t="inlineStr">
        <is>
          <t>Achat challenge</t>
        </is>
      </c>
      <c r="E65" s="19" t="inlineStr">
        <is>
          <t>IQ Capital</t>
        </is>
      </c>
      <c r="F65" s="19" t="inlineStr">
        <is>
          <t>#35 Instant-Direct 100k</t>
        </is>
      </c>
      <c r="G65" s="22" t="n">
        <v>100000</v>
      </c>
      <c r="H65" s="22" t="n">
        <v>-3495</v>
      </c>
      <c r="I65" s="22" t="n">
        <v>53291</v>
      </c>
      <c r="J65" s="19" t="inlineStr">
        <is>
          <t>Groupe A – rang 2 – financement prévu le 24/12/2026 (instant)</t>
        </is>
      </c>
    </row>
    <row r="66">
      <c r="A66" s="13" t="n">
        <v>65</v>
      </c>
      <c r="B66" s="14" t="n">
        <v>46380</v>
      </c>
      <c r="C66" s="15" t="n">
        <v>3</v>
      </c>
      <c r="D66" s="26" t="inlineStr">
        <is>
          <t>Achat challenge</t>
        </is>
      </c>
      <c r="E66" s="13" t="inlineStr">
        <is>
          <t>IQ Capital</t>
        </is>
      </c>
      <c r="F66" s="13" t="inlineStr">
        <is>
          <t>#36 Instant-Direct 100k</t>
        </is>
      </c>
      <c r="G66" s="17" t="n">
        <v>100000</v>
      </c>
      <c r="H66" s="17" t="n">
        <v>-3495</v>
      </c>
      <c r="I66" s="17" t="n">
        <v>49796</v>
      </c>
      <c r="J66" s="13" t="inlineStr">
        <is>
          <t>Groupe A – rang 2 – financement prévu le 24/12/2026 (instant)</t>
        </is>
      </c>
    </row>
    <row r="67">
      <c r="A67" s="19" t="n">
        <v>66</v>
      </c>
      <c r="B67" s="20" t="n">
        <v>46380</v>
      </c>
      <c r="C67" s="21" t="n">
        <v>3</v>
      </c>
      <c r="D67" s="26" t="inlineStr">
        <is>
          <t>Achat challenge</t>
        </is>
      </c>
      <c r="E67" s="19" t="inlineStr">
        <is>
          <t>IQ Capital</t>
        </is>
      </c>
      <c r="F67" s="19" t="inlineStr">
        <is>
          <t>#37 Instant-Direct 100k</t>
        </is>
      </c>
      <c r="G67" s="22" t="n">
        <v>100000</v>
      </c>
      <c r="H67" s="22" t="n">
        <v>-3495</v>
      </c>
      <c r="I67" s="22" t="n">
        <v>46301</v>
      </c>
      <c r="J67" s="19" t="inlineStr">
        <is>
          <t>Groupe A – rang 2 – financement prévu le 24/12/2026 (instant)</t>
        </is>
      </c>
    </row>
    <row r="68">
      <c r="A68" s="13" t="n">
        <v>67</v>
      </c>
      <c r="B68" s="14" t="n">
        <v>46380</v>
      </c>
      <c r="C68" s="15" t="n">
        <v>3</v>
      </c>
      <c r="D68" s="26" t="inlineStr">
        <is>
          <t>Achat challenge</t>
        </is>
      </c>
      <c r="E68" s="13" t="inlineStr">
        <is>
          <t>IQ Capital</t>
        </is>
      </c>
      <c r="F68" s="13" t="inlineStr">
        <is>
          <t>#38 Instant-Direct 100k</t>
        </is>
      </c>
      <c r="G68" s="17" t="n">
        <v>100000</v>
      </c>
      <c r="H68" s="17" t="n">
        <v>-3495</v>
      </c>
      <c r="I68" s="17" t="n">
        <v>42806</v>
      </c>
      <c r="J68" s="13" t="inlineStr">
        <is>
          <t>Groupe A – rang 2 – financement prévu le 24/12/2026 (instant)</t>
        </is>
      </c>
    </row>
    <row r="69">
      <c r="A69" s="19" t="n">
        <v>68</v>
      </c>
      <c r="B69" s="20" t="n">
        <v>46380</v>
      </c>
      <c r="C69" s="21" t="n">
        <v>3</v>
      </c>
      <c r="D69" s="26" t="inlineStr">
        <is>
          <t>Achat challenge</t>
        </is>
      </c>
      <c r="E69" s="19" t="inlineStr">
        <is>
          <t>IQ Capital</t>
        </is>
      </c>
      <c r="F69" s="19" t="inlineStr">
        <is>
          <t>#39 Instant-Direct 100k</t>
        </is>
      </c>
      <c r="G69" s="22" t="n">
        <v>100000</v>
      </c>
      <c r="H69" s="22" t="n">
        <v>-3495</v>
      </c>
      <c r="I69" s="22" t="n">
        <v>39311</v>
      </c>
      <c r="J69" s="19" t="inlineStr">
        <is>
          <t>Groupe A – rang 2 – financement prévu le 24/12/2026 (instant)</t>
        </is>
      </c>
    </row>
    <row r="70">
      <c r="A70" s="13" t="n">
        <v>69</v>
      </c>
      <c r="B70" s="14" t="n">
        <v>46380</v>
      </c>
      <c r="C70" s="15" t="n">
        <v>3</v>
      </c>
      <c r="D70" s="26" t="inlineStr">
        <is>
          <t>Achat challenge</t>
        </is>
      </c>
      <c r="E70" s="13" t="inlineStr">
        <is>
          <t>IQ Capital</t>
        </is>
      </c>
      <c r="F70" s="13" t="inlineStr">
        <is>
          <t>#40 Instant-Direct 100k</t>
        </is>
      </c>
      <c r="G70" s="17" t="n">
        <v>100000</v>
      </c>
      <c r="H70" s="17" t="n">
        <v>-3495</v>
      </c>
      <c r="I70" s="17" t="n">
        <v>35816</v>
      </c>
      <c r="J70" s="13" t="inlineStr">
        <is>
          <t>Groupe A – rang 2 – financement prévu le 24/12/2026 (instant)</t>
        </is>
      </c>
    </row>
    <row r="71">
      <c r="A71" s="19" t="n">
        <v>70</v>
      </c>
      <c r="B71" s="20" t="n">
        <v>46380</v>
      </c>
      <c r="C71" s="21" t="n">
        <v>3</v>
      </c>
      <c r="D71" s="26" t="inlineStr">
        <is>
          <t>Achat challenge</t>
        </is>
      </c>
      <c r="E71" s="19" t="inlineStr">
        <is>
          <t>IQ Capital</t>
        </is>
      </c>
      <c r="F71" s="19" t="inlineStr">
        <is>
          <t>#41 Instant-Direct 100k</t>
        </is>
      </c>
      <c r="G71" s="22" t="n">
        <v>100000</v>
      </c>
      <c r="H71" s="22" t="n">
        <v>-3495</v>
      </c>
      <c r="I71" s="22" t="n">
        <v>32321</v>
      </c>
      <c r="J71" s="19" t="inlineStr">
        <is>
          <t>Groupe A – rang 2 – financement prévu le 24/12/2026 (instant)</t>
        </is>
      </c>
    </row>
    <row r="72">
      <c r="A72" s="13" t="n">
        <v>71</v>
      </c>
      <c r="B72" s="14" t="n">
        <v>46380</v>
      </c>
      <c r="C72" s="15" t="n">
        <v>3</v>
      </c>
      <c r="D72" s="26" t="inlineStr">
        <is>
          <t>Achat challenge</t>
        </is>
      </c>
      <c r="E72" s="13" t="inlineStr">
        <is>
          <t>IQ Capital</t>
        </is>
      </c>
      <c r="F72" s="13" t="inlineStr">
        <is>
          <t>#42 Instant-Direct 100k</t>
        </is>
      </c>
      <c r="G72" s="17" t="n">
        <v>100000</v>
      </c>
      <c r="H72" s="17" t="n">
        <v>-3495</v>
      </c>
      <c r="I72" s="17" t="n">
        <v>28826</v>
      </c>
      <c r="J72" s="13" t="inlineStr">
        <is>
          <t>Groupe A – rang 2 – financement prévu le 24/12/2026 (instant)</t>
        </is>
      </c>
    </row>
    <row r="73">
      <c r="A73" s="19" t="n">
        <v>72</v>
      </c>
      <c r="B73" s="20" t="n">
        <v>46380</v>
      </c>
      <c r="C73" s="21" t="n">
        <v>3</v>
      </c>
      <c r="D73" s="26" t="inlineStr">
        <is>
          <t>Achat challenge</t>
        </is>
      </c>
      <c r="E73" s="19" t="inlineStr">
        <is>
          <t>IQ Capital</t>
        </is>
      </c>
      <c r="F73" s="19" t="inlineStr">
        <is>
          <t>#43 Instant-Direct 100k</t>
        </is>
      </c>
      <c r="G73" s="22" t="n">
        <v>100000</v>
      </c>
      <c r="H73" s="22" t="n">
        <v>-3495</v>
      </c>
      <c r="I73" s="22" t="n">
        <v>25331</v>
      </c>
      <c r="J73" s="19" t="inlineStr">
        <is>
          <t>Groupe A – rang 2 – financement prévu le 24/12/2026 (instant)</t>
        </is>
      </c>
    </row>
    <row r="74">
      <c r="A74" s="13" t="n">
        <v>73</v>
      </c>
      <c r="B74" s="14" t="n">
        <v>46380</v>
      </c>
      <c r="C74" s="15" t="n">
        <v>3</v>
      </c>
      <c r="D74" s="26" t="inlineStr">
        <is>
          <t>Achat challenge</t>
        </is>
      </c>
      <c r="E74" s="13" t="inlineStr">
        <is>
          <t>IQ Capital</t>
        </is>
      </c>
      <c r="F74" s="13" t="inlineStr">
        <is>
          <t>#44 Instant-Direct 100k</t>
        </is>
      </c>
      <c r="G74" s="17" t="n">
        <v>100000</v>
      </c>
      <c r="H74" s="17" t="n">
        <v>-3495</v>
      </c>
      <c r="I74" s="17" t="n">
        <v>21836</v>
      </c>
      <c r="J74" s="13" t="inlineStr">
        <is>
          <t>Groupe A – rang 2 – financement prévu le 24/12/2026 (instant)</t>
        </is>
      </c>
    </row>
    <row r="75">
      <c r="A75" s="19" t="n">
        <v>74</v>
      </c>
      <c r="B75" s="20" t="n">
        <v>46380</v>
      </c>
      <c r="C75" s="21" t="n">
        <v>3</v>
      </c>
      <c r="D75" s="26" t="inlineStr">
        <is>
          <t>Achat challenge</t>
        </is>
      </c>
      <c r="E75" s="19" t="inlineStr">
        <is>
          <t>IQ Capital</t>
        </is>
      </c>
      <c r="F75" s="19" t="inlineStr">
        <is>
          <t>#45 Instant-Direct 100k</t>
        </is>
      </c>
      <c r="G75" s="22" t="n">
        <v>100000</v>
      </c>
      <c r="H75" s="22" t="n">
        <v>-3495</v>
      </c>
      <c r="I75" s="22" t="n">
        <v>18341</v>
      </c>
      <c r="J75" s="19" t="inlineStr">
        <is>
          <t>Groupe A – rang 2 – financement prévu le 24/12/2026 (instant)</t>
        </is>
      </c>
    </row>
    <row r="76">
      <c r="A76" s="13" t="n">
        <v>75</v>
      </c>
      <c r="B76" s="14" t="n">
        <v>46380</v>
      </c>
      <c r="C76" s="15" t="n">
        <v>3</v>
      </c>
      <c r="D76" s="26" t="inlineStr">
        <is>
          <t>Achat challenge</t>
        </is>
      </c>
      <c r="E76" s="13" t="inlineStr">
        <is>
          <t>Instant Funding</t>
        </is>
      </c>
      <c r="F76" s="13" t="inlineStr">
        <is>
          <t>#46 Instant-Direct 120k</t>
        </is>
      </c>
      <c r="G76" s="17" t="n">
        <v>120000</v>
      </c>
      <c r="H76" s="17" t="n">
        <v>-5499</v>
      </c>
      <c r="I76" s="17" t="n">
        <v>12842</v>
      </c>
      <c r="J76" s="13" t="inlineStr">
        <is>
          <t>Groupe A – rang 3 – financement prévu le 24/12/2026 (instant)</t>
        </is>
      </c>
    </row>
    <row r="77">
      <c r="A77" s="19" t="n">
        <v>76</v>
      </c>
      <c r="B77" s="20" t="n">
        <v>46380</v>
      </c>
      <c r="C77" s="21" t="n">
        <v>3</v>
      </c>
      <c r="D77" s="26" t="inlineStr">
        <is>
          <t>Achat challenge</t>
        </is>
      </c>
      <c r="E77" s="19" t="inlineStr">
        <is>
          <t>Instant Funding</t>
        </is>
      </c>
      <c r="F77" s="19" t="inlineStr">
        <is>
          <t>#47 Instant-Direct 120k</t>
        </is>
      </c>
      <c r="G77" s="22" t="n">
        <v>120000</v>
      </c>
      <c r="H77" s="22" t="n">
        <v>-5499</v>
      </c>
      <c r="I77" s="22" t="n">
        <v>7343</v>
      </c>
      <c r="J77" s="19" t="inlineStr">
        <is>
          <t>Groupe A – rang 3 – financement prévu le 24/12/2026 (instant)</t>
        </is>
      </c>
    </row>
    <row r="78">
      <c r="A78" s="13" t="n">
        <v>77</v>
      </c>
      <c r="B78" s="14" t="n">
        <v>46380</v>
      </c>
      <c r="C78" s="15" t="n">
        <v>3</v>
      </c>
      <c r="D78" s="26" t="inlineStr">
        <is>
          <t>Achat challenge</t>
        </is>
      </c>
      <c r="E78" s="13" t="inlineStr">
        <is>
          <t>Instant Funding</t>
        </is>
      </c>
      <c r="F78" s="13" t="inlineStr">
        <is>
          <t>#48 Instant-Direct 120k</t>
        </is>
      </c>
      <c r="G78" s="17" t="n">
        <v>120000</v>
      </c>
      <c r="H78" s="17" t="n">
        <v>-5499</v>
      </c>
      <c r="I78" s="17" t="n">
        <v>1844</v>
      </c>
      <c r="J78" s="13" t="inlineStr">
        <is>
          <t>Groupe A – rang 3 – financement prévu le 24/12/2026 (instant)</t>
        </is>
      </c>
    </row>
    <row r="79">
      <c r="A79" s="19" t="n">
        <v>78</v>
      </c>
      <c r="B79" s="20" t="n">
        <v>46380</v>
      </c>
      <c r="C79" s="21" t="n">
        <v>3</v>
      </c>
      <c r="D79" s="26" t="inlineStr">
        <is>
          <t>Achat challenge</t>
        </is>
      </c>
      <c r="E79" s="19" t="inlineStr">
        <is>
          <t>Audacity Capital</t>
        </is>
      </c>
      <c r="F79" s="19" t="inlineStr">
        <is>
          <t>#49 Instant-Direct 50k</t>
        </is>
      </c>
      <c r="G79" s="22" t="n">
        <v>50000</v>
      </c>
      <c r="H79" s="22" t="n">
        <v>-1299</v>
      </c>
      <c r="I79" s="22" t="n">
        <v>545</v>
      </c>
      <c r="J79" s="19" t="inlineStr">
        <is>
          <t>Groupe A – rang 5 – financement prévu le 24/12/2026 (instant)</t>
        </is>
      </c>
    </row>
    <row r="80">
      <c r="A80" s="13" t="n">
        <v>79</v>
      </c>
      <c r="B80" s="14" t="n">
        <v>46380</v>
      </c>
      <c r="C80" s="15" t="n">
        <v>3</v>
      </c>
      <c r="D80" s="26" t="inlineStr">
        <is>
          <t>Achat challenge</t>
        </is>
      </c>
      <c r="E80" s="13" t="inlineStr">
        <is>
          <t>Crypto Fund Trader</t>
        </is>
      </c>
      <c r="F80" s="13" t="inlineStr">
        <is>
          <t>#50 Instant-Direct 10k</t>
        </is>
      </c>
      <c r="G80" s="17" t="n">
        <v>10000</v>
      </c>
      <c r="H80" s="17" t="n">
        <v>-475</v>
      </c>
      <c r="I80" s="17" t="n">
        <v>70</v>
      </c>
      <c r="J80" s="13" t="inlineStr">
        <is>
          <t>Groupe A – rang 25 – financement prévu le 24/12/2026 (instant)</t>
        </is>
      </c>
    </row>
    <row r="81">
      <c r="A81" s="19" t="n">
        <v>80</v>
      </c>
      <c r="B81" s="20" t="n">
        <v>46380</v>
      </c>
      <c r="C81" s="21" t="n">
        <v>3</v>
      </c>
      <c r="D81" s="24" t="inlineStr">
        <is>
          <t>Financement</t>
        </is>
      </c>
      <c r="E81" s="19" t="inlineStr">
        <is>
          <t>Moneta Funded</t>
        </is>
      </c>
      <c r="F81" s="19" t="inlineStr">
        <is>
          <t>#15 Instant-Direct 100k</t>
        </is>
      </c>
      <c r="G81" s="22" t="n">
        <v>100000</v>
      </c>
      <c r="H81" s="22" t="n">
        <v>0</v>
      </c>
      <c r="I81" s="22" t="n">
        <v>70</v>
      </c>
      <c r="J81" s="19" t="inlineStr">
        <is>
          <t>Financé dès l'achat – 1er payout le 21/01/2027</t>
        </is>
      </c>
    </row>
    <row r="82">
      <c r="A82" s="13" t="n">
        <v>81</v>
      </c>
      <c r="B82" s="14" t="n">
        <v>46380</v>
      </c>
      <c r="C82" s="15" t="n">
        <v>3</v>
      </c>
      <c r="D82" s="24" t="inlineStr">
        <is>
          <t>Financement</t>
        </is>
      </c>
      <c r="E82" s="13" t="inlineStr">
        <is>
          <t>Moneta Funded</t>
        </is>
      </c>
      <c r="F82" s="13" t="inlineStr">
        <is>
          <t>#16 Instant-Direct 100k</t>
        </is>
      </c>
      <c r="G82" s="17" t="n">
        <v>100000</v>
      </c>
      <c r="H82" s="17" t="n">
        <v>0</v>
      </c>
      <c r="I82" s="17" t="n">
        <v>70</v>
      </c>
      <c r="J82" s="13" t="inlineStr">
        <is>
          <t>Financé dès l'achat – 1er payout le 21/01/2027</t>
        </is>
      </c>
    </row>
    <row r="83">
      <c r="A83" s="19" t="n">
        <v>82</v>
      </c>
      <c r="B83" s="20" t="n">
        <v>46380</v>
      </c>
      <c r="C83" s="21" t="n">
        <v>3</v>
      </c>
      <c r="D83" s="24" t="inlineStr">
        <is>
          <t>Financement</t>
        </is>
      </c>
      <c r="E83" s="19" t="inlineStr">
        <is>
          <t>Moneta Funded</t>
        </is>
      </c>
      <c r="F83" s="19" t="inlineStr">
        <is>
          <t>#17 Instant-Direct 100k</t>
        </is>
      </c>
      <c r="G83" s="22" t="n">
        <v>100000</v>
      </c>
      <c r="H83" s="22" t="n">
        <v>0</v>
      </c>
      <c r="I83" s="22" t="n">
        <v>70</v>
      </c>
      <c r="J83" s="19" t="inlineStr">
        <is>
          <t>Financé dès l'achat – 1er payout le 21/01/2027</t>
        </is>
      </c>
    </row>
    <row r="84">
      <c r="A84" s="13" t="n">
        <v>83</v>
      </c>
      <c r="B84" s="14" t="n">
        <v>46380</v>
      </c>
      <c r="C84" s="15" t="n">
        <v>3</v>
      </c>
      <c r="D84" s="24" t="inlineStr">
        <is>
          <t>Financement</t>
        </is>
      </c>
      <c r="E84" s="13" t="inlineStr">
        <is>
          <t>Moneta Funded</t>
        </is>
      </c>
      <c r="F84" s="13" t="inlineStr">
        <is>
          <t>#18 Instant-Direct 100k</t>
        </is>
      </c>
      <c r="G84" s="17" t="n">
        <v>100000</v>
      </c>
      <c r="H84" s="17" t="n">
        <v>0</v>
      </c>
      <c r="I84" s="17" t="n">
        <v>70</v>
      </c>
      <c r="J84" s="13" t="inlineStr">
        <is>
          <t>Financé dès l'achat – 1er payout le 21/01/2027</t>
        </is>
      </c>
    </row>
    <row r="85">
      <c r="A85" s="19" t="n">
        <v>84</v>
      </c>
      <c r="B85" s="20" t="n">
        <v>46380</v>
      </c>
      <c r="C85" s="21" t="n">
        <v>3</v>
      </c>
      <c r="D85" s="24" t="inlineStr">
        <is>
          <t>Financement</t>
        </is>
      </c>
      <c r="E85" s="19" t="inlineStr">
        <is>
          <t>Moneta Funded</t>
        </is>
      </c>
      <c r="F85" s="19" t="inlineStr">
        <is>
          <t>#19 Instant-Direct 100k</t>
        </is>
      </c>
      <c r="G85" s="22" t="n">
        <v>100000</v>
      </c>
      <c r="H85" s="22" t="n">
        <v>0</v>
      </c>
      <c r="I85" s="22" t="n">
        <v>70</v>
      </c>
      <c r="J85" s="19" t="inlineStr">
        <is>
          <t>Financé dès l'achat – 1er payout le 21/01/2027</t>
        </is>
      </c>
    </row>
    <row r="86">
      <c r="A86" s="13" t="n">
        <v>85</v>
      </c>
      <c r="B86" s="14" t="n">
        <v>46380</v>
      </c>
      <c r="C86" s="15" t="n">
        <v>3</v>
      </c>
      <c r="D86" s="24" t="inlineStr">
        <is>
          <t>Financement</t>
        </is>
      </c>
      <c r="E86" s="13" t="inlineStr">
        <is>
          <t>Moneta Funded</t>
        </is>
      </c>
      <c r="F86" s="13" t="inlineStr">
        <is>
          <t>#20 Instant-Direct 100k</t>
        </is>
      </c>
      <c r="G86" s="17" t="n">
        <v>100000</v>
      </c>
      <c r="H86" s="17" t="n">
        <v>0</v>
      </c>
      <c r="I86" s="17" t="n">
        <v>70</v>
      </c>
      <c r="J86" s="13" t="inlineStr">
        <is>
          <t>Financé dès l'achat – 1er payout le 21/01/2027</t>
        </is>
      </c>
    </row>
    <row r="87">
      <c r="A87" s="19" t="n">
        <v>86</v>
      </c>
      <c r="B87" s="20" t="n">
        <v>46380</v>
      </c>
      <c r="C87" s="21" t="n">
        <v>3</v>
      </c>
      <c r="D87" s="24" t="inlineStr">
        <is>
          <t>Financement</t>
        </is>
      </c>
      <c r="E87" s="19" t="inlineStr">
        <is>
          <t>Moneta Funded</t>
        </is>
      </c>
      <c r="F87" s="19" t="inlineStr">
        <is>
          <t>#21 Instant-Direct 100k</t>
        </is>
      </c>
      <c r="G87" s="22" t="n">
        <v>100000</v>
      </c>
      <c r="H87" s="22" t="n">
        <v>0</v>
      </c>
      <c r="I87" s="22" t="n">
        <v>70</v>
      </c>
      <c r="J87" s="19" t="inlineStr">
        <is>
          <t>Financé dès l'achat – 1er payout le 21/01/2027</t>
        </is>
      </c>
    </row>
    <row r="88">
      <c r="A88" s="13" t="n">
        <v>87</v>
      </c>
      <c r="B88" s="14" t="n">
        <v>46380</v>
      </c>
      <c r="C88" s="15" t="n">
        <v>3</v>
      </c>
      <c r="D88" s="24" t="inlineStr">
        <is>
          <t>Financement</t>
        </is>
      </c>
      <c r="E88" s="13" t="inlineStr">
        <is>
          <t>Moneta Funded</t>
        </is>
      </c>
      <c r="F88" s="13" t="inlineStr">
        <is>
          <t>#22 Instant-Direct 100k</t>
        </is>
      </c>
      <c r="G88" s="17" t="n">
        <v>100000</v>
      </c>
      <c r="H88" s="17" t="n">
        <v>0</v>
      </c>
      <c r="I88" s="17" t="n">
        <v>70</v>
      </c>
      <c r="J88" s="13" t="inlineStr">
        <is>
          <t>Financé dès l'achat – 1er payout le 21/01/2027</t>
        </is>
      </c>
    </row>
    <row r="89">
      <c r="A89" s="19" t="n">
        <v>88</v>
      </c>
      <c r="B89" s="20" t="n">
        <v>46380</v>
      </c>
      <c r="C89" s="21" t="n">
        <v>3</v>
      </c>
      <c r="D89" s="24" t="inlineStr">
        <is>
          <t>Financement</t>
        </is>
      </c>
      <c r="E89" s="19" t="inlineStr">
        <is>
          <t>Moneta Funded</t>
        </is>
      </c>
      <c r="F89" s="19" t="inlineStr">
        <is>
          <t>#23 Instant-Direct 100k</t>
        </is>
      </c>
      <c r="G89" s="22" t="n">
        <v>100000</v>
      </c>
      <c r="H89" s="22" t="n">
        <v>0</v>
      </c>
      <c r="I89" s="22" t="n">
        <v>70</v>
      </c>
      <c r="J89" s="19" t="inlineStr">
        <is>
          <t>Financé dès l'achat – 1er payout le 21/01/2027</t>
        </is>
      </c>
    </row>
    <row r="90">
      <c r="A90" s="13" t="n">
        <v>89</v>
      </c>
      <c r="B90" s="14" t="n">
        <v>46380</v>
      </c>
      <c r="C90" s="15" t="n">
        <v>3</v>
      </c>
      <c r="D90" s="24" t="inlineStr">
        <is>
          <t>Financement</t>
        </is>
      </c>
      <c r="E90" s="13" t="inlineStr">
        <is>
          <t>Moneta Funded</t>
        </is>
      </c>
      <c r="F90" s="13" t="inlineStr">
        <is>
          <t>#24 Instant-Direct 100k</t>
        </is>
      </c>
      <c r="G90" s="17" t="n">
        <v>100000</v>
      </c>
      <c r="H90" s="17" t="n">
        <v>0</v>
      </c>
      <c r="I90" s="17" t="n">
        <v>70</v>
      </c>
      <c r="J90" s="13" t="inlineStr">
        <is>
          <t>Financé dès l'achat – 1er payout le 21/01/2027</t>
        </is>
      </c>
    </row>
    <row r="91">
      <c r="A91" s="19" t="n">
        <v>90</v>
      </c>
      <c r="B91" s="20" t="n">
        <v>46380</v>
      </c>
      <c r="C91" s="21" t="n">
        <v>3</v>
      </c>
      <c r="D91" s="24" t="inlineStr">
        <is>
          <t>Financement</t>
        </is>
      </c>
      <c r="E91" s="19" t="inlineStr">
        <is>
          <t>Moneta Funded</t>
        </is>
      </c>
      <c r="F91" s="19" t="inlineStr">
        <is>
          <t>#25 Instant-Direct 100k</t>
        </is>
      </c>
      <c r="G91" s="22" t="n">
        <v>100000</v>
      </c>
      <c r="H91" s="22" t="n">
        <v>0</v>
      </c>
      <c r="I91" s="22" t="n">
        <v>70</v>
      </c>
      <c r="J91" s="19" t="inlineStr">
        <is>
          <t>Financé dès l'achat – 1er payout le 21/01/2027</t>
        </is>
      </c>
    </row>
    <row r="92">
      <c r="A92" s="13" t="n">
        <v>91</v>
      </c>
      <c r="B92" s="14" t="n">
        <v>46380</v>
      </c>
      <c r="C92" s="15" t="n">
        <v>3</v>
      </c>
      <c r="D92" s="24" t="inlineStr">
        <is>
          <t>Financement</t>
        </is>
      </c>
      <c r="E92" s="13" t="inlineStr">
        <is>
          <t>IQ Capital</t>
        </is>
      </c>
      <c r="F92" s="13" t="inlineStr">
        <is>
          <t>#26 Instant-Direct 100k</t>
        </is>
      </c>
      <c r="G92" s="17" t="n">
        <v>100000</v>
      </c>
      <c r="H92" s="17" t="n">
        <v>0</v>
      </c>
      <c r="I92" s="17" t="n">
        <v>70</v>
      </c>
      <c r="J92" s="13" t="inlineStr">
        <is>
          <t>Financé dès l'achat – 1er payout le 21/01/2027</t>
        </is>
      </c>
    </row>
    <row r="93">
      <c r="A93" s="19" t="n">
        <v>92</v>
      </c>
      <c r="B93" s="20" t="n">
        <v>46380</v>
      </c>
      <c r="C93" s="21" t="n">
        <v>3</v>
      </c>
      <c r="D93" s="24" t="inlineStr">
        <is>
          <t>Financement</t>
        </is>
      </c>
      <c r="E93" s="19" t="inlineStr">
        <is>
          <t>IQ Capital</t>
        </is>
      </c>
      <c r="F93" s="19" t="inlineStr">
        <is>
          <t>#27 Instant-Direct 100k</t>
        </is>
      </c>
      <c r="G93" s="22" t="n">
        <v>100000</v>
      </c>
      <c r="H93" s="22" t="n">
        <v>0</v>
      </c>
      <c r="I93" s="22" t="n">
        <v>70</v>
      </c>
      <c r="J93" s="19" t="inlineStr">
        <is>
          <t>Financé dès l'achat – 1er payout le 21/01/2027</t>
        </is>
      </c>
    </row>
    <row r="94">
      <c r="A94" s="13" t="n">
        <v>93</v>
      </c>
      <c r="B94" s="14" t="n">
        <v>46380</v>
      </c>
      <c r="C94" s="15" t="n">
        <v>3</v>
      </c>
      <c r="D94" s="24" t="inlineStr">
        <is>
          <t>Financement</t>
        </is>
      </c>
      <c r="E94" s="13" t="inlineStr">
        <is>
          <t>IQ Capital</t>
        </is>
      </c>
      <c r="F94" s="13" t="inlineStr">
        <is>
          <t>#28 Instant-Direct 100k</t>
        </is>
      </c>
      <c r="G94" s="17" t="n">
        <v>100000</v>
      </c>
      <c r="H94" s="17" t="n">
        <v>0</v>
      </c>
      <c r="I94" s="17" t="n">
        <v>70</v>
      </c>
      <c r="J94" s="13" t="inlineStr">
        <is>
          <t>Financé dès l'achat – 1er payout le 21/01/2027</t>
        </is>
      </c>
    </row>
    <row r="95">
      <c r="A95" s="19" t="n">
        <v>94</v>
      </c>
      <c r="B95" s="20" t="n">
        <v>46380</v>
      </c>
      <c r="C95" s="21" t="n">
        <v>3</v>
      </c>
      <c r="D95" s="24" t="inlineStr">
        <is>
          <t>Financement</t>
        </is>
      </c>
      <c r="E95" s="19" t="inlineStr">
        <is>
          <t>IQ Capital</t>
        </is>
      </c>
      <c r="F95" s="19" t="inlineStr">
        <is>
          <t>#29 Instant-Direct 100k</t>
        </is>
      </c>
      <c r="G95" s="22" t="n">
        <v>100000</v>
      </c>
      <c r="H95" s="22" t="n">
        <v>0</v>
      </c>
      <c r="I95" s="22" t="n">
        <v>70</v>
      </c>
      <c r="J95" s="19" t="inlineStr">
        <is>
          <t>Financé dès l'achat – 1er payout le 21/01/2027</t>
        </is>
      </c>
    </row>
    <row r="96">
      <c r="A96" s="13" t="n">
        <v>95</v>
      </c>
      <c r="B96" s="14" t="n">
        <v>46380</v>
      </c>
      <c r="C96" s="15" t="n">
        <v>3</v>
      </c>
      <c r="D96" s="24" t="inlineStr">
        <is>
          <t>Financement</t>
        </is>
      </c>
      <c r="E96" s="13" t="inlineStr">
        <is>
          <t>IQ Capital</t>
        </is>
      </c>
      <c r="F96" s="13" t="inlineStr">
        <is>
          <t>#30 Instant-Direct 100k</t>
        </is>
      </c>
      <c r="G96" s="17" t="n">
        <v>100000</v>
      </c>
      <c r="H96" s="17" t="n">
        <v>0</v>
      </c>
      <c r="I96" s="17" t="n">
        <v>70</v>
      </c>
      <c r="J96" s="13" t="inlineStr">
        <is>
          <t>Financé dès l'achat – 1er payout le 21/01/2027</t>
        </is>
      </c>
    </row>
    <row r="97">
      <c r="A97" s="19" t="n">
        <v>96</v>
      </c>
      <c r="B97" s="20" t="n">
        <v>46380</v>
      </c>
      <c r="C97" s="21" t="n">
        <v>3</v>
      </c>
      <c r="D97" s="24" t="inlineStr">
        <is>
          <t>Financement</t>
        </is>
      </c>
      <c r="E97" s="19" t="inlineStr">
        <is>
          <t>IQ Capital</t>
        </is>
      </c>
      <c r="F97" s="19" t="inlineStr">
        <is>
          <t>#31 Instant-Direct 100k</t>
        </is>
      </c>
      <c r="G97" s="22" t="n">
        <v>100000</v>
      </c>
      <c r="H97" s="22" t="n">
        <v>0</v>
      </c>
      <c r="I97" s="22" t="n">
        <v>70</v>
      </c>
      <c r="J97" s="19" t="inlineStr">
        <is>
          <t>Financé dès l'achat – 1er payout le 21/01/2027</t>
        </is>
      </c>
    </row>
    <row r="98">
      <c r="A98" s="13" t="n">
        <v>97</v>
      </c>
      <c r="B98" s="14" t="n">
        <v>46380</v>
      </c>
      <c r="C98" s="15" t="n">
        <v>3</v>
      </c>
      <c r="D98" s="24" t="inlineStr">
        <is>
          <t>Financement</t>
        </is>
      </c>
      <c r="E98" s="13" t="inlineStr">
        <is>
          <t>IQ Capital</t>
        </is>
      </c>
      <c r="F98" s="13" t="inlineStr">
        <is>
          <t>#32 Instant-Direct 100k</t>
        </is>
      </c>
      <c r="G98" s="17" t="n">
        <v>100000</v>
      </c>
      <c r="H98" s="17" t="n">
        <v>0</v>
      </c>
      <c r="I98" s="17" t="n">
        <v>70</v>
      </c>
      <c r="J98" s="13" t="inlineStr">
        <is>
          <t>Financé dès l'achat – 1er payout le 21/01/2027</t>
        </is>
      </c>
    </row>
    <row r="99">
      <c r="A99" s="19" t="n">
        <v>98</v>
      </c>
      <c r="B99" s="20" t="n">
        <v>46380</v>
      </c>
      <c r="C99" s="21" t="n">
        <v>3</v>
      </c>
      <c r="D99" s="24" t="inlineStr">
        <is>
          <t>Financement</t>
        </is>
      </c>
      <c r="E99" s="19" t="inlineStr">
        <is>
          <t>IQ Capital</t>
        </is>
      </c>
      <c r="F99" s="19" t="inlineStr">
        <is>
          <t>#33 Instant-Direct 100k</t>
        </is>
      </c>
      <c r="G99" s="22" t="n">
        <v>100000</v>
      </c>
      <c r="H99" s="22" t="n">
        <v>0</v>
      </c>
      <c r="I99" s="22" t="n">
        <v>70</v>
      </c>
      <c r="J99" s="19" t="inlineStr">
        <is>
          <t>Financé dès l'achat – 1er payout le 21/01/2027</t>
        </is>
      </c>
    </row>
    <row r="100">
      <c r="A100" s="13" t="n">
        <v>99</v>
      </c>
      <c r="B100" s="14" t="n">
        <v>46380</v>
      </c>
      <c r="C100" s="15" t="n">
        <v>3</v>
      </c>
      <c r="D100" s="24" t="inlineStr">
        <is>
          <t>Financement</t>
        </is>
      </c>
      <c r="E100" s="13" t="inlineStr">
        <is>
          <t>IQ Capital</t>
        </is>
      </c>
      <c r="F100" s="13" t="inlineStr">
        <is>
          <t>#34 Instant-Direct 100k</t>
        </is>
      </c>
      <c r="G100" s="17" t="n">
        <v>100000</v>
      </c>
      <c r="H100" s="17" t="n">
        <v>0</v>
      </c>
      <c r="I100" s="17" t="n">
        <v>70</v>
      </c>
      <c r="J100" s="13" t="inlineStr">
        <is>
          <t>Financé dès l'achat – 1er payout le 21/01/2027</t>
        </is>
      </c>
    </row>
    <row r="101">
      <c r="A101" s="19" t="n">
        <v>100</v>
      </c>
      <c r="B101" s="20" t="n">
        <v>46380</v>
      </c>
      <c r="C101" s="21" t="n">
        <v>3</v>
      </c>
      <c r="D101" s="24" t="inlineStr">
        <is>
          <t>Financement</t>
        </is>
      </c>
      <c r="E101" s="19" t="inlineStr">
        <is>
          <t>IQ Capital</t>
        </is>
      </c>
      <c r="F101" s="19" t="inlineStr">
        <is>
          <t>#35 Instant-Direct 100k</t>
        </is>
      </c>
      <c r="G101" s="22" t="n">
        <v>100000</v>
      </c>
      <c r="H101" s="22" t="n">
        <v>0</v>
      </c>
      <c r="I101" s="22" t="n">
        <v>70</v>
      </c>
      <c r="J101" s="19" t="inlineStr">
        <is>
          <t>Financé dès l'achat – 1er payout le 21/01/2027</t>
        </is>
      </c>
    </row>
    <row r="102">
      <c r="A102" s="13" t="n">
        <v>101</v>
      </c>
      <c r="B102" s="14" t="n">
        <v>46380</v>
      </c>
      <c r="C102" s="15" t="n">
        <v>3</v>
      </c>
      <c r="D102" s="24" t="inlineStr">
        <is>
          <t>Financement</t>
        </is>
      </c>
      <c r="E102" s="13" t="inlineStr">
        <is>
          <t>IQ Capital</t>
        </is>
      </c>
      <c r="F102" s="13" t="inlineStr">
        <is>
          <t>#36 Instant-Direct 100k</t>
        </is>
      </c>
      <c r="G102" s="17" t="n">
        <v>100000</v>
      </c>
      <c r="H102" s="17" t="n">
        <v>0</v>
      </c>
      <c r="I102" s="17" t="n">
        <v>70</v>
      </c>
      <c r="J102" s="13" t="inlineStr">
        <is>
          <t>Financé dès l'achat – 1er payout le 21/01/2027</t>
        </is>
      </c>
    </row>
    <row r="103">
      <c r="A103" s="19" t="n">
        <v>102</v>
      </c>
      <c r="B103" s="20" t="n">
        <v>46380</v>
      </c>
      <c r="C103" s="21" t="n">
        <v>3</v>
      </c>
      <c r="D103" s="24" t="inlineStr">
        <is>
          <t>Financement</t>
        </is>
      </c>
      <c r="E103" s="19" t="inlineStr">
        <is>
          <t>IQ Capital</t>
        </is>
      </c>
      <c r="F103" s="19" t="inlineStr">
        <is>
          <t>#37 Instant-Direct 100k</t>
        </is>
      </c>
      <c r="G103" s="22" t="n">
        <v>100000</v>
      </c>
      <c r="H103" s="22" t="n">
        <v>0</v>
      </c>
      <c r="I103" s="22" t="n">
        <v>70</v>
      </c>
      <c r="J103" s="19" t="inlineStr">
        <is>
          <t>Financé dès l'achat – 1er payout le 21/01/2027</t>
        </is>
      </c>
    </row>
    <row r="104">
      <c r="A104" s="13" t="n">
        <v>103</v>
      </c>
      <c r="B104" s="14" t="n">
        <v>46380</v>
      </c>
      <c r="C104" s="15" t="n">
        <v>3</v>
      </c>
      <c r="D104" s="24" t="inlineStr">
        <is>
          <t>Financement</t>
        </is>
      </c>
      <c r="E104" s="13" t="inlineStr">
        <is>
          <t>IQ Capital</t>
        </is>
      </c>
      <c r="F104" s="13" t="inlineStr">
        <is>
          <t>#38 Instant-Direct 100k</t>
        </is>
      </c>
      <c r="G104" s="17" t="n">
        <v>100000</v>
      </c>
      <c r="H104" s="17" t="n">
        <v>0</v>
      </c>
      <c r="I104" s="17" t="n">
        <v>70</v>
      </c>
      <c r="J104" s="13" t="inlineStr">
        <is>
          <t>Financé dès l'achat – 1er payout le 21/01/2027</t>
        </is>
      </c>
    </row>
    <row r="105">
      <c r="A105" s="19" t="n">
        <v>104</v>
      </c>
      <c r="B105" s="20" t="n">
        <v>46380</v>
      </c>
      <c r="C105" s="21" t="n">
        <v>3</v>
      </c>
      <c r="D105" s="24" t="inlineStr">
        <is>
          <t>Financement</t>
        </is>
      </c>
      <c r="E105" s="19" t="inlineStr">
        <is>
          <t>IQ Capital</t>
        </is>
      </c>
      <c r="F105" s="19" t="inlineStr">
        <is>
          <t>#39 Instant-Direct 100k</t>
        </is>
      </c>
      <c r="G105" s="22" t="n">
        <v>100000</v>
      </c>
      <c r="H105" s="22" t="n">
        <v>0</v>
      </c>
      <c r="I105" s="22" t="n">
        <v>70</v>
      </c>
      <c r="J105" s="19" t="inlineStr">
        <is>
          <t>Financé dès l'achat – 1er payout le 21/01/2027</t>
        </is>
      </c>
    </row>
    <row r="106">
      <c r="A106" s="13" t="n">
        <v>105</v>
      </c>
      <c r="B106" s="14" t="n">
        <v>46380</v>
      </c>
      <c r="C106" s="15" t="n">
        <v>3</v>
      </c>
      <c r="D106" s="24" t="inlineStr">
        <is>
          <t>Financement</t>
        </is>
      </c>
      <c r="E106" s="13" t="inlineStr">
        <is>
          <t>IQ Capital</t>
        </is>
      </c>
      <c r="F106" s="13" t="inlineStr">
        <is>
          <t>#40 Instant-Direct 100k</t>
        </is>
      </c>
      <c r="G106" s="17" t="n">
        <v>100000</v>
      </c>
      <c r="H106" s="17" t="n">
        <v>0</v>
      </c>
      <c r="I106" s="17" t="n">
        <v>70</v>
      </c>
      <c r="J106" s="13" t="inlineStr">
        <is>
          <t>Financé dès l'achat – 1er payout le 21/01/2027</t>
        </is>
      </c>
    </row>
    <row r="107">
      <c r="A107" s="19" t="n">
        <v>106</v>
      </c>
      <c r="B107" s="20" t="n">
        <v>46380</v>
      </c>
      <c r="C107" s="21" t="n">
        <v>3</v>
      </c>
      <c r="D107" s="24" t="inlineStr">
        <is>
          <t>Financement</t>
        </is>
      </c>
      <c r="E107" s="19" t="inlineStr">
        <is>
          <t>IQ Capital</t>
        </is>
      </c>
      <c r="F107" s="19" t="inlineStr">
        <is>
          <t>#41 Instant-Direct 100k</t>
        </is>
      </c>
      <c r="G107" s="22" t="n">
        <v>100000</v>
      </c>
      <c r="H107" s="22" t="n">
        <v>0</v>
      </c>
      <c r="I107" s="22" t="n">
        <v>70</v>
      </c>
      <c r="J107" s="19" t="inlineStr">
        <is>
          <t>Financé dès l'achat – 1er payout le 21/01/2027</t>
        </is>
      </c>
    </row>
    <row r="108">
      <c r="A108" s="13" t="n">
        <v>107</v>
      </c>
      <c r="B108" s="14" t="n">
        <v>46380</v>
      </c>
      <c r="C108" s="15" t="n">
        <v>3</v>
      </c>
      <c r="D108" s="24" t="inlineStr">
        <is>
          <t>Financement</t>
        </is>
      </c>
      <c r="E108" s="13" t="inlineStr">
        <is>
          <t>IQ Capital</t>
        </is>
      </c>
      <c r="F108" s="13" t="inlineStr">
        <is>
          <t>#42 Instant-Direct 100k</t>
        </is>
      </c>
      <c r="G108" s="17" t="n">
        <v>100000</v>
      </c>
      <c r="H108" s="17" t="n">
        <v>0</v>
      </c>
      <c r="I108" s="17" t="n">
        <v>70</v>
      </c>
      <c r="J108" s="13" t="inlineStr">
        <is>
          <t>Financé dès l'achat – 1er payout le 21/01/2027</t>
        </is>
      </c>
    </row>
    <row r="109">
      <c r="A109" s="19" t="n">
        <v>108</v>
      </c>
      <c r="B109" s="20" t="n">
        <v>46380</v>
      </c>
      <c r="C109" s="21" t="n">
        <v>3</v>
      </c>
      <c r="D109" s="24" t="inlineStr">
        <is>
          <t>Financement</t>
        </is>
      </c>
      <c r="E109" s="19" t="inlineStr">
        <is>
          <t>IQ Capital</t>
        </is>
      </c>
      <c r="F109" s="19" t="inlineStr">
        <is>
          <t>#43 Instant-Direct 100k</t>
        </is>
      </c>
      <c r="G109" s="22" t="n">
        <v>100000</v>
      </c>
      <c r="H109" s="22" t="n">
        <v>0</v>
      </c>
      <c r="I109" s="22" t="n">
        <v>70</v>
      </c>
      <c r="J109" s="19" t="inlineStr">
        <is>
          <t>Financé dès l'achat – 1er payout le 21/01/2027</t>
        </is>
      </c>
    </row>
    <row r="110">
      <c r="A110" s="13" t="n">
        <v>109</v>
      </c>
      <c r="B110" s="14" t="n">
        <v>46380</v>
      </c>
      <c r="C110" s="15" t="n">
        <v>3</v>
      </c>
      <c r="D110" s="24" t="inlineStr">
        <is>
          <t>Financement</t>
        </is>
      </c>
      <c r="E110" s="13" t="inlineStr">
        <is>
          <t>IQ Capital</t>
        </is>
      </c>
      <c r="F110" s="13" t="inlineStr">
        <is>
          <t>#44 Instant-Direct 100k</t>
        </is>
      </c>
      <c r="G110" s="17" t="n">
        <v>100000</v>
      </c>
      <c r="H110" s="17" t="n">
        <v>0</v>
      </c>
      <c r="I110" s="17" t="n">
        <v>70</v>
      </c>
      <c r="J110" s="13" t="inlineStr">
        <is>
          <t>Financé dès l'achat – 1er payout le 21/01/2027</t>
        </is>
      </c>
    </row>
    <row r="111">
      <c r="A111" s="19" t="n">
        <v>110</v>
      </c>
      <c r="B111" s="20" t="n">
        <v>46380</v>
      </c>
      <c r="C111" s="21" t="n">
        <v>3</v>
      </c>
      <c r="D111" s="24" t="inlineStr">
        <is>
          <t>Financement</t>
        </is>
      </c>
      <c r="E111" s="19" t="inlineStr">
        <is>
          <t>IQ Capital</t>
        </is>
      </c>
      <c r="F111" s="19" t="inlineStr">
        <is>
          <t>#45 Instant-Direct 100k</t>
        </is>
      </c>
      <c r="G111" s="22" t="n">
        <v>100000</v>
      </c>
      <c r="H111" s="22" t="n">
        <v>0</v>
      </c>
      <c r="I111" s="22" t="n">
        <v>70</v>
      </c>
      <c r="J111" s="19" t="inlineStr">
        <is>
          <t>Financé dès l'achat – 1er payout le 21/01/2027</t>
        </is>
      </c>
    </row>
    <row r="112">
      <c r="A112" s="13" t="n">
        <v>111</v>
      </c>
      <c r="B112" s="14" t="n">
        <v>46380</v>
      </c>
      <c r="C112" s="15" t="n">
        <v>3</v>
      </c>
      <c r="D112" s="24" t="inlineStr">
        <is>
          <t>Financement</t>
        </is>
      </c>
      <c r="E112" s="13" t="inlineStr">
        <is>
          <t>Instant Funding</t>
        </is>
      </c>
      <c r="F112" s="13" t="inlineStr">
        <is>
          <t>#46 Instant-Direct 120k</t>
        </is>
      </c>
      <c r="G112" s="17" t="n">
        <v>120000</v>
      </c>
      <c r="H112" s="17" t="n">
        <v>0</v>
      </c>
      <c r="I112" s="17" t="n">
        <v>70</v>
      </c>
      <c r="J112" s="13" t="inlineStr">
        <is>
          <t>Financé dès l'achat – 1er payout le 21/01/2027</t>
        </is>
      </c>
    </row>
    <row r="113">
      <c r="A113" s="19" t="n">
        <v>112</v>
      </c>
      <c r="B113" s="20" t="n">
        <v>46380</v>
      </c>
      <c r="C113" s="21" t="n">
        <v>3</v>
      </c>
      <c r="D113" s="24" t="inlineStr">
        <is>
          <t>Financement</t>
        </is>
      </c>
      <c r="E113" s="19" t="inlineStr">
        <is>
          <t>Instant Funding</t>
        </is>
      </c>
      <c r="F113" s="19" t="inlineStr">
        <is>
          <t>#47 Instant-Direct 120k</t>
        </is>
      </c>
      <c r="G113" s="22" t="n">
        <v>120000</v>
      </c>
      <c r="H113" s="22" t="n">
        <v>0</v>
      </c>
      <c r="I113" s="22" t="n">
        <v>70</v>
      </c>
      <c r="J113" s="19" t="inlineStr">
        <is>
          <t>Financé dès l'achat – 1er payout le 21/01/2027</t>
        </is>
      </c>
    </row>
    <row r="114">
      <c r="A114" s="13" t="n">
        <v>113</v>
      </c>
      <c r="B114" s="14" t="n">
        <v>46380</v>
      </c>
      <c r="C114" s="15" t="n">
        <v>3</v>
      </c>
      <c r="D114" s="24" t="inlineStr">
        <is>
          <t>Financement</t>
        </is>
      </c>
      <c r="E114" s="13" t="inlineStr">
        <is>
          <t>Instant Funding</t>
        </is>
      </c>
      <c r="F114" s="13" t="inlineStr">
        <is>
          <t>#48 Instant-Direct 120k</t>
        </is>
      </c>
      <c r="G114" s="17" t="n">
        <v>120000</v>
      </c>
      <c r="H114" s="17" t="n">
        <v>0</v>
      </c>
      <c r="I114" s="17" t="n">
        <v>70</v>
      </c>
      <c r="J114" s="13" t="inlineStr">
        <is>
          <t>Financé dès l'achat – 1er payout le 21/01/2027</t>
        </is>
      </c>
    </row>
    <row r="115">
      <c r="A115" s="19" t="n">
        <v>114</v>
      </c>
      <c r="B115" s="20" t="n">
        <v>46380</v>
      </c>
      <c r="C115" s="21" t="n">
        <v>3</v>
      </c>
      <c r="D115" s="24" t="inlineStr">
        <is>
          <t>Financement</t>
        </is>
      </c>
      <c r="E115" s="19" t="inlineStr">
        <is>
          <t>Audacity Capital</t>
        </is>
      </c>
      <c r="F115" s="19" t="inlineStr">
        <is>
          <t>#49 Instant-Direct 50k</t>
        </is>
      </c>
      <c r="G115" s="22" t="n">
        <v>50000</v>
      </c>
      <c r="H115" s="22" t="n">
        <v>0</v>
      </c>
      <c r="I115" s="22" t="n">
        <v>70</v>
      </c>
      <c r="J115" s="19" t="inlineStr">
        <is>
          <t>Financé dès l'achat – 1er payout le 21/01/2027</t>
        </is>
      </c>
    </row>
    <row r="116">
      <c r="A116" s="13" t="n">
        <v>115</v>
      </c>
      <c r="B116" s="14" t="n">
        <v>46380</v>
      </c>
      <c r="C116" s="15" t="n">
        <v>3</v>
      </c>
      <c r="D116" s="24" t="inlineStr">
        <is>
          <t>Financement</t>
        </is>
      </c>
      <c r="E116" s="13" t="inlineStr">
        <is>
          <t>Crypto Fund Trader</t>
        </is>
      </c>
      <c r="F116" s="13" t="inlineStr">
        <is>
          <t>#50 Instant-Direct 10k</t>
        </is>
      </c>
      <c r="G116" s="17" t="n">
        <v>10000</v>
      </c>
      <c r="H116" s="17" t="n">
        <v>0</v>
      </c>
      <c r="I116" s="17" t="n">
        <v>70</v>
      </c>
      <c r="J116" s="13" t="inlineStr">
        <is>
          <t>Financé dès l'achat – 1er payout le 21/01/2027</t>
        </is>
      </c>
    </row>
    <row r="117">
      <c r="A117" s="19" t="n">
        <v>116</v>
      </c>
      <c r="B117" s="20" t="n">
        <v>46408</v>
      </c>
      <c r="C117" s="21" t="n">
        <v>4</v>
      </c>
      <c r="D117" s="25" t="inlineStr">
        <is>
          <t>Payout</t>
        </is>
      </c>
      <c r="E117" s="19" t="inlineStr">
        <is>
          <t>FundedNext</t>
        </is>
      </c>
      <c r="F117" s="19" t="inlineStr">
        <is>
          <t>#1 Départ 10k</t>
        </is>
      </c>
      <c r="G117" s="22" t="n">
        <v>10000</v>
      </c>
      <c r="H117" s="22" t="n">
        <v>800</v>
      </c>
      <c r="I117" s="22" t="n">
        <v>870</v>
      </c>
      <c r="J117" s="19" t="inlineStr">
        <is>
          <t>10 % × 10,000 × split 80%</t>
        </is>
      </c>
    </row>
    <row r="118">
      <c r="A118" s="13" t="n">
        <v>117</v>
      </c>
      <c r="B118" s="14" t="n">
        <v>46408</v>
      </c>
      <c r="C118" s="15" t="n">
        <v>4</v>
      </c>
      <c r="D118" s="25" t="inlineStr">
        <is>
          <t>Payout</t>
        </is>
      </c>
      <c r="E118" s="13" t="inlineStr">
        <is>
          <t>Moneta Funded</t>
        </is>
      </c>
      <c r="F118" s="13" t="inlineStr">
        <is>
          <t>#2 Instant-Direct 100k</t>
        </is>
      </c>
      <c r="G118" s="17" t="n">
        <v>100000</v>
      </c>
      <c r="H118" s="17" t="n">
        <v>8000</v>
      </c>
      <c r="I118" s="17" t="n">
        <v>8870</v>
      </c>
      <c r="J118" s="13" t="inlineStr">
        <is>
          <t>10 % × 100,000 × split 80%</t>
        </is>
      </c>
    </row>
    <row r="119">
      <c r="A119" s="19" t="n">
        <v>118</v>
      </c>
      <c r="B119" s="20" t="n">
        <v>46408</v>
      </c>
      <c r="C119" s="21" t="n">
        <v>4</v>
      </c>
      <c r="D119" s="25" t="inlineStr">
        <is>
          <t>Payout</t>
        </is>
      </c>
      <c r="E119" s="19" t="inlineStr">
        <is>
          <t>Moneta Funded</t>
        </is>
      </c>
      <c r="F119" s="19" t="inlineStr">
        <is>
          <t>#3 Instant-Direct 100k</t>
        </is>
      </c>
      <c r="G119" s="22" t="n">
        <v>100000</v>
      </c>
      <c r="H119" s="22" t="n">
        <v>8000</v>
      </c>
      <c r="I119" s="22" t="n">
        <v>16870</v>
      </c>
      <c r="J119" s="19" t="inlineStr">
        <is>
          <t>10 % × 100,000 × split 80%</t>
        </is>
      </c>
    </row>
    <row r="120">
      <c r="A120" s="13" t="n">
        <v>119</v>
      </c>
      <c r="B120" s="14" t="n">
        <v>46408</v>
      </c>
      <c r="C120" s="15" t="n">
        <v>4</v>
      </c>
      <c r="D120" s="25" t="inlineStr">
        <is>
          <t>Payout</t>
        </is>
      </c>
      <c r="E120" s="13" t="inlineStr">
        <is>
          <t>Moneta Funded</t>
        </is>
      </c>
      <c r="F120" s="13" t="inlineStr">
        <is>
          <t>#4 Instant-Direct 100k</t>
        </is>
      </c>
      <c r="G120" s="17" t="n">
        <v>100000</v>
      </c>
      <c r="H120" s="17" t="n">
        <v>8000</v>
      </c>
      <c r="I120" s="17" t="n">
        <v>24870</v>
      </c>
      <c r="J120" s="13" t="inlineStr">
        <is>
          <t>10 % × 100,000 × split 80%</t>
        </is>
      </c>
    </row>
    <row r="121">
      <c r="A121" s="19" t="n">
        <v>120</v>
      </c>
      <c r="B121" s="20" t="n">
        <v>46408</v>
      </c>
      <c r="C121" s="21" t="n">
        <v>4</v>
      </c>
      <c r="D121" s="25" t="inlineStr">
        <is>
          <t>Payout</t>
        </is>
      </c>
      <c r="E121" s="19" t="inlineStr">
        <is>
          <t>Moneta Funded</t>
        </is>
      </c>
      <c r="F121" s="19" t="inlineStr">
        <is>
          <t>#5 Instant-Direct 100k</t>
        </is>
      </c>
      <c r="G121" s="22" t="n">
        <v>100000</v>
      </c>
      <c r="H121" s="22" t="n">
        <v>8000</v>
      </c>
      <c r="I121" s="22" t="n">
        <v>32870</v>
      </c>
      <c r="J121" s="19" t="inlineStr">
        <is>
          <t>10 % × 100,000 × split 80%</t>
        </is>
      </c>
    </row>
    <row r="122">
      <c r="A122" s="13" t="n">
        <v>121</v>
      </c>
      <c r="B122" s="14" t="n">
        <v>46408</v>
      </c>
      <c r="C122" s="15" t="n">
        <v>4</v>
      </c>
      <c r="D122" s="25" t="inlineStr">
        <is>
          <t>Payout</t>
        </is>
      </c>
      <c r="E122" s="13" t="inlineStr">
        <is>
          <t>Moneta Funded</t>
        </is>
      </c>
      <c r="F122" s="13" t="inlineStr">
        <is>
          <t>#6 Instant-Direct 100k</t>
        </is>
      </c>
      <c r="G122" s="17" t="n">
        <v>100000</v>
      </c>
      <c r="H122" s="17" t="n">
        <v>8000</v>
      </c>
      <c r="I122" s="17" t="n">
        <v>40870</v>
      </c>
      <c r="J122" s="13" t="inlineStr">
        <is>
          <t>10 % × 100,000 × split 80%</t>
        </is>
      </c>
    </row>
    <row r="123">
      <c r="A123" s="19" t="n">
        <v>122</v>
      </c>
      <c r="B123" s="20" t="n">
        <v>46408</v>
      </c>
      <c r="C123" s="21" t="n">
        <v>4</v>
      </c>
      <c r="D123" s="25" t="inlineStr">
        <is>
          <t>Payout</t>
        </is>
      </c>
      <c r="E123" s="19" t="inlineStr">
        <is>
          <t>Moneta Funded</t>
        </is>
      </c>
      <c r="F123" s="19" t="inlineStr">
        <is>
          <t>#7 Instant-Direct 100k</t>
        </is>
      </c>
      <c r="G123" s="22" t="n">
        <v>100000</v>
      </c>
      <c r="H123" s="22" t="n">
        <v>8000</v>
      </c>
      <c r="I123" s="22" t="n">
        <v>48870</v>
      </c>
      <c r="J123" s="19" t="inlineStr">
        <is>
          <t>10 % × 100,000 × split 80%</t>
        </is>
      </c>
    </row>
    <row r="124">
      <c r="A124" s="13" t="n">
        <v>123</v>
      </c>
      <c r="B124" s="14" t="n">
        <v>46408</v>
      </c>
      <c r="C124" s="15" t="n">
        <v>4</v>
      </c>
      <c r="D124" s="25" t="inlineStr">
        <is>
          <t>Payout</t>
        </is>
      </c>
      <c r="E124" s="13" t="inlineStr">
        <is>
          <t>Moneta Funded</t>
        </is>
      </c>
      <c r="F124" s="13" t="inlineStr">
        <is>
          <t>#8 Instant-Direct 100k</t>
        </is>
      </c>
      <c r="G124" s="17" t="n">
        <v>100000</v>
      </c>
      <c r="H124" s="17" t="n">
        <v>8000</v>
      </c>
      <c r="I124" s="17" t="n">
        <v>56870</v>
      </c>
      <c r="J124" s="13" t="inlineStr">
        <is>
          <t>10 % × 100,000 × split 80%</t>
        </is>
      </c>
    </row>
    <row r="125">
      <c r="A125" s="19" t="n">
        <v>124</v>
      </c>
      <c r="B125" s="20" t="n">
        <v>46408</v>
      </c>
      <c r="C125" s="21" t="n">
        <v>4</v>
      </c>
      <c r="D125" s="25" t="inlineStr">
        <is>
          <t>Payout</t>
        </is>
      </c>
      <c r="E125" s="19" t="inlineStr">
        <is>
          <t>Moneta Funded</t>
        </is>
      </c>
      <c r="F125" s="19" t="inlineStr">
        <is>
          <t>#9 Instant-Direct 100k</t>
        </is>
      </c>
      <c r="G125" s="22" t="n">
        <v>100000</v>
      </c>
      <c r="H125" s="22" t="n">
        <v>8000</v>
      </c>
      <c r="I125" s="22" t="n">
        <v>64870</v>
      </c>
      <c r="J125" s="19" t="inlineStr">
        <is>
          <t>10 % × 100,000 × split 80%</t>
        </is>
      </c>
    </row>
    <row r="126">
      <c r="A126" s="13" t="n">
        <v>125</v>
      </c>
      <c r="B126" s="14" t="n">
        <v>46408</v>
      </c>
      <c r="C126" s="15" t="n">
        <v>4</v>
      </c>
      <c r="D126" s="25" t="inlineStr">
        <is>
          <t>Payout</t>
        </is>
      </c>
      <c r="E126" s="13" t="inlineStr">
        <is>
          <t>Moneta Funded</t>
        </is>
      </c>
      <c r="F126" s="13" t="inlineStr">
        <is>
          <t>#10 Instant-Direct 100k</t>
        </is>
      </c>
      <c r="G126" s="17" t="n">
        <v>100000</v>
      </c>
      <c r="H126" s="17" t="n">
        <v>8000</v>
      </c>
      <c r="I126" s="17" t="n">
        <v>72870</v>
      </c>
      <c r="J126" s="13" t="inlineStr">
        <is>
          <t>10 % × 100,000 × split 80%</t>
        </is>
      </c>
    </row>
    <row r="127">
      <c r="A127" s="19" t="n">
        <v>126</v>
      </c>
      <c r="B127" s="20" t="n">
        <v>46408</v>
      </c>
      <c r="C127" s="21" t="n">
        <v>4</v>
      </c>
      <c r="D127" s="25" t="inlineStr">
        <is>
          <t>Payout</t>
        </is>
      </c>
      <c r="E127" s="19" t="inlineStr">
        <is>
          <t>Moneta Funded</t>
        </is>
      </c>
      <c r="F127" s="19" t="inlineStr">
        <is>
          <t>#11 Instant-Direct 100k</t>
        </is>
      </c>
      <c r="G127" s="22" t="n">
        <v>100000</v>
      </c>
      <c r="H127" s="22" t="n">
        <v>8000</v>
      </c>
      <c r="I127" s="22" t="n">
        <v>80870</v>
      </c>
      <c r="J127" s="19" t="inlineStr">
        <is>
          <t>10 % × 100,000 × split 80%</t>
        </is>
      </c>
    </row>
    <row r="128">
      <c r="A128" s="13" t="n">
        <v>127</v>
      </c>
      <c r="B128" s="14" t="n">
        <v>46408</v>
      </c>
      <c r="C128" s="15" t="n">
        <v>4</v>
      </c>
      <c r="D128" s="25" t="inlineStr">
        <is>
          <t>Payout</t>
        </is>
      </c>
      <c r="E128" s="13" t="inlineStr">
        <is>
          <t>Moneta Funded</t>
        </is>
      </c>
      <c r="F128" s="13" t="inlineStr">
        <is>
          <t>#12 Instant-Direct 100k</t>
        </is>
      </c>
      <c r="G128" s="17" t="n">
        <v>100000</v>
      </c>
      <c r="H128" s="17" t="n">
        <v>8000</v>
      </c>
      <c r="I128" s="17" t="n">
        <v>88870</v>
      </c>
      <c r="J128" s="13" t="inlineStr">
        <is>
          <t>10 % × 100,000 × split 80%</t>
        </is>
      </c>
    </row>
    <row r="129">
      <c r="A129" s="19" t="n">
        <v>128</v>
      </c>
      <c r="B129" s="20" t="n">
        <v>46408</v>
      </c>
      <c r="C129" s="21" t="n">
        <v>4</v>
      </c>
      <c r="D129" s="25" t="inlineStr">
        <is>
          <t>Payout</t>
        </is>
      </c>
      <c r="E129" s="19" t="inlineStr">
        <is>
          <t>Moneta Funded</t>
        </is>
      </c>
      <c r="F129" s="19" t="inlineStr">
        <is>
          <t>#13 Instant-Direct 100k</t>
        </is>
      </c>
      <c r="G129" s="22" t="n">
        <v>100000</v>
      </c>
      <c r="H129" s="22" t="n">
        <v>8000</v>
      </c>
      <c r="I129" s="22" t="n">
        <v>96870</v>
      </c>
      <c r="J129" s="19" t="inlineStr">
        <is>
          <t>10 % × 100,000 × split 80%</t>
        </is>
      </c>
    </row>
    <row r="130">
      <c r="A130" s="13" t="n">
        <v>129</v>
      </c>
      <c r="B130" s="14" t="n">
        <v>46408</v>
      </c>
      <c r="C130" s="15" t="n">
        <v>4</v>
      </c>
      <c r="D130" s="25" t="inlineStr">
        <is>
          <t>Payout</t>
        </is>
      </c>
      <c r="E130" s="13" t="inlineStr">
        <is>
          <t>FunderPro Futures</t>
        </is>
      </c>
      <c r="F130" s="13" t="inlineStr">
        <is>
          <t>#14 1 Step 150k</t>
        </is>
      </c>
      <c r="G130" s="17" t="n">
        <v>150000</v>
      </c>
      <c r="H130" s="17" t="n">
        <v>9000</v>
      </c>
      <c r="I130" s="17" t="n">
        <v>105870</v>
      </c>
      <c r="J130" s="13" t="inlineStr">
        <is>
          <t>10 % × 150,000 × split 60%</t>
        </is>
      </c>
    </row>
    <row r="131">
      <c r="A131" s="19" t="n">
        <v>130</v>
      </c>
      <c r="B131" s="20" t="n">
        <v>46408</v>
      </c>
      <c r="C131" s="21" t="n">
        <v>4</v>
      </c>
      <c r="D131" s="25" t="inlineStr">
        <is>
          <t>Payout</t>
        </is>
      </c>
      <c r="E131" s="19" t="inlineStr">
        <is>
          <t>Moneta Funded</t>
        </is>
      </c>
      <c r="F131" s="19" t="inlineStr">
        <is>
          <t>#15 Instant-Direct 100k</t>
        </is>
      </c>
      <c r="G131" s="22" t="n">
        <v>100000</v>
      </c>
      <c r="H131" s="22" t="n">
        <v>8000</v>
      </c>
      <c r="I131" s="22" t="n">
        <v>113870</v>
      </c>
      <c r="J131" s="19" t="inlineStr">
        <is>
          <t>10 % × 100,000 × split 80%</t>
        </is>
      </c>
    </row>
    <row r="132">
      <c r="A132" s="13" t="n">
        <v>131</v>
      </c>
      <c r="B132" s="14" t="n">
        <v>46408</v>
      </c>
      <c r="C132" s="15" t="n">
        <v>4</v>
      </c>
      <c r="D132" s="25" t="inlineStr">
        <is>
          <t>Payout</t>
        </is>
      </c>
      <c r="E132" s="13" t="inlineStr">
        <is>
          <t>Moneta Funded</t>
        </is>
      </c>
      <c r="F132" s="13" t="inlineStr">
        <is>
          <t>#16 Instant-Direct 100k</t>
        </is>
      </c>
      <c r="G132" s="17" t="n">
        <v>100000</v>
      </c>
      <c r="H132" s="17" t="n">
        <v>8000</v>
      </c>
      <c r="I132" s="17" t="n">
        <v>121870</v>
      </c>
      <c r="J132" s="13" t="inlineStr">
        <is>
          <t>10 % × 100,000 × split 80%</t>
        </is>
      </c>
    </row>
    <row r="133">
      <c r="A133" s="19" t="n">
        <v>132</v>
      </c>
      <c r="B133" s="20" t="n">
        <v>46408</v>
      </c>
      <c r="C133" s="21" t="n">
        <v>4</v>
      </c>
      <c r="D133" s="25" t="inlineStr">
        <is>
          <t>Payout</t>
        </is>
      </c>
      <c r="E133" s="19" t="inlineStr">
        <is>
          <t>Moneta Funded</t>
        </is>
      </c>
      <c r="F133" s="19" t="inlineStr">
        <is>
          <t>#17 Instant-Direct 100k</t>
        </is>
      </c>
      <c r="G133" s="22" t="n">
        <v>100000</v>
      </c>
      <c r="H133" s="22" t="n">
        <v>8000</v>
      </c>
      <c r="I133" s="22" t="n">
        <v>129870</v>
      </c>
      <c r="J133" s="19" t="inlineStr">
        <is>
          <t>10 % × 100,000 × split 80%</t>
        </is>
      </c>
    </row>
    <row r="134">
      <c r="A134" s="13" t="n">
        <v>133</v>
      </c>
      <c r="B134" s="14" t="n">
        <v>46408</v>
      </c>
      <c r="C134" s="15" t="n">
        <v>4</v>
      </c>
      <c r="D134" s="25" t="inlineStr">
        <is>
          <t>Payout</t>
        </is>
      </c>
      <c r="E134" s="13" t="inlineStr">
        <is>
          <t>Moneta Funded</t>
        </is>
      </c>
      <c r="F134" s="13" t="inlineStr">
        <is>
          <t>#18 Instant-Direct 100k</t>
        </is>
      </c>
      <c r="G134" s="17" t="n">
        <v>100000</v>
      </c>
      <c r="H134" s="17" t="n">
        <v>8000</v>
      </c>
      <c r="I134" s="17" t="n">
        <v>137870</v>
      </c>
      <c r="J134" s="13" t="inlineStr">
        <is>
          <t>10 % × 100,000 × split 80%</t>
        </is>
      </c>
    </row>
    <row r="135">
      <c r="A135" s="19" t="n">
        <v>134</v>
      </c>
      <c r="B135" s="20" t="n">
        <v>46408</v>
      </c>
      <c r="C135" s="21" t="n">
        <v>4</v>
      </c>
      <c r="D135" s="25" t="inlineStr">
        <is>
          <t>Payout</t>
        </is>
      </c>
      <c r="E135" s="19" t="inlineStr">
        <is>
          <t>Moneta Funded</t>
        </is>
      </c>
      <c r="F135" s="19" t="inlineStr">
        <is>
          <t>#19 Instant-Direct 100k</t>
        </is>
      </c>
      <c r="G135" s="22" t="n">
        <v>100000</v>
      </c>
      <c r="H135" s="22" t="n">
        <v>8000</v>
      </c>
      <c r="I135" s="22" t="n">
        <v>145870</v>
      </c>
      <c r="J135" s="19" t="inlineStr">
        <is>
          <t>10 % × 100,000 × split 80%</t>
        </is>
      </c>
    </row>
    <row r="136">
      <c r="A136" s="13" t="n">
        <v>135</v>
      </c>
      <c r="B136" s="14" t="n">
        <v>46408</v>
      </c>
      <c r="C136" s="15" t="n">
        <v>4</v>
      </c>
      <c r="D136" s="25" t="inlineStr">
        <is>
          <t>Payout</t>
        </is>
      </c>
      <c r="E136" s="13" t="inlineStr">
        <is>
          <t>Moneta Funded</t>
        </is>
      </c>
      <c r="F136" s="13" t="inlineStr">
        <is>
          <t>#20 Instant-Direct 100k</t>
        </is>
      </c>
      <c r="G136" s="17" t="n">
        <v>100000</v>
      </c>
      <c r="H136" s="17" t="n">
        <v>8000</v>
      </c>
      <c r="I136" s="17" t="n">
        <v>153870</v>
      </c>
      <c r="J136" s="13" t="inlineStr">
        <is>
          <t>10 % × 100,000 × split 80%</t>
        </is>
      </c>
    </row>
    <row r="137">
      <c r="A137" s="19" t="n">
        <v>136</v>
      </c>
      <c r="B137" s="20" t="n">
        <v>46408</v>
      </c>
      <c r="C137" s="21" t="n">
        <v>4</v>
      </c>
      <c r="D137" s="25" t="inlineStr">
        <is>
          <t>Payout</t>
        </is>
      </c>
      <c r="E137" s="19" t="inlineStr">
        <is>
          <t>Moneta Funded</t>
        </is>
      </c>
      <c r="F137" s="19" t="inlineStr">
        <is>
          <t>#21 Instant-Direct 100k</t>
        </is>
      </c>
      <c r="G137" s="22" t="n">
        <v>100000</v>
      </c>
      <c r="H137" s="22" t="n">
        <v>8000</v>
      </c>
      <c r="I137" s="22" t="n">
        <v>161870</v>
      </c>
      <c r="J137" s="19" t="inlineStr">
        <is>
          <t>10 % × 100,000 × split 80%</t>
        </is>
      </c>
    </row>
    <row r="138">
      <c r="A138" s="13" t="n">
        <v>137</v>
      </c>
      <c r="B138" s="14" t="n">
        <v>46408</v>
      </c>
      <c r="C138" s="15" t="n">
        <v>4</v>
      </c>
      <c r="D138" s="25" t="inlineStr">
        <is>
          <t>Payout</t>
        </is>
      </c>
      <c r="E138" s="13" t="inlineStr">
        <is>
          <t>Moneta Funded</t>
        </is>
      </c>
      <c r="F138" s="13" t="inlineStr">
        <is>
          <t>#22 Instant-Direct 100k</t>
        </is>
      </c>
      <c r="G138" s="17" t="n">
        <v>100000</v>
      </c>
      <c r="H138" s="17" t="n">
        <v>8000</v>
      </c>
      <c r="I138" s="17" t="n">
        <v>169870</v>
      </c>
      <c r="J138" s="13" t="inlineStr">
        <is>
          <t>10 % × 100,000 × split 80%</t>
        </is>
      </c>
    </row>
    <row r="139">
      <c r="A139" s="19" t="n">
        <v>138</v>
      </c>
      <c r="B139" s="20" t="n">
        <v>46408</v>
      </c>
      <c r="C139" s="21" t="n">
        <v>4</v>
      </c>
      <c r="D139" s="25" t="inlineStr">
        <is>
          <t>Payout</t>
        </is>
      </c>
      <c r="E139" s="19" t="inlineStr">
        <is>
          <t>Moneta Funded</t>
        </is>
      </c>
      <c r="F139" s="19" t="inlineStr">
        <is>
          <t>#23 Instant-Direct 100k</t>
        </is>
      </c>
      <c r="G139" s="22" t="n">
        <v>100000</v>
      </c>
      <c r="H139" s="22" t="n">
        <v>8000</v>
      </c>
      <c r="I139" s="22" t="n">
        <v>177870</v>
      </c>
      <c r="J139" s="19" t="inlineStr">
        <is>
          <t>10 % × 100,000 × split 80%</t>
        </is>
      </c>
    </row>
    <row r="140">
      <c r="A140" s="13" t="n">
        <v>139</v>
      </c>
      <c r="B140" s="14" t="n">
        <v>46408</v>
      </c>
      <c r="C140" s="15" t="n">
        <v>4</v>
      </c>
      <c r="D140" s="25" t="inlineStr">
        <is>
          <t>Payout</t>
        </is>
      </c>
      <c r="E140" s="13" t="inlineStr">
        <is>
          <t>Moneta Funded</t>
        </is>
      </c>
      <c r="F140" s="13" t="inlineStr">
        <is>
          <t>#24 Instant-Direct 100k</t>
        </is>
      </c>
      <c r="G140" s="17" t="n">
        <v>100000</v>
      </c>
      <c r="H140" s="17" t="n">
        <v>8000</v>
      </c>
      <c r="I140" s="17" t="n">
        <v>185870</v>
      </c>
      <c r="J140" s="13" t="inlineStr">
        <is>
          <t>10 % × 100,000 × split 80%</t>
        </is>
      </c>
    </row>
    <row r="141">
      <c r="A141" s="19" t="n">
        <v>140</v>
      </c>
      <c r="B141" s="20" t="n">
        <v>46408</v>
      </c>
      <c r="C141" s="21" t="n">
        <v>4</v>
      </c>
      <c r="D141" s="25" t="inlineStr">
        <is>
          <t>Payout</t>
        </is>
      </c>
      <c r="E141" s="19" t="inlineStr">
        <is>
          <t>Moneta Funded</t>
        </is>
      </c>
      <c r="F141" s="19" t="inlineStr">
        <is>
          <t>#25 Instant-Direct 100k</t>
        </is>
      </c>
      <c r="G141" s="22" t="n">
        <v>100000</v>
      </c>
      <c r="H141" s="22" t="n">
        <v>8000</v>
      </c>
      <c r="I141" s="22" t="n">
        <v>193870</v>
      </c>
      <c r="J141" s="19" t="inlineStr">
        <is>
          <t>10 % × 100,000 × split 80%</t>
        </is>
      </c>
    </row>
    <row r="142">
      <c r="A142" s="13" t="n">
        <v>141</v>
      </c>
      <c r="B142" s="14" t="n">
        <v>46408</v>
      </c>
      <c r="C142" s="15" t="n">
        <v>4</v>
      </c>
      <c r="D142" s="25" t="inlineStr">
        <is>
          <t>Payout</t>
        </is>
      </c>
      <c r="E142" s="13" t="inlineStr">
        <is>
          <t>IQ Capital</t>
        </is>
      </c>
      <c r="F142" s="13" t="inlineStr">
        <is>
          <t>#26 Instant-Direct 100k</t>
        </is>
      </c>
      <c r="G142" s="17" t="n">
        <v>100000</v>
      </c>
      <c r="H142" s="17" t="n">
        <v>8000</v>
      </c>
      <c r="I142" s="17" t="n">
        <v>201870</v>
      </c>
      <c r="J142" s="13" t="inlineStr">
        <is>
          <t>10 % × 100,000 × split 80%</t>
        </is>
      </c>
    </row>
    <row r="143">
      <c r="A143" s="19" t="n">
        <v>142</v>
      </c>
      <c r="B143" s="20" t="n">
        <v>46408</v>
      </c>
      <c r="C143" s="21" t="n">
        <v>4</v>
      </c>
      <c r="D143" s="25" t="inlineStr">
        <is>
          <t>Payout</t>
        </is>
      </c>
      <c r="E143" s="19" t="inlineStr">
        <is>
          <t>IQ Capital</t>
        </is>
      </c>
      <c r="F143" s="19" t="inlineStr">
        <is>
          <t>#27 Instant-Direct 100k</t>
        </is>
      </c>
      <c r="G143" s="22" t="n">
        <v>100000</v>
      </c>
      <c r="H143" s="22" t="n">
        <v>8000</v>
      </c>
      <c r="I143" s="22" t="n">
        <v>209870</v>
      </c>
      <c r="J143" s="19" t="inlineStr">
        <is>
          <t>10 % × 100,000 × split 80%</t>
        </is>
      </c>
    </row>
    <row r="144">
      <c r="A144" s="13" t="n">
        <v>143</v>
      </c>
      <c r="B144" s="14" t="n">
        <v>46408</v>
      </c>
      <c r="C144" s="15" t="n">
        <v>4</v>
      </c>
      <c r="D144" s="25" t="inlineStr">
        <is>
          <t>Payout</t>
        </is>
      </c>
      <c r="E144" s="13" t="inlineStr">
        <is>
          <t>IQ Capital</t>
        </is>
      </c>
      <c r="F144" s="13" t="inlineStr">
        <is>
          <t>#28 Instant-Direct 100k</t>
        </is>
      </c>
      <c r="G144" s="17" t="n">
        <v>100000</v>
      </c>
      <c r="H144" s="17" t="n">
        <v>8000</v>
      </c>
      <c r="I144" s="17" t="n">
        <v>217870</v>
      </c>
      <c r="J144" s="13" t="inlineStr">
        <is>
          <t>10 % × 100,000 × split 80%</t>
        </is>
      </c>
    </row>
    <row r="145">
      <c r="A145" s="19" t="n">
        <v>144</v>
      </c>
      <c r="B145" s="20" t="n">
        <v>46408</v>
      </c>
      <c r="C145" s="21" t="n">
        <v>4</v>
      </c>
      <c r="D145" s="25" t="inlineStr">
        <is>
          <t>Payout</t>
        </is>
      </c>
      <c r="E145" s="19" t="inlineStr">
        <is>
          <t>IQ Capital</t>
        </is>
      </c>
      <c r="F145" s="19" t="inlineStr">
        <is>
          <t>#29 Instant-Direct 100k</t>
        </is>
      </c>
      <c r="G145" s="22" t="n">
        <v>100000</v>
      </c>
      <c r="H145" s="22" t="n">
        <v>8000</v>
      </c>
      <c r="I145" s="22" t="n">
        <v>225870</v>
      </c>
      <c r="J145" s="19" t="inlineStr">
        <is>
          <t>10 % × 100,000 × split 80%</t>
        </is>
      </c>
    </row>
    <row r="146">
      <c r="A146" s="13" t="n">
        <v>145</v>
      </c>
      <c r="B146" s="14" t="n">
        <v>46408</v>
      </c>
      <c r="C146" s="15" t="n">
        <v>4</v>
      </c>
      <c r="D146" s="25" t="inlineStr">
        <is>
          <t>Payout</t>
        </is>
      </c>
      <c r="E146" s="13" t="inlineStr">
        <is>
          <t>IQ Capital</t>
        </is>
      </c>
      <c r="F146" s="13" t="inlineStr">
        <is>
          <t>#30 Instant-Direct 100k</t>
        </is>
      </c>
      <c r="G146" s="17" t="n">
        <v>100000</v>
      </c>
      <c r="H146" s="17" t="n">
        <v>8000</v>
      </c>
      <c r="I146" s="17" t="n">
        <v>233870</v>
      </c>
      <c r="J146" s="13" t="inlineStr">
        <is>
          <t>10 % × 100,000 × split 80%</t>
        </is>
      </c>
    </row>
    <row r="147">
      <c r="A147" s="19" t="n">
        <v>146</v>
      </c>
      <c r="B147" s="20" t="n">
        <v>46408</v>
      </c>
      <c r="C147" s="21" t="n">
        <v>4</v>
      </c>
      <c r="D147" s="25" t="inlineStr">
        <is>
          <t>Payout</t>
        </is>
      </c>
      <c r="E147" s="19" t="inlineStr">
        <is>
          <t>IQ Capital</t>
        </is>
      </c>
      <c r="F147" s="19" t="inlineStr">
        <is>
          <t>#31 Instant-Direct 100k</t>
        </is>
      </c>
      <c r="G147" s="22" t="n">
        <v>100000</v>
      </c>
      <c r="H147" s="22" t="n">
        <v>8000</v>
      </c>
      <c r="I147" s="22" t="n">
        <v>241870</v>
      </c>
      <c r="J147" s="19" t="inlineStr">
        <is>
          <t>10 % × 100,000 × split 80%</t>
        </is>
      </c>
    </row>
    <row r="148">
      <c r="A148" s="13" t="n">
        <v>147</v>
      </c>
      <c r="B148" s="14" t="n">
        <v>46408</v>
      </c>
      <c r="C148" s="15" t="n">
        <v>4</v>
      </c>
      <c r="D148" s="25" t="inlineStr">
        <is>
          <t>Payout</t>
        </is>
      </c>
      <c r="E148" s="13" t="inlineStr">
        <is>
          <t>IQ Capital</t>
        </is>
      </c>
      <c r="F148" s="13" t="inlineStr">
        <is>
          <t>#32 Instant-Direct 100k</t>
        </is>
      </c>
      <c r="G148" s="17" t="n">
        <v>100000</v>
      </c>
      <c r="H148" s="17" t="n">
        <v>8000</v>
      </c>
      <c r="I148" s="17" t="n">
        <v>249870</v>
      </c>
      <c r="J148" s="13" t="inlineStr">
        <is>
          <t>10 % × 100,000 × split 80%</t>
        </is>
      </c>
    </row>
    <row r="149">
      <c r="A149" s="19" t="n">
        <v>148</v>
      </c>
      <c r="B149" s="20" t="n">
        <v>46408</v>
      </c>
      <c r="C149" s="21" t="n">
        <v>4</v>
      </c>
      <c r="D149" s="25" t="inlineStr">
        <is>
          <t>Payout</t>
        </is>
      </c>
      <c r="E149" s="19" t="inlineStr">
        <is>
          <t>IQ Capital</t>
        </is>
      </c>
      <c r="F149" s="19" t="inlineStr">
        <is>
          <t>#33 Instant-Direct 100k</t>
        </is>
      </c>
      <c r="G149" s="22" t="n">
        <v>100000</v>
      </c>
      <c r="H149" s="22" t="n">
        <v>8000</v>
      </c>
      <c r="I149" s="22" t="n">
        <v>257870</v>
      </c>
      <c r="J149" s="19" t="inlineStr">
        <is>
          <t>10 % × 100,000 × split 80%</t>
        </is>
      </c>
    </row>
    <row r="150">
      <c r="A150" s="13" t="n">
        <v>149</v>
      </c>
      <c r="B150" s="14" t="n">
        <v>46408</v>
      </c>
      <c r="C150" s="15" t="n">
        <v>4</v>
      </c>
      <c r="D150" s="25" t="inlineStr">
        <is>
          <t>Payout</t>
        </is>
      </c>
      <c r="E150" s="13" t="inlineStr">
        <is>
          <t>IQ Capital</t>
        </is>
      </c>
      <c r="F150" s="13" t="inlineStr">
        <is>
          <t>#34 Instant-Direct 100k</t>
        </is>
      </c>
      <c r="G150" s="17" t="n">
        <v>100000</v>
      </c>
      <c r="H150" s="17" t="n">
        <v>8000</v>
      </c>
      <c r="I150" s="17" t="n">
        <v>265870</v>
      </c>
      <c r="J150" s="13" t="inlineStr">
        <is>
          <t>10 % × 100,000 × split 80%</t>
        </is>
      </c>
    </row>
    <row r="151">
      <c r="A151" s="19" t="n">
        <v>150</v>
      </c>
      <c r="B151" s="20" t="n">
        <v>46408</v>
      </c>
      <c r="C151" s="21" t="n">
        <v>4</v>
      </c>
      <c r="D151" s="25" t="inlineStr">
        <is>
          <t>Payout</t>
        </is>
      </c>
      <c r="E151" s="19" t="inlineStr">
        <is>
          <t>IQ Capital</t>
        </is>
      </c>
      <c r="F151" s="19" t="inlineStr">
        <is>
          <t>#35 Instant-Direct 100k</t>
        </is>
      </c>
      <c r="G151" s="22" t="n">
        <v>100000</v>
      </c>
      <c r="H151" s="22" t="n">
        <v>8000</v>
      </c>
      <c r="I151" s="22" t="n">
        <v>273870</v>
      </c>
      <c r="J151" s="19" t="inlineStr">
        <is>
          <t>10 % × 100,000 × split 80%</t>
        </is>
      </c>
    </row>
    <row r="152">
      <c r="A152" s="13" t="n">
        <v>151</v>
      </c>
      <c r="B152" s="14" t="n">
        <v>46408</v>
      </c>
      <c r="C152" s="15" t="n">
        <v>4</v>
      </c>
      <c r="D152" s="25" t="inlineStr">
        <is>
          <t>Payout</t>
        </is>
      </c>
      <c r="E152" s="13" t="inlineStr">
        <is>
          <t>IQ Capital</t>
        </is>
      </c>
      <c r="F152" s="13" t="inlineStr">
        <is>
          <t>#36 Instant-Direct 100k</t>
        </is>
      </c>
      <c r="G152" s="17" t="n">
        <v>100000</v>
      </c>
      <c r="H152" s="17" t="n">
        <v>8000</v>
      </c>
      <c r="I152" s="17" t="n">
        <v>281870</v>
      </c>
      <c r="J152" s="13" t="inlineStr">
        <is>
          <t>10 % × 100,000 × split 80%</t>
        </is>
      </c>
    </row>
    <row r="153">
      <c r="A153" s="19" t="n">
        <v>152</v>
      </c>
      <c r="B153" s="20" t="n">
        <v>46408</v>
      </c>
      <c r="C153" s="21" t="n">
        <v>4</v>
      </c>
      <c r="D153" s="25" t="inlineStr">
        <is>
          <t>Payout</t>
        </is>
      </c>
      <c r="E153" s="19" t="inlineStr">
        <is>
          <t>IQ Capital</t>
        </is>
      </c>
      <c r="F153" s="19" t="inlineStr">
        <is>
          <t>#37 Instant-Direct 100k</t>
        </is>
      </c>
      <c r="G153" s="22" t="n">
        <v>100000</v>
      </c>
      <c r="H153" s="22" t="n">
        <v>8000</v>
      </c>
      <c r="I153" s="22" t="n">
        <v>289870</v>
      </c>
      <c r="J153" s="19" t="inlineStr">
        <is>
          <t>10 % × 100,000 × split 80%</t>
        </is>
      </c>
    </row>
    <row r="154">
      <c r="A154" s="13" t="n">
        <v>153</v>
      </c>
      <c r="B154" s="14" t="n">
        <v>46408</v>
      </c>
      <c r="C154" s="15" t="n">
        <v>4</v>
      </c>
      <c r="D154" s="25" t="inlineStr">
        <is>
          <t>Payout</t>
        </is>
      </c>
      <c r="E154" s="13" t="inlineStr">
        <is>
          <t>IQ Capital</t>
        </is>
      </c>
      <c r="F154" s="13" t="inlineStr">
        <is>
          <t>#38 Instant-Direct 100k</t>
        </is>
      </c>
      <c r="G154" s="17" t="n">
        <v>100000</v>
      </c>
      <c r="H154" s="17" t="n">
        <v>8000</v>
      </c>
      <c r="I154" s="17" t="n">
        <v>297870</v>
      </c>
      <c r="J154" s="13" t="inlineStr">
        <is>
          <t>10 % × 100,000 × split 80%</t>
        </is>
      </c>
    </row>
    <row r="155">
      <c r="A155" s="19" t="n">
        <v>154</v>
      </c>
      <c r="B155" s="20" t="n">
        <v>46408</v>
      </c>
      <c r="C155" s="21" t="n">
        <v>4</v>
      </c>
      <c r="D155" s="25" t="inlineStr">
        <is>
          <t>Payout</t>
        </is>
      </c>
      <c r="E155" s="19" t="inlineStr">
        <is>
          <t>IQ Capital</t>
        </is>
      </c>
      <c r="F155" s="19" t="inlineStr">
        <is>
          <t>#39 Instant-Direct 100k</t>
        </is>
      </c>
      <c r="G155" s="22" t="n">
        <v>100000</v>
      </c>
      <c r="H155" s="22" t="n">
        <v>8000</v>
      </c>
      <c r="I155" s="22" t="n">
        <v>305870</v>
      </c>
      <c r="J155" s="19" t="inlineStr">
        <is>
          <t>10 % × 100,000 × split 80%</t>
        </is>
      </c>
    </row>
    <row r="156">
      <c r="A156" s="13" t="n">
        <v>155</v>
      </c>
      <c r="B156" s="14" t="n">
        <v>46408</v>
      </c>
      <c r="C156" s="15" t="n">
        <v>4</v>
      </c>
      <c r="D156" s="25" t="inlineStr">
        <is>
          <t>Payout</t>
        </is>
      </c>
      <c r="E156" s="13" t="inlineStr">
        <is>
          <t>IQ Capital</t>
        </is>
      </c>
      <c r="F156" s="13" t="inlineStr">
        <is>
          <t>#40 Instant-Direct 100k</t>
        </is>
      </c>
      <c r="G156" s="17" t="n">
        <v>100000</v>
      </c>
      <c r="H156" s="17" t="n">
        <v>8000</v>
      </c>
      <c r="I156" s="17" t="n">
        <v>313870</v>
      </c>
      <c r="J156" s="13" t="inlineStr">
        <is>
          <t>10 % × 100,000 × split 80%</t>
        </is>
      </c>
    </row>
    <row r="157">
      <c r="A157" s="19" t="n">
        <v>156</v>
      </c>
      <c r="B157" s="20" t="n">
        <v>46408</v>
      </c>
      <c r="C157" s="21" t="n">
        <v>4</v>
      </c>
      <c r="D157" s="25" t="inlineStr">
        <is>
          <t>Payout</t>
        </is>
      </c>
      <c r="E157" s="19" t="inlineStr">
        <is>
          <t>IQ Capital</t>
        </is>
      </c>
      <c r="F157" s="19" t="inlineStr">
        <is>
          <t>#41 Instant-Direct 100k</t>
        </is>
      </c>
      <c r="G157" s="22" t="n">
        <v>100000</v>
      </c>
      <c r="H157" s="22" t="n">
        <v>8000</v>
      </c>
      <c r="I157" s="22" t="n">
        <v>321870</v>
      </c>
      <c r="J157" s="19" t="inlineStr">
        <is>
          <t>10 % × 100,000 × split 80%</t>
        </is>
      </c>
    </row>
    <row r="158">
      <c r="A158" s="13" t="n">
        <v>157</v>
      </c>
      <c r="B158" s="14" t="n">
        <v>46408</v>
      </c>
      <c r="C158" s="15" t="n">
        <v>4</v>
      </c>
      <c r="D158" s="25" t="inlineStr">
        <is>
          <t>Payout</t>
        </is>
      </c>
      <c r="E158" s="13" t="inlineStr">
        <is>
          <t>IQ Capital</t>
        </is>
      </c>
      <c r="F158" s="13" t="inlineStr">
        <is>
          <t>#42 Instant-Direct 100k</t>
        </is>
      </c>
      <c r="G158" s="17" t="n">
        <v>100000</v>
      </c>
      <c r="H158" s="17" t="n">
        <v>8000</v>
      </c>
      <c r="I158" s="17" t="n">
        <v>329870</v>
      </c>
      <c r="J158" s="13" t="inlineStr">
        <is>
          <t>10 % × 100,000 × split 80%</t>
        </is>
      </c>
    </row>
    <row r="159">
      <c r="A159" s="19" t="n">
        <v>158</v>
      </c>
      <c r="B159" s="20" t="n">
        <v>46408</v>
      </c>
      <c r="C159" s="21" t="n">
        <v>4</v>
      </c>
      <c r="D159" s="25" t="inlineStr">
        <is>
          <t>Payout</t>
        </is>
      </c>
      <c r="E159" s="19" t="inlineStr">
        <is>
          <t>IQ Capital</t>
        </is>
      </c>
      <c r="F159" s="19" t="inlineStr">
        <is>
          <t>#43 Instant-Direct 100k</t>
        </is>
      </c>
      <c r="G159" s="22" t="n">
        <v>100000</v>
      </c>
      <c r="H159" s="22" t="n">
        <v>8000</v>
      </c>
      <c r="I159" s="22" t="n">
        <v>337870</v>
      </c>
      <c r="J159" s="19" t="inlineStr">
        <is>
          <t>10 % × 100,000 × split 80%</t>
        </is>
      </c>
    </row>
    <row r="160">
      <c r="A160" s="13" t="n">
        <v>159</v>
      </c>
      <c r="B160" s="14" t="n">
        <v>46408</v>
      </c>
      <c r="C160" s="15" t="n">
        <v>4</v>
      </c>
      <c r="D160" s="25" t="inlineStr">
        <is>
          <t>Payout</t>
        </is>
      </c>
      <c r="E160" s="13" t="inlineStr">
        <is>
          <t>IQ Capital</t>
        </is>
      </c>
      <c r="F160" s="13" t="inlineStr">
        <is>
          <t>#44 Instant-Direct 100k</t>
        </is>
      </c>
      <c r="G160" s="17" t="n">
        <v>100000</v>
      </c>
      <c r="H160" s="17" t="n">
        <v>8000</v>
      </c>
      <c r="I160" s="17" t="n">
        <v>345870</v>
      </c>
      <c r="J160" s="13" t="inlineStr">
        <is>
          <t>10 % × 100,000 × split 80%</t>
        </is>
      </c>
    </row>
    <row r="161">
      <c r="A161" s="19" t="n">
        <v>160</v>
      </c>
      <c r="B161" s="20" t="n">
        <v>46408</v>
      </c>
      <c r="C161" s="21" t="n">
        <v>4</v>
      </c>
      <c r="D161" s="25" t="inlineStr">
        <is>
          <t>Payout</t>
        </is>
      </c>
      <c r="E161" s="19" t="inlineStr">
        <is>
          <t>IQ Capital</t>
        </is>
      </c>
      <c r="F161" s="19" t="inlineStr">
        <is>
          <t>#45 Instant-Direct 100k</t>
        </is>
      </c>
      <c r="G161" s="22" t="n">
        <v>100000</v>
      </c>
      <c r="H161" s="22" t="n">
        <v>8000</v>
      </c>
      <c r="I161" s="22" t="n">
        <v>353870</v>
      </c>
      <c r="J161" s="19" t="inlineStr">
        <is>
          <t>10 % × 100,000 × split 80%</t>
        </is>
      </c>
    </row>
    <row r="162">
      <c r="A162" s="13" t="n">
        <v>161</v>
      </c>
      <c r="B162" s="14" t="n">
        <v>46408</v>
      </c>
      <c r="C162" s="15" t="n">
        <v>4</v>
      </c>
      <c r="D162" s="25" t="inlineStr">
        <is>
          <t>Payout</t>
        </is>
      </c>
      <c r="E162" s="13" t="inlineStr">
        <is>
          <t>Instant Funding</t>
        </is>
      </c>
      <c r="F162" s="13" t="inlineStr">
        <is>
          <t>#46 Instant-Direct 120k</t>
        </is>
      </c>
      <c r="G162" s="17" t="n">
        <v>120000</v>
      </c>
      <c r="H162" s="17" t="n">
        <v>9600</v>
      </c>
      <c r="I162" s="17" t="n">
        <v>363470</v>
      </c>
      <c r="J162" s="13" t="inlineStr">
        <is>
          <t>10 % × 120,000 × split 80%</t>
        </is>
      </c>
    </row>
    <row r="163">
      <c r="A163" s="19" t="n">
        <v>162</v>
      </c>
      <c r="B163" s="20" t="n">
        <v>46408</v>
      </c>
      <c r="C163" s="21" t="n">
        <v>4</v>
      </c>
      <c r="D163" s="25" t="inlineStr">
        <is>
          <t>Payout</t>
        </is>
      </c>
      <c r="E163" s="19" t="inlineStr">
        <is>
          <t>Instant Funding</t>
        </is>
      </c>
      <c r="F163" s="19" t="inlineStr">
        <is>
          <t>#47 Instant-Direct 120k</t>
        </is>
      </c>
      <c r="G163" s="22" t="n">
        <v>120000</v>
      </c>
      <c r="H163" s="22" t="n">
        <v>9600</v>
      </c>
      <c r="I163" s="22" t="n">
        <v>373070</v>
      </c>
      <c r="J163" s="19" t="inlineStr">
        <is>
          <t>10 % × 120,000 × split 80%</t>
        </is>
      </c>
    </row>
    <row r="164">
      <c r="A164" s="13" t="n">
        <v>163</v>
      </c>
      <c r="B164" s="14" t="n">
        <v>46408</v>
      </c>
      <c r="C164" s="15" t="n">
        <v>4</v>
      </c>
      <c r="D164" s="25" t="inlineStr">
        <is>
          <t>Payout</t>
        </is>
      </c>
      <c r="E164" s="13" t="inlineStr">
        <is>
          <t>Instant Funding</t>
        </is>
      </c>
      <c r="F164" s="13" t="inlineStr">
        <is>
          <t>#48 Instant-Direct 120k</t>
        </is>
      </c>
      <c r="G164" s="17" t="n">
        <v>120000</v>
      </c>
      <c r="H164" s="17" t="n">
        <v>9600</v>
      </c>
      <c r="I164" s="17" t="n">
        <v>382670</v>
      </c>
      <c r="J164" s="13" t="inlineStr">
        <is>
          <t>10 % × 120,000 × split 80%</t>
        </is>
      </c>
    </row>
    <row r="165">
      <c r="A165" s="19" t="n">
        <v>164</v>
      </c>
      <c r="B165" s="20" t="n">
        <v>46408</v>
      </c>
      <c r="C165" s="21" t="n">
        <v>4</v>
      </c>
      <c r="D165" s="25" t="inlineStr">
        <is>
          <t>Payout</t>
        </is>
      </c>
      <c r="E165" s="19" t="inlineStr">
        <is>
          <t>Audacity Capital</t>
        </is>
      </c>
      <c r="F165" s="19" t="inlineStr">
        <is>
          <t>#49 Instant-Direct 50k</t>
        </is>
      </c>
      <c r="G165" s="22" t="n">
        <v>50000</v>
      </c>
      <c r="H165" s="22" t="n">
        <v>4500</v>
      </c>
      <c r="I165" s="22" t="n">
        <v>387170</v>
      </c>
      <c r="J165" s="19" t="inlineStr">
        <is>
          <t>10 % × 50,000 × split 90%</t>
        </is>
      </c>
    </row>
    <row r="166">
      <c r="A166" s="13" t="n">
        <v>165</v>
      </c>
      <c r="B166" s="14" t="n">
        <v>46408</v>
      </c>
      <c r="C166" s="15" t="n">
        <v>4</v>
      </c>
      <c r="D166" s="25" t="inlineStr">
        <is>
          <t>Payout</t>
        </is>
      </c>
      <c r="E166" s="13" t="inlineStr">
        <is>
          <t>Crypto Fund Trader</t>
        </is>
      </c>
      <c r="F166" s="13" t="inlineStr">
        <is>
          <t>#50 Instant-Direct 10k</t>
        </is>
      </c>
      <c r="G166" s="17" t="n">
        <v>10000</v>
      </c>
      <c r="H166" s="17" t="n">
        <v>800</v>
      </c>
      <c r="I166" s="17" t="n">
        <v>387970</v>
      </c>
      <c r="J166" s="13" t="inlineStr">
        <is>
          <t>10 % × 10,000 × split 80%</t>
        </is>
      </c>
    </row>
    <row r="167">
      <c r="A167" s="19" t="n">
        <v>166</v>
      </c>
      <c r="B167" s="20" t="n">
        <v>46408</v>
      </c>
      <c r="C167" s="21" t="n">
        <v>4</v>
      </c>
      <c r="D167" s="26" t="inlineStr">
        <is>
          <t>Achat challenge</t>
        </is>
      </c>
      <c r="E167" s="19" t="inlineStr">
        <is>
          <t>Instant Funding</t>
        </is>
      </c>
      <c r="F167" s="19" t="inlineStr">
        <is>
          <t>#51 Instant-Direct 120k</t>
        </is>
      </c>
      <c r="G167" s="22" t="n">
        <v>120000</v>
      </c>
      <c r="H167" s="22" t="n">
        <v>-5499</v>
      </c>
      <c r="I167" s="22" t="n">
        <v>382471</v>
      </c>
      <c r="J167" s="19" t="inlineStr">
        <is>
          <t>Groupe A – rang 3 – financement prévu le 21/01/2027 (instant)</t>
        </is>
      </c>
    </row>
    <row r="168">
      <c r="A168" s="13" t="n">
        <v>167</v>
      </c>
      <c r="B168" s="14" t="n">
        <v>46408</v>
      </c>
      <c r="C168" s="15" t="n">
        <v>4</v>
      </c>
      <c r="D168" s="26" t="inlineStr">
        <is>
          <t>Achat challenge</t>
        </is>
      </c>
      <c r="E168" s="13" t="inlineStr">
        <is>
          <t>Instant Funding</t>
        </is>
      </c>
      <c r="F168" s="13" t="inlineStr">
        <is>
          <t>#52 Instant-Direct 120k</t>
        </is>
      </c>
      <c r="G168" s="17" t="n">
        <v>120000</v>
      </c>
      <c r="H168" s="17" t="n">
        <v>-5499</v>
      </c>
      <c r="I168" s="17" t="n">
        <v>376972</v>
      </c>
      <c r="J168" s="13" t="inlineStr">
        <is>
          <t>Groupe A – rang 3 – financement prévu le 21/01/2027 (instant)</t>
        </is>
      </c>
    </row>
    <row r="169">
      <c r="A169" s="19" t="n">
        <v>168</v>
      </c>
      <c r="B169" s="20" t="n">
        <v>46408</v>
      </c>
      <c r="C169" s="21" t="n">
        <v>4</v>
      </c>
      <c r="D169" s="26" t="inlineStr">
        <is>
          <t>Achat challenge</t>
        </is>
      </c>
      <c r="E169" s="19" t="inlineStr">
        <is>
          <t>Instant Funding</t>
        </is>
      </c>
      <c r="F169" s="19" t="inlineStr">
        <is>
          <t>#53 Instant-Direct 120k</t>
        </is>
      </c>
      <c r="G169" s="22" t="n">
        <v>120000</v>
      </c>
      <c r="H169" s="22" t="n">
        <v>-5499</v>
      </c>
      <c r="I169" s="22" t="n">
        <v>371473</v>
      </c>
      <c r="J169" s="19" t="inlineStr">
        <is>
          <t>Groupe A – rang 3 – financement prévu le 21/01/2027 (instant)</t>
        </is>
      </c>
    </row>
    <row r="170">
      <c r="A170" s="13" t="n">
        <v>169</v>
      </c>
      <c r="B170" s="14" t="n">
        <v>46408</v>
      </c>
      <c r="C170" s="15" t="n">
        <v>4</v>
      </c>
      <c r="D170" s="26" t="inlineStr">
        <is>
          <t>Achat challenge</t>
        </is>
      </c>
      <c r="E170" s="13" t="inlineStr">
        <is>
          <t>Instant Funding</t>
        </is>
      </c>
      <c r="F170" s="13" t="inlineStr">
        <is>
          <t>#54 Instant-Direct 120k</t>
        </is>
      </c>
      <c r="G170" s="17" t="n">
        <v>120000</v>
      </c>
      <c r="H170" s="17" t="n">
        <v>-5499</v>
      </c>
      <c r="I170" s="17" t="n">
        <v>365974</v>
      </c>
      <c r="J170" s="13" t="inlineStr">
        <is>
          <t>Groupe A – rang 3 – financement prévu le 21/01/2027 (instant)</t>
        </is>
      </c>
    </row>
    <row r="171">
      <c r="A171" s="19" t="n">
        <v>170</v>
      </c>
      <c r="B171" s="20" t="n">
        <v>46408</v>
      </c>
      <c r="C171" s="21" t="n">
        <v>4</v>
      </c>
      <c r="D171" s="26" t="inlineStr">
        <is>
          <t>Achat challenge</t>
        </is>
      </c>
      <c r="E171" s="19" t="inlineStr">
        <is>
          <t>Instant Funding</t>
        </is>
      </c>
      <c r="F171" s="19" t="inlineStr">
        <is>
          <t>#55 Instant-Direct 120k</t>
        </is>
      </c>
      <c r="G171" s="22" t="n">
        <v>120000</v>
      </c>
      <c r="H171" s="22" t="n">
        <v>-5499</v>
      </c>
      <c r="I171" s="22" t="n">
        <v>360475</v>
      </c>
      <c r="J171" s="19" t="inlineStr">
        <is>
          <t>Groupe A – rang 3 – financement prévu le 21/01/2027 (instant)</t>
        </is>
      </c>
    </row>
    <row r="172">
      <c r="A172" s="13" t="n">
        <v>171</v>
      </c>
      <c r="B172" s="14" t="n">
        <v>46408</v>
      </c>
      <c r="C172" s="15" t="n">
        <v>4</v>
      </c>
      <c r="D172" s="26" t="inlineStr">
        <is>
          <t>Achat challenge</t>
        </is>
      </c>
      <c r="E172" s="13" t="inlineStr">
        <is>
          <t>Kickstart Trading</t>
        </is>
      </c>
      <c r="F172" s="13" t="inlineStr">
        <is>
          <t>#56 Instant-Direct 100k</t>
        </is>
      </c>
      <c r="G172" s="17" t="n">
        <v>100000</v>
      </c>
      <c r="H172" s="17" t="n">
        <v>-5000</v>
      </c>
      <c r="I172" s="17" t="n">
        <v>355475</v>
      </c>
      <c r="J172" s="13" t="inlineStr">
        <is>
          <t>Groupe A – rang 4 – financement prévu le 21/01/2027 (instant)</t>
        </is>
      </c>
    </row>
    <row r="173">
      <c r="A173" s="19" t="n">
        <v>172</v>
      </c>
      <c r="B173" s="20" t="n">
        <v>46408</v>
      </c>
      <c r="C173" s="21" t="n">
        <v>4</v>
      </c>
      <c r="D173" s="26" t="inlineStr">
        <is>
          <t>Achat challenge</t>
        </is>
      </c>
      <c r="E173" s="19" t="inlineStr">
        <is>
          <t>Kickstart Trading</t>
        </is>
      </c>
      <c r="F173" s="19" t="inlineStr">
        <is>
          <t>#57 Instant-Direct 100k</t>
        </is>
      </c>
      <c r="G173" s="22" t="n">
        <v>100000</v>
      </c>
      <c r="H173" s="22" t="n">
        <v>-5000</v>
      </c>
      <c r="I173" s="22" t="n">
        <v>350475</v>
      </c>
      <c r="J173" s="19" t="inlineStr">
        <is>
          <t>Groupe A – rang 4 – financement prévu le 21/01/2027 (instant)</t>
        </is>
      </c>
    </row>
    <row r="174">
      <c r="A174" s="13" t="n">
        <v>173</v>
      </c>
      <c r="B174" s="14" t="n">
        <v>46408</v>
      </c>
      <c r="C174" s="15" t="n">
        <v>4</v>
      </c>
      <c r="D174" s="26" t="inlineStr">
        <is>
          <t>Achat challenge</t>
        </is>
      </c>
      <c r="E174" s="13" t="inlineStr">
        <is>
          <t>Kickstart Trading</t>
        </is>
      </c>
      <c r="F174" s="13" t="inlineStr">
        <is>
          <t>#58 Instant-Direct 100k</t>
        </is>
      </c>
      <c r="G174" s="17" t="n">
        <v>100000</v>
      </c>
      <c r="H174" s="17" t="n">
        <v>-5000</v>
      </c>
      <c r="I174" s="17" t="n">
        <v>345475</v>
      </c>
      <c r="J174" s="13" t="inlineStr">
        <is>
          <t>Groupe A – rang 4 – financement prévu le 21/01/2027 (instant)</t>
        </is>
      </c>
    </row>
    <row r="175">
      <c r="A175" s="19" t="n">
        <v>174</v>
      </c>
      <c r="B175" s="20" t="n">
        <v>46408</v>
      </c>
      <c r="C175" s="21" t="n">
        <v>4</v>
      </c>
      <c r="D175" s="26" t="inlineStr">
        <is>
          <t>Achat challenge</t>
        </is>
      </c>
      <c r="E175" s="19" t="inlineStr">
        <is>
          <t>Kickstart Trading</t>
        </is>
      </c>
      <c r="F175" s="19" t="inlineStr">
        <is>
          <t>#59 Instant-Direct 100k</t>
        </is>
      </c>
      <c r="G175" s="22" t="n">
        <v>100000</v>
      </c>
      <c r="H175" s="22" t="n">
        <v>-5000</v>
      </c>
      <c r="I175" s="22" t="n">
        <v>340475</v>
      </c>
      <c r="J175" s="19" t="inlineStr">
        <is>
          <t>Groupe A – rang 4 – financement prévu le 21/01/2027 (instant)</t>
        </is>
      </c>
    </row>
    <row r="176">
      <c r="A176" s="13" t="n">
        <v>175</v>
      </c>
      <c r="B176" s="14" t="n">
        <v>46408</v>
      </c>
      <c r="C176" s="15" t="n">
        <v>4</v>
      </c>
      <c r="D176" s="26" t="inlineStr">
        <is>
          <t>Achat challenge</t>
        </is>
      </c>
      <c r="E176" s="13" t="inlineStr">
        <is>
          <t>Kickstart Trading</t>
        </is>
      </c>
      <c r="F176" s="13" t="inlineStr">
        <is>
          <t>#60 Instant-Direct 100k</t>
        </is>
      </c>
      <c r="G176" s="17" t="n">
        <v>100000</v>
      </c>
      <c r="H176" s="17" t="n">
        <v>-5000</v>
      </c>
      <c r="I176" s="17" t="n">
        <v>335475</v>
      </c>
      <c r="J176" s="13" t="inlineStr">
        <is>
          <t>Groupe A – rang 4 – financement prévu le 21/01/2027 (instant)</t>
        </is>
      </c>
    </row>
    <row r="177">
      <c r="A177" s="19" t="n">
        <v>176</v>
      </c>
      <c r="B177" s="20" t="n">
        <v>46408</v>
      </c>
      <c r="C177" s="21" t="n">
        <v>4</v>
      </c>
      <c r="D177" s="26" t="inlineStr">
        <is>
          <t>Achat challenge</t>
        </is>
      </c>
      <c r="E177" s="19" t="inlineStr">
        <is>
          <t>Kickstart Trading</t>
        </is>
      </c>
      <c r="F177" s="19" t="inlineStr">
        <is>
          <t>#61 Instant-Direct 100k</t>
        </is>
      </c>
      <c r="G177" s="22" t="n">
        <v>100000</v>
      </c>
      <c r="H177" s="22" t="n">
        <v>-5000</v>
      </c>
      <c r="I177" s="22" t="n">
        <v>330475</v>
      </c>
      <c r="J177" s="19" t="inlineStr">
        <is>
          <t>Groupe A – rang 4 – financement prévu le 21/01/2027 (instant)</t>
        </is>
      </c>
    </row>
    <row r="178">
      <c r="A178" s="13" t="n">
        <v>177</v>
      </c>
      <c r="B178" s="14" t="n">
        <v>46408</v>
      </c>
      <c r="C178" s="15" t="n">
        <v>4</v>
      </c>
      <c r="D178" s="26" t="inlineStr">
        <is>
          <t>Achat challenge</t>
        </is>
      </c>
      <c r="E178" s="13" t="inlineStr">
        <is>
          <t>Kickstart Trading</t>
        </is>
      </c>
      <c r="F178" s="13" t="inlineStr">
        <is>
          <t>#62 Instant-Direct 100k</t>
        </is>
      </c>
      <c r="G178" s="17" t="n">
        <v>100000</v>
      </c>
      <c r="H178" s="17" t="n">
        <v>-5000</v>
      </c>
      <c r="I178" s="17" t="n">
        <v>325475</v>
      </c>
      <c r="J178" s="13" t="inlineStr">
        <is>
          <t>Groupe A – rang 4 – financement prévu le 21/01/2027 (instant)</t>
        </is>
      </c>
    </row>
    <row r="179">
      <c r="A179" s="19" t="n">
        <v>178</v>
      </c>
      <c r="B179" s="20" t="n">
        <v>46408</v>
      </c>
      <c r="C179" s="21" t="n">
        <v>4</v>
      </c>
      <c r="D179" s="26" t="inlineStr">
        <is>
          <t>Achat challenge</t>
        </is>
      </c>
      <c r="E179" s="19" t="inlineStr">
        <is>
          <t>Kickstart Trading</t>
        </is>
      </c>
      <c r="F179" s="19" t="inlineStr">
        <is>
          <t>#63 Instant-Direct 100k</t>
        </is>
      </c>
      <c r="G179" s="22" t="n">
        <v>100000</v>
      </c>
      <c r="H179" s="22" t="n">
        <v>-5000</v>
      </c>
      <c r="I179" s="22" t="n">
        <v>320475</v>
      </c>
      <c r="J179" s="19" t="inlineStr">
        <is>
          <t>Groupe A – rang 4 – financement prévu le 21/01/2027 (instant)</t>
        </is>
      </c>
    </row>
    <row r="180">
      <c r="A180" s="13" t="n">
        <v>179</v>
      </c>
      <c r="B180" s="14" t="n">
        <v>46408</v>
      </c>
      <c r="C180" s="15" t="n">
        <v>4</v>
      </c>
      <c r="D180" s="26" t="inlineStr">
        <is>
          <t>Achat challenge</t>
        </is>
      </c>
      <c r="E180" s="13" t="inlineStr">
        <is>
          <t>Kickstart Trading</t>
        </is>
      </c>
      <c r="F180" s="13" t="inlineStr">
        <is>
          <t>#64 Instant-Direct 100k</t>
        </is>
      </c>
      <c r="G180" s="17" t="n">
        <v>100000</v>
      </c>
      <c r="H180" s="17" t="n">
        <v>-5000</v>
      </c>
      <c r="I180" s="17" t="n">
        <v>315475</v>
      </c>
      <c r="J180" s="13" t="inlineStr">
        <is>
          <t>Groupe A – rang 4 – financement prévu le 21/01/2027 (instant)</t>
        </is>
      </c>
    </row>
    <row r="181">
      <c r="A181" s="19" t="n">
        <v>180</v>
      </c>
      <c r="B181" s="20" t="n">
        <v>46408</v>
      </c>
      <c r="C181" s="21" t="n">
        <v>4</v>
      </c>
      <c r="D181" s="26" t="inlineStr">
        <is>
          <t>Achat challenge</t>
        </is>
      </c>
      <c r="E181" s="19" t="inlineStr">
        <is>
          <t>Kickstart Trading</t>
        </is>
      </c>
      <c r="F181" s="19" t="inlineStr">
        <is>
          <t>#65 Instant-Direct 100k</t>
        </is>
      </c>
      <c r="G181" s="22" t="n">
        <v>100000</v>
      </c>
      <c r="H181" s="22" t="n">
        <v>-5000</v>
      </c>
      <c r="I181" s="22" t="n">
        <v>310475</v>
      </c>
      <c r="J181" s="19" t="inlineStr">
        <is>
          <t>Groupe A – rang 4 – financement prévu le 21/01/2027 (instant)</t>
        </is>
      </c>
    </row>
    <row r="182">
      <c r="A182" s="13" t="n">
        <v>181</v>
      </c>
      <c r="B182" s="14" t="n">
        <v>46408</v>
      </c>
      <c r="C182" s="15" t="n">
        <v>4</v>
      </c>
      <c r="D182" s="26" t="inlineStr">
        <is>
          <t>Achat challenge</t>
        </is>
      </c>
      <c r="E182" s="13" t="inlineStr">
        <is>
          <t>Audacity Capital</t>
        </is>
      </c>
      <c r="F182" s="13" t="inlineStr">
        <is>
          <t>#66 Instant-Direct 50k</t>
        </is>
      </c>
      <c r="G182" s="17" t="n">
        <v>50000</v>
      </c>
      <c r="H182" s="17" t="n">
        <v>-1299</v>
      </c>
      <c r="I182" s="17" t="n">
        <v>309176</v>
      </c>
      <c r="J182" s="13" t="inlineStr">
        <is>
          <t>Groupe A – rang 5 – financement prévu le 21/01/2027 (instant)</t>
        </is>
      </c>
    </row>
    <row r="183">
      <c r="A183" s="19" t="n">
        <v>182</v>
      </c>
      <c r="B183" s="20" t="n">
        <v>46408</v>
      </c>
      <c r="C183" s="21" t="n">
        <v>4</v>
      </c>
      <c r="D183" s="26" t="inlineStr">
        <is>
          <t>Achat challenge</t>
        </is>
      </c>
      <c r="E183" s="19" t="inlineStr">
        <is>
          <t>Audacity Capital</t>
        </is>
      </c>
      <c r="F183" s="19" t="inlineStr">
        <is>
          <t>#67 Instant-Direct 50k</t>
        </is>
      </c>
      <c r="G183" s="22" t="n">
        <v>50000</v>
      </c>
      <c r="H183" s="22" t="n">
        <v>-1299</v>
      </c>
      <c r="I183" s="22" t="n">
        <v>307877</v>
      </c>
      <c r="J183" s="19" t="inlineStr">
        <is>
          <t>Groupe A – rang 5 – financement prévu le 21/01/2027 (instant)</t>
        </is>
      </c>
    </row>
    <row r="184">
      <c r="A184" s="13" t="n">
        <v>183</v>
      </c>
      <c r="B184" s="14" t="n">
        <v>46408</v>
      </c>
      <c r="C184" s="15" t="n">
        <v>4</v>
      </c>
      <c r="D184" s="26" t="inlineStr">
        <is>
          <t>Achat challenge</t>
        </is>
      </c>
      <c r="E184" s="13" t="inlineStr">
        <is>
          <t>Audacity Capital</t>
        </is>
      </c>
      <c r="F184" s="13" t="inlineStr">
        <is>
          <t>#68 Instant-Direct 50k</t>
        </is>
      </c>
      <c r="G184" s="17" t="n">
        <v>50000</v>
      </c>
      <c r="H184" s="17" t="n">
        <v>-1299</v>
      </c>
      <c r="I184" s="17" t="n">
        <v>306578</v>
      </c>
      <c r="J184" s="13" t="inlineStr">
        <is>
          <t>Groupe A – rang 5 – financement prévu le 21/01/2027 (instant)</t>
        </is>
      </c>
    </row>
    <row r="185">
      <c r="A185" s="19" t="n">
        <v>184</v>
      </c>
      <c r="B185" s="20" t="n">
        <v>46408</v>
      </c>
      <c r="C185" s="21" t="n">
        <v>4</v>
      </c>
      <c r="D185" s="26" t="inlineStr">
        <is>
          <t>Achat challenge</t>
        </is>
      </c>
      <c r="E185" s="19" t="inlineStr">
        <is>
          <t>Audacity Capital</t>
        </is>
      </c>
      <c r="F185" s="19" t="inlineStr">
        <is>
          <t>#69 Instant-Direct 50k</t>
        </is>
      </c>
      <c r="G185" s="22" t="n">
        <v>50000</v>
      </c>
      <c r="H185" s="22" t="n">
        <v>-1299</v>
      </c>
      <c r="I185" s="22" t="n">
        <v>305279</v>
      </c>
      <c r="J185" s="19" t="inlineStr">
        <is>
          <t>Groupe A – rang 5 – financement prévu le 21/01/2027 (instant)</t>
        </is>
      </c>
    </row>
    <row r="186">
      <c r="A186" s="13" t="n">
        <v>185</v>
      </c>
      <c r="B186" s="14" t="n">
        <v>46408</v>
      </c>
      <c r="C186" s="15" t="n">
        <v>4</v>
      </c>
      <c r="D186" s="26" t="inlineStr">
        <is>
          <t>Achat challenge</t>
        </is>
      </c>
      <c r="E186" s="13" t="inlineStr">
        <is>
          <t>Audacity Capital</t>
        </is>
      </c>
      <c r="F186" s="13" t="inlineStr">
        <is>
          <t>#70 Instant-Direct 50k</t>
        </is>
      </c>
      <c r="G186" s="17" t="n">
        <v>50000</v>
      </c>
      <c r="H186" s="17" t="n">
        <v>-1299</v>
      </c>
      <c r="I186" s="17" t="n">
        <v>303980</v>
      </c>
      <c r="J186" s="13" t="inlineStr">
        <is>
          <t>Groupe A – rang 5 – financement prévu le 21/01/2027 (instant)</t>
        </is>
      </c>
    </row>
    <row r="187">
      <c r="A187" s="19" t="n">
        <v>186</v>
      </c>
      <c r="B187" s="20" t="n">
        <v>46408</v>
      </c>
      <c r="C187" s="21" t="n">
        <v>4</v>
      </c>
      <c r="D187" s="26" t="inlineStr">
        <is>
          <t>Achat challenge</t>
        </is>
      </c>
      <c r="E187" s="19" t="inlineStr">
        <is>
          <t>Audacity Capital</t>
        </is>
      </c>
      <c r="F187" s="19" t="inlineStr">
        <is>
          <t>#71 Instant-Direct 50k</t>
        </is>
      </c>
      <c r="G187" s="22" t="n">
        <v>50000</v>
      </c>
      <c r="H187" s="22" t="n">
        <v>-1299</v>
      </c>
      <c r="I187" s="22" t="n">
        <v>302681</v>
      </c>
      <c r="J187" s="19" t="inlineStr">
        <is>
          <t>Groupe A – rang 5 – financement prévu le 21/01/2027 (instant)</t>
        </is>
      </c>
    </row>
    <row r="188">
      <c r="A188" s="13" t="n">
        <v>187</v>
      </c>
      <c r="B188" s="14" t="n">
        <v>46408</v>
      </c>
      <c r="C188" s="15" t="n">
        <v>4</v>
      </c>
      <c r="D188" s="26" t="inlineStr">
        <is>
          <t>Achat challenge</t>
        </is>
      </c>
      <c r="E188" s="13" t="inlineStr">
        <is>
          <t>Audacity Capital</t>
        </is>
      </c>
      <c r="F188" s="13" t="inlineStr">
        <is>
          <t>#72 Instant-Direct 50k</t>
        </is>
      </c>
      <c r="G188" s="17" t="n">
        <v>50000</v>
      </c>
      <c r="H188" s="17" t="n">
        <v>-1299</v>
      </c>
      <c r="I188" s="17" t="n">
        <v>301382</v>
      </c>
      <c r="J188" s="13" t="inlineStr">
        <is>
          <t>Groupe A – rang 5 – financement prévu le 21/01/2027 (instant)</t>
        </is>
      </c>
    </row>
    <row r="189">
      <c r="A189" s="19" t="n">
        <v>188</v>
      </c>
      <c r="B189" s="20" t="n">
        <v>46408</v>
      </c>
      <c r="C189" s="21" t="n">
        <v>4</v>
      </c>
      <c r="D189" s="26" t="inlineStr">
        <is>
          <t>Achat challenge</t>
        </is>
      </c>
      <c r="E189" s="19" t="inlineStr">
        <is>
          <t>Audacity Capital</t>
        </is>
      </c>
      <c r="F189" s="19" t="inlineStr">
        <is>
          <t>#73 Instant-Direct 50k</t>
        </is>
      </c>
      <c r="G189" s="22" t="n">
        <v>50000</v>
      </c>
      <c r="H189" s="22" t="n">
        <v>-1299</v>
      </c>
      <c r="I189" s="22" t="n">
        <v>300083</v>
      </c>
      <c r="J189" s="19" t="inlineStr">
        <is>
          <t>Groupe A – rang 5 – financement prévu le 21/01/2027 (instant)</t>
        </is>
      </c>
    </row>
    <row r="190">
      <c r="A190" s="13" t="n">
        <v>189</v>
      </c>
      <c r="B190" s="14" t="n">
        <v>46408</v>
      </c>
      <c r="C190" s="15" t="n">
        <v>4</v>
      </c>
      <c r="D190" s="26" t="inlineStr">
        <is>
          <t>Achat challenge</t>
        </is>
      </c>
      <c r="E190" s="13" t="inlineStr">
        <is>
          <t>Audacity Capital</t>
        </is>
      </c>
      <c r="F190" s="13" t="inlineStr">
        <is>
          <t>#74 Instant-Direct 50k</t>
        </is>
      </c>
      <c r="G190" s="17" t="n">
        <v>50000</v>
      </c>
      <c r="H190" s="17" t="n">
        <v>-1299</v>
      </c>
      <c r="I190" s="17" t="n">
        <v>298784</v>
      </c>
      <c r="J190" s="13" t="inlineStr">
        <is>
          <t>Groupe A – rang 5 – financement prévu le 21/01/2027 (instant)</t>
        </is>
      </c>
    </row>
    <row r="191">
      <c r="A191" s="19" t="n">
        <v>190</v>
      </c>
      <c r="B191" s="20" t="n">
        <v>46408</v>
      </c>
      <c r="C191" s="21" t="n">
        <v>4</v>
      </c>
      <c r="D191" s="26" t="inlineStr">
        <is>
          <t>Achat challenge</t>
        </is>
      </c>
      <c r="E191" s="19" t="inlineStr">
        <is>
          <t>Audacity Capital</t>
        </is>
      </c>
      <c r="F191" s="19" t="inlineStr">
        <is>
          <t>#75 Instant-Direct 50k</t>
        </is>
      </c>
      <c r="G191" s="22" t="n">
        <v>50000</v>
      </c>
      <c r="H191" s="22" t="n">
        <v>-1299</v>
      </c>
      <c r="I191" s="22" t="n">
        <v>297485</v>
      </c>
      <c r="J191" s="19" t="inlineStr">
        <is>
          <t>Groupe A – rang 5 – financement prévu le 21/01/2027 (instant)</t>
        </is>
      </c>
    </row>
    <row r="192">
      <c r="A192" s="13" t="n">
        <v>191</v>
      </c>
      <c r="B192" s="14" t="n">
        <v>46408</v>
      </c>
      <c r="C192" s="15" t="n">
        <v>4</v>
      </c>
      <c r="D192" s="26" t="inlineStr">
        <is>
          <t>Achat challenge</t>
        </is>
      </c>
      <c r="E192" s="13" t="inlineStr">
        <is>
          <t>Audacity Capital</t>
        </is>
      </c>
      <c r="F192" s="13" t="inlineStr">
        <is>
          <t>#76 Instant-Direct 50k</t>
        </is>
      </c>
      <c r="G192" s="17" t="n">
        <v>50000</v>
      </c>
      <c r="H192" s="17" t="n">
        <v>-1299</v>
      </c>
      <c r="I192" s="17" t="n">
        <v>296186</v>
      </c>
      <c r="J192" s="13" t="inlineStr">
        <is>
          <t>Groupe A – rang 5 – financement prévu le 21/01/2027 (instant)</t>
        </is>
      </c>
    </row>
    <row r="193">
      <c r="A193" s="19" t="n">
        <v>192</v>
      </c>
      <c r="B193" s="20" t="n">
        <v>46408</v>
      </c>
      <c r="C193" s="21" t="n">
        <v>4</v>
      </c>
      <c r="D193" s="26" t="inlineStr">
        <is>
          <t>Achat challenge</t>
        </is>
      </c>
      <c r="E193" s="19" t="inlineStr">
        <is>
          <t>Audacity Capital</t>
        </is>
      </c>
      <c r="F193" s="19" t="inlineStr">
        <is>
          <t>#77 Instant-Direct 50k</t>
        </is>
      </c>
      <c r="G193" s="22" t="n">
        <v>50000</v>
      </c>
      <c r="H193" s="22" t="n">
        <v>-1299</v>
      </c>
      <c r="I193" s="22" t="n">
        <v>294887</v>
      </c>
      <c r="J193" s="19" t="inlineStr">
        <is>
          <t>Groupe A – rang 5 – financement prévu le 21/01/2027 (instant)</t>
        </is>
      </c>
    </row>
    <row r="194">
      <c r="A194" s="13" t="n">
        <v>193</v>
      </c>
      <c r="B194" s="14" t="n">
        <v>46408</v>
      </c>
      <c r="C194" s="15" t="n">
        <v>4</v>
      </c>
      <c r="D194" s="26" t="inlineStr">
        <is>
          <t>Achat challenge</t>
        </is>
      </c>
      <c r="E194" s="13" t="inlineStr">
        <is>
          <t>Audacity Capital</t>
        </is>
      </c>
      <c r="F194" s="13" t="inlineStr">
        <is>
          <t>#78 Instant-Direct 50k</t>
        </is>
      </c>
      <c r="G194" s="17" t="n">
        <v>50000</v>
      </c>
      <c r="H194" s="17" t="n">
        <v>-1299</v>
      </c>
      <c r="I194" s="17" t="n">
        <v>293588</v>
      </c>
      <c r="J194" s="13" t="inlineStr">
        <is>
          <t>Groupe A – rang 5 – financement prévu le 21/01/2027 (instant)</t>
        </is>
      </c>
    </row>
    <row r="195">
      <c r="A195" s="19" t="n">
        <v>194</v>
      </c>
      <c r="B195" s="20" t="n">
        <v>46408</v>
      </c>
      <c r="C195" s="21" t="n">
        <v>4</v>
      </c>
      <c r="D195" s="26" t="inlineStr">
        <is>
          <t>Achat challenge</t>
        </is>
      </c>
      <c r="E195" s="19" t="inlineStr">
        <is>
          <t>Fill88</t>
        </is>
      </c>
      <c r="F195" s="19" t="inlineStr">
        <is>
          <t>#79 Instant-Direct 100k</t>
        </is>
      </c>
      <c r="G195" s="22" t="n">
        <v>100000</v>
      </c>
      <c r="H195" s="22" t="n">
        <v>-3699</v>
      </c>
      <c r="I195" s="22" t="n">
        <v>289889</v>
      </c>
      <c r="J195" s="19" t="inlineStr">
        <is>
          <t>Groupe A – rang 6 – financement prévu le 21/01/2027 (instant)</t>
        </is>
      </c>
    </row>
    <row r="196">
      <c r="A196" s="13" t="n">
        <v>195</v>
      </c>
      <c r="B196" s="14" t="n">
        <v>46408</v>
      </c>
      <c r="C196" s="15" t="n">
        <v>4</v>
      </c>
      <c r="D196" s="26" t="inlineStr">
        <is>
          <t>Achat challenge</t>
        </is>
      </c>
      <c r="E196" s="13" t="inlineStr">
        <is>
          <t>Fill88</t>
        </is>
      </c>
      <c r="F196" s="13" t="inlineStr">
        <is>
          <t>#80 Instant-Direct 100k</t>
        </is>
      </c>
      <c r="G196" s="17" t="n">
        <v>100000</v>
      </c>
      <c r="H196" s="17" t="n">
        <v>-3699</v>
      </c>
      <c r="I196" s="17" t="n">
        <v>286190</v>
      </c>
      <c r="J196" s="13" t="inlineStr">
        <is>
          <t>Groupe A – rang 6 – financement prévu le 21/01/2027 (instant)</t>
        </is>
      </c>
    </row>
    <row r="197">
      <c r="A197" s="19" t="n">
        <v>196</v>
      </c>
      <c r="B197" s="20" t="n">
        <v>46408</v>
      </c>
      <c r="C197" s="21" t="n">
        <v>4</v>
      </c>
      <c r="D197" s="26" t="inlineStr">
        <is>
          <t>Achat challenge</t>
        </is>
      </c>
      <c r="E197" s="19" t="inlineStr">
        <is>
          <t>Fill88</t>
        </is>
      </c>
      <c r="F197" s="19" t="inlineStr">
        <is>
          <t>#81 Instant-Direct 100k</t>
        </is>
      </c>
      <c r="G197" s="22" t="n">
        <v>100000</v>
      </c>
      <c r="H197" s="22" t="n">
        <v>-3699</v>
      </c>
      <c r="I197" s="22" t="n">
        <v>282491</v>
      </c>
      <c r="J197" s="19" t="inlineStr">
        <is>
          <t>Groupe A – rang 6 – financement prévu le 21/01/2027 (instant)</t>
        </is>
      </c>
    </row>
    <row r="198">
      <c r="A198" s="13" t="n">
        <v>197</v>
      </c>
      <c r="B198" s="14" t="n">
        <v>46408</v>
      </c>
      <c r="C198" s="15" t="n">
        <v>4</v>
      </c>
      <c r="D198" s="26" t="inlineStr">
        <is>
          <t>Achat challenge</t>
        </is>
      </c>
      <c r="E198" s="13" t="inlineStr">
        <is>
          <t>Fill88</t>
        </is>
      </c>
      <c r="F198" s="13" t="inlineStr">
        <is>
          <t>#82 Instant-Direct 100k</t>
        </is>
      </c>
      <c r="G198" s="17" t="n">
        <v>100000</v>
      </c>
      <c r="H198" s="17" t="n">
        <v>-3699</v>
      </c>
      <c r="I198" s="17" t="n">
        <v>278792</v>
      </c>
      <c r="J198" s="13" t="inlineStr">
        <is>
          <t>Groupe A – rang 6 – financement prévu le 21/01/2027 (instant)</t>
        </is>
      </c>
    </row>
    <row r="199">
      <c r="A199" s="19" t="n">
        <v>198</v>
      </c>
      <c r="B199" s="20" t="n">
        <v>46408</v>
      </c>
      <c r="C199" s="21" t="n">
        <v>4</v>
      </c>
      <c r="D199" s="26" t="inlineStr">
        <is>
          <t>Achat challenge</t>
        </is>
      </c>
      <c r="E199" s="19" t="inlineStr">
        <is>
          <t>Fill88</t>
        </is>
      </c>
      <c r="F199" s="19" t="inlineStr">
        <is>
          <t>#83 Instant-Direct 100k</t>
        </is>
      </c>
      <c r="G199" s="22" t="n">
        <v>100000</v>
      </c>
      <c r="H199" s="22" t="n">
        <v>-3699</v>
      </c>
      <c r="I199" s="22" t="n">
        <v>275093</v>
      </c>
      <c r="J199" s="19" t="inlineStr">
        <is>
          <t>Groupe A – rang 6 – financement prévu le 21/01/2027 (instant)</t>
        </is>
      </c>
    </row>
    <row r="200">
      <c r="A200" s="13" t="n">
        <v>199</v>
      </c>
      <c r="B200" s="14" t="n">
        <v>46408</v>
      </c>
      <c r="C200" s="15" t="n">
        <v>4</v>
      </c>
      <c r="D200" s="26" t="inlineStr">
        <is>
          <t>Achat challenge</t>
        </is>
      </c>
      <c r="E200" s="13" t="inlineStr">
        <is>
          <t>Fill88</t>
        </is>
      </c>
      <c r="F200" s="13" t="inlineStr">
        <is>
          <t>#84 Instant-Direct 100k</t>
        </is>
      </c>
      <c r="G200" s="17" t="n">
        <v>100000</v>
      </c>
      <c r="H200" s="17" t="n">
        <v>-3699</v>
      </c>
      <c r="I200" s="17" t="n">
        <v>271394</v>
      </c>
      <c r="J200" s="13" t="inlineStr">
        <is>
          <t>Groupe A – rang 6 – financement prévu le 21/01/2027 (instant)</t>
        </is>
      </c>
    </row>
    <row r="201">
      <c r="A201" s="19" t="n">
        <v>200</v>
      </c>
      <c r="B201" s="20" t="n">
        <v>46408</v>
      </c>
      <c r="C201" s="21" t="n">
        <v>4</v>
      </c>
      <c r="D201" s="26" t="inlineStr">
        <is>
          <t>Achat challenge</t>
        </is>
      </c>
      <c r="E201" s="19" t="inlineStr">
        <is>
          <t>Finotive Funding</t>
        </is>
      </c>
      <c r="F201" s="19" t="inlineStr">
        <is>
          <t>#85 Instant-Direct 100k</t>
        </is>
      </c>
      <c r="G201" s="22" t="n">
        <v>100000</v>
      </c>
      <c r="H201" s="22" t="n">
        <v>-3549</v>
      </c>
      <c r="I201" s="22" t="n">
        <v>267845</v>
      </c>
      <c r="J201" s="19" t="inlineStr">
        <is>
          <t>Groupe A – rang 7 – financement prévu le 21/01/2027 (instant)</t>
        </is>
      </c>
    </row>
    <row r="202">
      <c r="A202" s="13" t="n">
        <v>201</v>
      </c>
      <c r="B202" s="14" t="n">
        <v>46408</v>
      </c>
      <c r="C202" s="15" t="n">
        <v>4</v>
      </c>
      <c r="D202" s="26" t="inlineStr">
        <is>
          <t>Achat challenge</t>
        </is>
      </c>
      <c r="E202" s="13" t="inlineStr">
        <is>
          <t>Finotive Funding</t>
        </is>
      </c>
      <c r="F202" s="13" t="inlineStr">
        <is>
          <t>#86 Instant-Direct 100k</t>
        </is>
      </c>
      <c r="G202" s="17" t="n">
        <v>100000</v>
      </c>
      <c r="H202" s="17" t="n">
        <v>-3549</v>
      </c>
      <c r="I202" s="17" t="n">
        <v>264296</v>
      </c>
      <c r="J202" s="13" t="inlineStr">
        <is>
          <t>Groupe A – rang 7 – financement prévu le 21/01/2027 (instant)</t>
        </is>
      </c>
    </row>
    <row r="203">
      <c r="A203" s="19" t="n">
        <v>202</v>
      </c>
      <c r="B203" s="20" t="n">
        <v>46408</v>
      </c>
      <c r="C203" s="21" t="n">
        <v>4</v>
      </c>
      <c r="D203" s="26" t="inlineStr">
        <is>
          <t>Achat challenge</t>
        </is>
      </c>
      <c r="E203" s="19" t="inlineStr">
        <is>
          <t>Finotive Funding</t>
        </is>
      </c>
      <c r="F203" s="19" t="inlineStr">
        <is>
          <t>#87 Instant-Direct 100k</t>
        </is>
      </c>
      <c r="G203" s="22" t="n">
        <v>100000</v>
      </c>
      <c r="H203" s="22" t="n">
        <v>-3549</v>
      </c>
      <c r="I203" s="22" t="n">
        <v>260747</v>
      </c>
      <c r="J203" s="19" t="inlineStr">
        <is>
          <t>Groupe A – rang 7 – financement prévu le 21/01/2027 (instant)</t>
        </is>
      </c>
    </row>
    <row r="204">
      <c r="A204" s="13" t="n">
        <v>203</v>
      </c>
      <c r="B204" s="14" t="n">
        <v>46408</v>
      </c>
      <c r="C204" s="15" t="n">
        <v>4</v>
      </c>
      <c r="D204" s="26" t="inlineStr">
        <is>
          <t>Achat challenge</t>
        </is>
      </c>
      <c r="E204" s="13" t="inlineStr">
        <is>
          <t>Finotive Funding</t>
        </is>
      </c>
      <c r="F204" s="13" t="inlineStr">
        <is>
          <t>#88 Instant-Direct 100k</t>
        </is>
      </c>
      <c r="G204" s="17" t="n">
        <v>100000</v>
      </c>
      <c r="H204" s="17" t="n">
        <v>-3549</v>
      </c>
      <c r="I204" s="17" t="n">
        <v>257198</v>
      </c>
      <c r="J204" s="13" t="inlineStr">
        <is>
          <t>Groupe A – rang 7 – financement prévu le 21/01/2027 (instant)</t>
        </is>
      </c>
    </row>
    <row r="205">
      <c r="A205" s="19" t="n">
        <v>204</v>
      </c>
      <c r="B205" s="20" t="n">
        <v>46408</v>
      </c>
      <c r="C205" s="21" t="n">
        <v>4</v>
      </c>
      <c r="D205" s="26" t="inlineStr">
        <is>
          <t>Achat challenge</t>
        </is>
      </c>
      <c r="E205" s="19" t="inlineStr">
        <is>
          <t>Finotive Funding</t>
        </is>
      </c>
      <c r="F205" s="19" t="inlineStr">
        <is>
          <t>#89 Instant-Direct 100k</t>
        </is>
      </c>
      <c r="G205" s="22" t="n">
        <v>100000</v>
      </c>
      <c r="H205" s="22" t="n">
        <v>-3549</v>
      </c>
      <c r="I205" s="22" t="n">
        <v>253649</v>
      </c>
      <c r="J205" s="19" t="inlineStr">
        <is>
          <t>Groupe A – rang 7 – financement prévu le 21/01/2027 (instant)</t>
        </is>
      </c>
    </row>
    <row r="206">
      <c r="A206" s="13" t="n">
        <v>205</v>
      </c>
      <c r="B206" s="14" t="n">
        <v>46408</v>
      </c>
      <c r="C206" s="15" t="n">
        <v>4</v>
      </c>
      <c r="D206" s="26" t="inlineStr">
        <is>
          <t>Achat challenge</t>
        </is>
      </c>
      <c r="E206" s="13" t="inlineStr">
        <is>
          <t>Finotive Funding</t>
        </is>
      </c>
      <c r="F206" s="13" t="inlineStr">
        <is>
          <t>#90 Instant-Direct 100k</t>
        </is>
      </c>
      <c r="G206" s="17" t="n">
        <v>100000</v>
      </c>
      <c r="H206" s="17" t="n">
        <v>-3549</v>
      </c>
      <c r="I206" s="17" t="n">
        <v>250100</v>
      </c>
      <c r="J206" s="13" t="inlineStr">
        <is>
          <t>Groupe A – rang 7 – financement prévu le 21/01/2027 (instant)</t>
        </is>
      </c>
    </row>
    <row r="207">
      <c r="A207" s="19" t="n">
        <v>206</v>
      </c>
      <c r="B207" s="20" t="n">
        <v>46408</v>
      </c>
      <c r="C207" s="21" t="n">
        <v>4</v>
      </c>
      <c r="D207" s="26" t="inlineStr">
        <is>
          <t>Achat challenge</t>
        </is>
      </c>
      <c r="E207" s="19" t="inlineStr">
        <is>
          <t>FNC Funding</t>
        </is>
      </c>
      <c r="F207" s="19" t="inlineStr">
        <is>
          <t>#91 Instant-Direct 100k</t>
        </is>
      </c>
      <c r="G207" s="22" t="n">
        <v>100000</v>
      </c>
      <c r="H207" s="22" t="n">
        <v>-5000</v>
      </c>
      <c r="I207" s="22" t="n">
        <v>245100</v>
      </c>
      <c r="J207" s="19" t="inlineStr">
        <is>
          <t>Groupe A – rang 8 – financement prévu le 21/01/2027 (instant)</t>
        </is>
      </c>
    </row>
    <row r="208">
      <c r="A208" s="13" t="n">
        <v>207</v>
      </c>
      <c r="B208" s="14" t="n">
        <v>46408</v>
      </c>
      <c r="C208" s="15" t="n">
        <v>4</v>
      </c>
      <c r="D208" s="26" t="inlineStr">
        <is>
          <t>Achat challenge</t>
        </is>
      </c>
      <c r="E208" s="13" t="inlineStr">
        <is>
          <t>FNC Funding</t>
        </is>
      </c>
      <c r="F208" s="13" t="inlineStr">
        <is>
          <t>#92 Instant-Direct 100k</t>
        </is>
      </c>
      <c r="G208" s="17" t="n">
        <v>100000</v>
      </c>
      <c r="H208" s="17" t="n">
        <v>-5000</v>
      </c>
      <c r="I208" s="17" t="n">
        <v>240100</v>
      </c>
      <c r="J208" s="13" t="inlineStr">
        <is>
          <t>Groupe A – rang 8 – financement prévu le 21/01/2027 (instant)</t>
        </is>
      </c>
    </row>
    <row r="209">
      <c r="A209" s="19" t="n">
        <v>208</v>
      </c>
      <c r="B209" s="20" t="n">
        <v>46408</v>
      </c>
      <c r="C209" s="21" t="n">
        <v>4</v>
      </c>
      <c r="D209" s="26" t="inlineStr">
        <is>
          <t>Achat challenge</t>
        </is>
      </c>
      <c r="E209" s="19" t="inlineStr">
        <is>
          <t>FNC Funding</t>
        </is>
      </c>
      <c r="F209" s="19" t="inlineStr">
        <is>
          <t>#93 Instant-Direct 100k</t>
        </is>
      </c>
      <c r="G209" s="22" t="n">
        <v>100000</v>
      </c>
      <c r="H209" s="22" t="n">
        <v>-5000</v>
      </c>
      <c r="I209" s="22" t="n">
        <v>235100</v>
      </c>
      <c r="J209" s="19" t="inlineStr">
        <is>
          <t>Groupe A – rang 8 – financement prévu le 21/01/2027 (instant)</t>
        </is>
      </c>
    </row>
    <row r="210">
      <c r="A210" s="13" t="n">
        <v>209</v>
      </c>
      <c r="B210" s="14" t="n">
        <v>46408</v>
      </c>
      <c r="C210" s="15" t="n">
        <v>4</v>
      </c>
      <c r="D210" s="26" t="inlineStr">
        <is>
          <t>Achat challenge</t>
        </is>
      </c>
      <c r="E210" s="13" t="inlineStr">
        <is>
          <t>FNC Funding</t>
        </is>
      </c>
      <c r="F210" s="13" t="inlineStr">
        <is>
          <t>#94 Instant-Direct 100k</t>
        </is>
      </c>
      <c r="G210" s="17" t="n">
        <v>100000</v>
      </c>
      <c r="H210" s="17" t="n">
        <v>-5000</v>
      </c>
      <c r="I210" s="17" t="n">
        <v>230100</v>
      </c>
      <c r="J210" s="13" t="inlineStr">
        <is>
          <t>Groupe A – rang 8 – financement prévu le 21/01/2027 (instant)</t>
        </is>
      </c>
    </row>
    <row r="211">
      <c r="A211" s="19" t="n">
        <v>210</v>
      </c>
      <c r="B211" s="20" t="n">
        <v>46408</v>
      </c>
      <c r="C211" s="21" t="n">
        <v>4</v>
      </c>
      <c r="D211" s="26" t="inlineStr">
        <is>
          <t>Achat challenge</t>
        </is>
      </c>
      <c r="E211" s="19" t="inlineStr">
        <is>
          <t>FNC Funding</t>
        </is>
      </c>
      <c r="F211" s="19" t="inlineStr">
        <is>
          <t>#95 Instant-Direct 100k</t>
        </is>
      </c>
      <c r="G211" s="22" t="n">
        <v>100000</v>
      </c>
      <c r="H211" s="22" t="n">
        <v>-5000</v>
      </c>
      <c r="I211" s="22" t="n">
        <v>225100</v>
      </c>
      <c r="J211" s="19" t="inlineStr">
        <is>
          <t>Groupe A – rang 8 – financement prévu le 21/01/2027 (instant)</t>
        </is>
      </c>
    </row>
    <row r="212">
      <c r="A212" s="13" t="n">
        <v>211</v>
      </c>
      <c r="B212" s="14" t="n">
        <v>46408</v>
      </c>
      <c r="C212" s="15" t="n">
        <v>4</v>
      </c>
      <c r="D212" s="26" t="inlineStr">
        <is>
          <t>Achat challenge</t>
        </is>
      </c>
      <c r="E212" s="13" t="inlineStr">
        <is>
          <t>Funding Traders</t>
        </is>
      </c>
      <c r="F212" s="13" t="inlineStr">
        <is>
          <t>#96 Instant-Direct 400k</t>
        </is>
      </c>
      <c r="G212" s="17" t="n">
        <v>400000</v>
      </c>
      <c r="H212" s="17" t="n">
        <v>-2349</v>
      </c>
      <c r="I212" s="17" t="n">
        <v>222751</v>
      </c>
      <c r="J212" s="13" t="inlineStr">
        <is>
          <t>Groupe A – rang 9 – financement prévu le 21/01/2027 (instant)</t>
        </is>
      </c>
    </row>
    <row r="213">
      <c r="A213" s="19" t="n">
        <v>212</v>
      </c>
      <c r="B213" s="20" t="n">
        <v>46408</v>
      </c>
      <c r="C213" s="21" t="n">
        <v>4</v>
      </c>
      <c r="D213" s="26" t="inlineStr">
        <is>
          <t>Achat challenge</t>
        </is>
      </c>
      <c r="E213" s="19" t="inlineStr">
        <is>
          <t>Ifunds</t>
        </is>
      </c>
      <c r="F213" s="19" t="inlineStr">
        <is>
          <t>#97 Instant-Direct 500k</t>
        </is>
      </c>
      <c r="G213" s="22" t="n">
        <v>500000</v>
      </c>
      <c r="H213" s="22" t="n">
        <v>-30000</v>
      </c>
      <c r="I213" s="22" t="n">
        <v>192751</v>
      </c>
      <c r="J213" s="19" t="inlineStr">
        <is>
          <t>Groupe A – rang 10 – financement prévu le 21/01/2027 (instant)</t>
        </is>
      </c>
    </row>
    <row r="214">
      <c r="A214" s="13" t="n">
        <v>213</v>
      </c>
      <c r="B214" s="14" t="n">
        <v>46408</v>
      </c>
      <c r="C214" s="15" t="n">
        <v>4</v>
      </c>
      <c r="D214" s="26" t="inlineStr">
        <is>
          <t>Achat challenge</t>
        </is>
      </c>
      <c r="E214" s="13" t="inlineStr">
        <is>
          <t>Alpine Funded</t>
        </is>
      </c>
      <c r="F214" s="13" t="inlineStr">
        <is>
          <t>#98 Instant-Direct 200k</t>
        </is>
      </c>
      <c r="G214" s="17" t="n">
        <v>200000</v>
      </c>
      <c r="H214" s="17" t="n">
        <v>-1198</v>
      </c>
      <c r="I214" s="17" t="n">
        <v>191553</v>
      </c>
      <c r="J214" s="13" t="inlineStr">
        <is>
          <t>Groupe A – rang 11 – financement prévu le 21/01/2027 (instant)</t>
        </is>
      </c>
    </row>
    <row r="215">
      <c r="A215" s="19" t="n">
        <v>214</v>
      </c>
      <c r="B215" s="20" t="n">
        <v>46408</v>
      </c>
      <c r="C215" s="21" t="n">
        <v>4</v>
      </c>
      <c r="D215" s="26" t="inlineStr">
        <is>
          <t>Achat challenge</t>
        </is>
      </c>
      <c r="E215" s="19" t="inlineStr">
        <is>
          <t>Alpine Funded</t>
        </is>
      </c>
      <c r="F215" s="19" t="inlineStr">
        <is>
          <t>#99 Instant-Direct 200k</t>
        </is>
      </c>
      <c r="G215" s="22" t="n">
        <v>200000</v>
      </c>
      <c r="H215" s="22" t="n">
        <v>-1198</v>
      </c>
      <c r="I215" s="22" t="n">
        <v>190355</v>
      </c>
      <c r="J215" s="19" t="inlineStr">
        <is>
          <t>Groupe A – rang 11 – financement prévu le 21/01/2027 (instant)</t>
        </is>
      </c>
    </row>
    <row r="216">
      <c r="A216" s="13" t="n">
        <v>215</v>
      </c>
      <c r="B216" s="14" t="n">
        <v>46408</v>
      </c>
      <c r="C216" s="15" t="n">
        <v>4</v>
      </c>
      <c r="D216" s="26" t="inlineStr">
        <is>
          <t>Achat challenge</t>
        </is>
      </c>
      <c r="E216" s="13" t="inlineStr">
        <is>
          <t>AquaFunded</t>
        </is>
      </c>
      <c r="F216" s="13" t="inlineStr">
        <is>
          <t>#100 Instant-Direct 400k</t>
        </is>
      </c>
      <c r="G216" s="17" t="n">
        <v>400000</v>
      </c>
      <c r="H216" s="17" t="n">
        <v>-2699</v>
      </c>
      <c r="I216" s="17" t="n">
        <v>187656</v>
      </c>
      <c r="J216" s="13" t="inlineStr">
        <is>
          <t>Groupe A – rang 12 – financement prévu le 21/01/2027 (instant)</t>
        </is>
      </c>
    </row>
    <row r="217">
      <c r="A217" s="19" t="n">
        <v>216</v>
      </c>
      <c r="B217" s="20" t="n">
        <v>46408</v>
      </c>
      <c r="C217" s="21" t="n">
        <v>4</v>
      </c>
      <c r="D217" s="26" t="inlineStr">
        <is>
          <t>Achat challenge</t>
        </is>
      </c>
      <c r="E217" s="19" t="inlineStr">
        <is>
          <t>Atlas Funded</t>
        </is>
      </c>
      <c r="F217" s="19" t="inlineStr">
        <is>
          <t>#101 Instant-Direct 300k</t>
        </is>
      </c>
      <c r="G217" s="22" t="n">
        <v>300000</v>
      </c>
      <c r="H217" s="22" t="n">
        <v>-1598</v>
      </c>
      <c r="I217" s="22" t="n">
        <v>186058</v>
      </c>
      <c r="J217" s="19" t="inlineStr">
        <is>
          <t>Groupe A – rang 13 – financement prévu le 21/01/2027 (instant)</t>
        </is>
      </c>
    </row>
    <row r="218">
      <c r="A218" s="13" t="n">
        <v>217</v>
      </c>
      <c r="B218" s="14" t="n">
        <v>46408</v>
      </c>
      <c r="C218" s="15" t="n">
        <v>4</v>
      </c>
      <c r="D218" s="26" t="inlineStr">
        <is>
          <t>Achat challenge</t>
        </is>
      </c>
      <c r="E218" s="13" t="inlineStr">
        <is>
          <t>Atmos Funded</t>
        </is>
      </c>
      <c r="F218" s="13" t="inlineStr">
        <is>
          <t>#102 Instant-Direct 100k</t>
        </is>
      </c>
      <c r="G218" s="17" t="n">
        <v>100000</v>
      </c>
      <c r="H218" s="17" t="n">
        <v>-649</v>
      </c>
      <c r="I218" s="17" t="n">
        <v>185409</v>
      </c>
      <c r="J218" s="13" t="inlineStr">
        <is>
          <t>Groupe A – rang 14 – financement prévu le 21/01/2027 (instant)</t>
        </is>
      </c>
    </row>
    <row r="219">
      <c r="A219" s="19" t="n">
        <v>218</v>
      </c>
      <c r="B219" s="20" t="n">
        <v>46408</v>
      </c>
      <c r="C219" s="21" t="n">
        <v>4</v>
      </c>
      <c r="D219" s="26" t="inlineStr">
        <is>
          <t>Achat challenge</t>
        </is>
      </c>
      <c r="E219" s="19" t="inlineStr">
        <is>
          <t>Atmos Funded</t>
        </is>
      </c>
      <c r="F219" s="19" t="inlineStr">
        <is>
          <t>#103 Instant-Direct 100k</t>
        </is>
      </c>
      <c r="G219" s="22" t="n">
        <v>100000</v>
      </c>
      <c r="H219" s="22" t="n">
        <v>-649</v>
      </c>
      <c r="I219" s="22" t="n">
        <v>184760</v>
      </c>
      <c r="J219" s="19" t="inlineStr">
        <is>
          <t>Groupe A – rang 14 – financement prévu le 21/01/2027 (instant)</t>
        </is>
      </c>
    </row>
    <row r="220">
      <c r="A220" s="13" t="n">
        <v>219</v>
      </c>
      <c r="B220" s="14" t="n">
        <v>46408</v>
      </c>
      <c r="C220" s="15" t="n">
        <v>4</v>
      </c>
      <c r="D220" s="26" t="inlineStr">
        <is>
          <t>Achat challenge</t>
        </is>
      </c>
      <c r="E220" s="13" t="inlineStr">
        <is>
          <t>Atmos Funded</t>
        </is>
      </c>
      <c r="F220" s="13" t="inlineStr">
        <is>
          <t>#104 Instant-Direct 100k</t>
        </is>
      </c>
      <c r="G220" s="17" t="n">
        <v>100000</v>
      </c>
      <c r="H220" s="17" t="n">
        <v>-649</v>
      </c>
      <c r="I220" s="17" t="n">
        <v>184111</v>
      </c>
      <c r="J220" s="13" t="inlineStr">
        <is>
          <t>Groupe A – rang 14 – financement prévu le 21/01/2027 (instant)</t>
        </is>
      </c>
    </row>
    <row r="221">
      <c r="A221" s="19" t="n">
        <v>220</v>
      </c>
      <c r="B221" s="20" t="n">
        <v>46408</v>
      </c>
      <c r="C221" s="21" t="n">
        <v>4</v>
      </c>
      <c r="D221" s="26" t="inlineStr">
        <is>
          <t>Achat challenge</t>
        </is>
      </c>
      <c r="E221" s="19" t="inlineStr">
        <is>
          <t>Atmos Funded</t>
        </is>
      </c>
      <c r="F221" s="19" t="inlineStr">
        <is>
          <t>#105 Instant-Direct 100k</t>
        </is>
      </c>
      <c r="G221" s="22" t="n">
        <v>100000</v>
      </c>
      <c r="H221" s="22" t="n">
        <v>-649</v>
      </c>
      <c r="I221" s="22" t="n">
        <v>183462</v>
      </c>
      <c r="J221" s="19" t="inlineStr">
        <is>
          <t>Groupe A – rang 14 – financement prévu le 21/01/2027 (instant)</t>
        </is>
      </c>
    </row>
    <row r="222">
      <c r="A222" s="13" t="n">
        <v>221</v>
      </c>
      <c r="B222" s="14" t="n">
        <v>46408</v>
      </c>
      <c r="C222" s="15" t="n">
        <v>4</v>
      </c>
      <c r="D222" s="26" t="inlineStr">
        <is>
          <t>Achat challenge</t>
        </is>
      </c>
      <c r="E222" s="13" t="inlineStr">
        <is>
          <t>Blue Guardian</t>
        </is>
      </c>
      <c r="F222" s="13" t="inlineStr">
        <is>
          <t>#106 Instant-Direct 400k</t>
        </is>
      </c>
      <c r="G222" s="17" t="n">
        <v>400000</v>
      </c>
      <c r="H222" s="17" t="n">
        <v>-2200</v>
      </c>
      <c r="I222" s="17" t="n">
        <v>181262</v>
      </c>
      <c r="J222" s="13" t="inlineStr">
        <is>
          <t>Groupe A – rang 15 – financement prévu le 21/01/2027 (instant)</t>
        </is>
      </c>
    </row>
    <row r="223">
      <c r="A223" s="19" t="n">
        <v>222</v>
      </c>
      <c r="B223" s="20" t="n">
        <v>46408</v>
      </c>
      <c r="C223" s="21" t="n">
        <v>4</v>
      </c>
      <c r="D223" s="26" t="inlineStr">
        <is>
          <t>Achat challenge</t>
        </is>
      </c>
      <c r="E223" s="19" t="inlineStr">
        <is>
          <t>FundedElite</t>
        </is>
      </c>
      <c r="F223" s="19" t="inlineStr">
        <is>
          <t>#107 Instant-Direct 100k</t>
        </is>
      </c>
      <c r="G223" s="22" t="n">
        <v>100000</v>
      </c>
      <c r="H223" s="22" t="n">
        <v>-1489</v>
      </c>
      <c r="I223" s="22" t="n">
        <v>179773</v>
      </c>
      <c r="J223" s="19" t="inlineStr">
        <is>
          <t>Groupe A – rang 16 – financement prévu le 21/01/2027 (instant)</t>
        </is>
      </c>
    </row>
    <row r="224">
      <c r="A224" s="13" t="n">
        <v>223</v>
      </c>
      <c r="B224" s="14" t="n">
        <v>46408</v>
      </c>
      <c r="C224" s="15" t="n">
        <v>4</v>
      </c>
      <c r="D224" s="26" t="inlineStr">
        <is>
          <t>Achat challenge</t>
        </is>
      </c>
      <c r="E224" s="13" t="inlineStr">
        <is>
          <t>FundedElite</t>
        </is>
      </c>
      <c r="F224" s="13" t="inlineStr">
        <is>
          <t>#108 Instant-Direct 100k</t>
        </is>
      </c>
      <c r="G224" s="17" t="n">
        <v>100000</v>
      </c>
      <c r="H224" s="17" t="n">
        <v>-1489</v>
      </c>
      <c r="I224" s="17" t="n">
        <v>178284</v>
      </c>
      <c r="J224" s="13" t="inlineStr">
        <is>
          <t>Groupe A – rang 16 – financement prévu le 21/01/2027 (instant)</t>
        </is>
      </c>
    </row>
    <row r="225">
      <c r="A225" s="19" t="n">
        <v>224</v>
      </c>
      <c r="B225" s="20" t="n">
        <v>46408</v>
      </c>
      <c r="C225" s="21" t="n">
        <v>4</v>
      </c>
      <c r="D225" s="26" t="inlineStr">
        <is>
          <t>Achat challenge</t>
        </is>
      </c>
      <c r="E225" s="19" t="inlineStr">
        <is>
          <t>FundedElite</t>
        </is>
      </c>
      <c r="F225" s="19" t="inlineStr">
        <is>
          <t>#109 Instant-Direct 100k</t>
        </is>
      </c>
      <c r="G225" s="22" t="n">
        <v>100000</v>
      </c>
      <c r="H225" s="22" t="n">
        <v>-1489</v>
      </c>
      <c r="I225" s="22" t="n">
        <v>176795</v>
      </c>
      <c r="J225" s="19" t="inlineStr">
        <is>
          <t>Groupe A – rang 16 – financement prévu le 21/01/2027 (instant)</t>
        </is>
      </c>
    </row>
    <row r="226">
      <c r="A226" s="13" t="n">
        <v>225</v>
      </c>
      <c r="B226" s="14" t="n">
        <v>46408</v>
      </c>
      <c r="C226" s="15" t="n">
        <v>4</v>
      </c>
      <c r="D226" s="26" t="inlineStr">
        <is>
          <t>Achat challenge</t>
        </is>
      </c>
      <c r="E226" s="13" t="inlineStr">
        <is>
          <t>FundedElite</t>
        </is>
      </c>
      <c r="F226" s="13" t="inlineStr">
        <is>
          <t>#110 Instant-Direct 100k</t>
        </is>
      </c>
      <c r="G226" s="17" t="n">
        <v>100000</v>
      </c>
      <c r="H226" s="17" t="n">
        <v>-1489</v>
      </c>
      <c r="I226" s="17" t="n">
        <v>175306</v>
      </c>
      <c r="J226" s="13" t="inlineStr">
        <is>
          <t>Groupe A – rang 16 – financement prévu le 21/01/2027 (instant)</t>
        </is>
      </c>
    </row>
    <row r="227">
      <c r="A227" s="19" t="n">
        <v>226</v>
      </c>
      <c r="B227" s="20" t="n">
        <v>46408</v>
      </c>
      <c r="C227" s="21" t="n">
        <v>4</v>
      </c>
      <c r="D227" s="26" t="inlineStr">
        <is>
          <t>Achat challenge</t>
        </is>
      </c>
      <c r="E227" s="19" t="inlineStr">
        <is>
          <t>Funding Pips</t>
        </is>
      </c>
      <c r="F227" s="19" t="inlineStr">
        <is>
          <t>#111 Instant-Direct 200k</t>
        </is>
      </c>
      <c r="G227" s="22" t="n">
        <v>200000</v>
      </c>
      <c r="H227" s="22" t="n">
        <v>-888</v>
      </c>
      <c r="I227" s="22" t="n">
        <v>174418</v>
      </c>
      <c r="J227" s="19" t="inlineStr">
        <is>
          <t>Groupe A – rang 17 – financement prévu le 21/01/2027 (instant)</t>
        </is>
      </c>
    </row>
    <row r="228">
      <c r="A228" s="13" t="n">
        <v>227</v>
      </c>
      <c r="B228" s="14" t="n">
        <v>46408</v>
      </c>
      <c r="C228" s="15" t="n">
        <v>4</v>
      </c>
      <c r="D228" s="26" t="inlineStr">
        <is>
          <t>Achat challenge</t>
        </is>
      </c>
      <c r="E228" s="13" t="inlineStr">
        <is>
          <t>Funding Pips</t>
        </is>
      </c>
      <c r="F228" s="13" t="inlineStr">
        <is>
          <t>#112 Instant-Direct 200k</t>
        </is>
      </c>
      <c r="G228" s="17" t="n">
        <v>200000</v>
      </c>
      <c r="H228" s="17" t="n">
        <v>-888</v>
      </c>
      <c r="I228" s="17" t="n">
        <v>173530</v>
      </c>
      <c r="J228" s="13" t="inlineStr">
        <is>
          <t>Groupe A – rang 17 – financement prévu le 21/01/2027 (instant)</t>
        </is>
      </c>
    </row>
    <row r="229">
      <c r="A229" s="19" t="n">
        <v>228</v>
      </c>
      <c r="B229" s="20" t="n">
        <v>46408</v>
      </c>
      <c r="C229" s="21" t="n">
        <v>4</v>
      </c>
      <c r="D229" s="26" t="inlineStr">
        <is>
          <t>Achat challenge</t>
        </is>
      </c>
      <c r="E229" s="19" t="inlineStr">
        <is>
          <t>Global Forex Funds</t>
        </is>
      </c>
      <c r="F229" s="19" t="inlineStr">
        <is>
          <t>#113 Instant-Direct 100k</t>
        </is>
      </c>
      <c r="G229" s="22" t="n">
        <v>100000</v>
      </c>
      <c r="H229" s="22" t="n">
        <v>-2999</v>
      </c>
      <c r="I229" s="22" t="n">
        <v>170531</v>
      </c>
      <c r="J229" s="19" t="inlineStr">
        <is>
          <t>Groupe A – rang 18 – financement prévu le 21/01/2027 (instant)</t>
        </is>
      </c>
    </row>
    <row r="230">
      <c r="A230" s="13" t="n">
        <v>229</v>
      </c>
      <c r="B230" s="14" t="n">
        <v>46408</v>
      </c>
      <c r="C230" s="15" t="n">
        <v>4</v>
      </c>
      <c r="D230" s="26" t="inlineStr">
        <is>
          <t>Achat challenge</t>
        </is>
      </c>
      <c r="E230" s="13" t="inlineStr">
        <is>
          <t>Goat Funded Trader</t>
        </is>
      </c>
      <c r="F230" s="13" t="inlineStr">
        <is>
          <t>#114 Instant-Direct 100k</t>
        </is>
      </c>
      <c r="G230" s="17" t="n">
        <v>100000</v>
      </c>
      <c r="H230" s="17" t="n">
        <v>-858</v>
      </c>
      <c r="I230" s="17" t="n">
        <v>169673</v>
      </c>
      <c r="J230" s="13" t="inlineStr">
        <is>
          <t>Groupe A – rang 19 – financement prévu le 21/01/2027 (instant)</t>
        </is>
      </c>
    </row>
    <row r="231">
      <c r="A231" s="19" t="n">
        <v>230</v>
      </c>
      <c r="B231" s="20" t="n">
        <v>46408</v>
      </c>
      <c r="C231" s="21" t="n">
        <v>4</v>
      </c>
      <c r="D231" s="26" t="inlineStr">
        <is>
          <t>Achat challenge</t>
        </is>
      </c>
      <c r="E231" s="19" t="inlineStr">
        <is>
          <t>Goat Funded Trader</t>
        </is>
      </c>
      <c r="F231" s="19" t="inlineStr">
        <is>
          <t>#115 Instant-Direct 100k</t>
        </is>
      </c>
      <c r="G231" s="22" t="n">
        <v>100000</v>
      </c>
      <c r="H231" s="22" t="n">
        <v>-858</v>
      </c>
      <c r="I231" s="22" t="n">
        <v>168815</v>
      </c>
      <c r="J231" s="19" t="inlineStr">
        <is>
          <t>Groupe A – rang 19 – financement prévu le 21/01/2027 (instant)</t>
        </is>
      </c>
    </row>
    <row r="232">
      <c r="A232" s="13" t="n">
        <v>231</v>
      </c>
      <c r="B232" s="14" t="n">
        <v>46408</v>
      </c>
      <c r="C232" s="15" t="n">
        <v>4</v>
      </c>
      <c r="D232" s="26" t="inlineStr">
        <is>
          <t>Achat challenge</t>
        </is>
      </c>
      <c r="E232" s="13" t="inlineStr">
        <is>
          <t>Goat Funded Trader</t>
        </is>
      </c>
      <c r="F232" s="13" t="inlineStr">
        <is>
          <t>#116 Instant-Direct 100k</t>
        </is>
      </c>
      <c r="G232" s="17" t="n">
        <v>100000</v>
      </c>
      <c r="H232" s="17" t="n">
        <v>-858</v>
      </c>
      <c r="I232" s="17" t="n">
        <v>167957</v>
      </c>
      <c r="J232" s="13" t="inlineStr">
        <is>
          <t>Groupe A – rang 19 – financement prévu le 21/01/2027 (instant)</t>
        </is>
      </c>
    </row>
    <row r="233">
      <c r="A233" s="19" t="n">
        <v>232</v>
      </c>
      <c r="B233" s="20" t="n">
        <v>46408</v>
      </c>
      <c r="C233" s="21" t="n">
        <v>4</v>
      </c>
      <c r="D233" s="26" t="inlineStr">
        <is>
          <t>Achat challenge</t>
        </is>
      </c>
      <c r="E233" s="19" t="inlineStr">
        <is>
          <t>Goat Funded Trader</t>
        </is>
      </c>
      <c r="F233" s="19" t="inlineStr">
        <is>
          <t>#117 Instant-Direct 100k</t>
        </is>
      </c>
      <c r="G233" s="22" t="n">
        <v>100000</v>
      </c>
      <c r="H233" s="22" t="n">
        <v>-858</v>
      </c>
      <c r="I233" s="22" t="n">
        <v>167099</v>
      </c>
      <c r="J233" s="19" t="inlineStr">
        <is>
          <t>Groupe A – rang 19 – financement prévu le 21/01/2027 (instant)</t>
        </is>
      </c>
    </row>
    <row r="234">
      <c r="A234" s="13" t="n">
        <v>233</v>
      </c>
      <c r="B234" s="14" t="n">
        <v>46408</v>
      </c>
      <c r="C234" s="15" t="n">
        <v>4</v>
      </c>
      <c r="D234" s="26" t="inlineStr">
        <is>
          <t>Achat challenge</t>
        </is>
      </c>
      <c r="E234" s="13" t="inlineStr">
        <is>
          <t>FundedVerse</t>
        </is>
      </c>
      <c r="F234" s="13" t="inlineStr">
        <is>
          <t>#118 Instant-Direct 50k</t>
        </is>
      </c>
      <c r="G234" s="17" t="n">
        <v>50000</v>
      </c>
      <c r="H234" s="17" t="n">
        <v>-699</v>
      </c>
      <c r="I234" s="17" t="n">
        <v>166400</v>
      </c>
      <c r="J234" s="13" t="inlineStr">
        <is>
          <t>Groupe A – rang 20 – financement prévu le 21/01/2027 (instant)</t>
        </is>
      </c>
    </row>
    <row r="235">
      <c r="A235" s="19" t="n">
        <v>234</v>
      </c>
      <c r="B235" s="20" t="n">
        <v>46408</v>
      </c>
      <c r="C235" s="21" t="n">
        <v>4</v>
      </c>
      <c r="D235" s="26" t="inlineStr">
        <is>
          <t>Achat challenge</t>
        </is>
      </c>
      <c r="E235" s="19" t="inlineStr">
        <is>
          <t>FundedVerse</t>
        </is>
      </c>
      <c r="F235" s="19" t="inlineStr">
        <is>
          <t>#119 Instant-Direct 50k</t>
        </is>
      </c>
      <c r="G235" s="22" t="n">
        <v>50000</v>
      </c>
      <c r="H235" s="22" t="n">
        <v>-699</v>
      </c>
      <c r="I235" s="22" t="n">
        <v>165701</v>
      </c>
      <c r="J235" s="19" t="inlineStr">
        <is>
          <t>Groupe A – rang 20 – financement prévu le 21/01/2027 (instant)</t>
        </is>
      </c>
    </row>
    <row r="236">
      <c r="A236" s="13" t="n">
        <v>235</v>
      </c>
      <c r="B236" s="14" t="n">
        <v>46408</v>
      </c>
      <c r="C236" s="15" t="n">
        <v>4</v>
      </c>
      <c r="D236" s="26" t="inlineStr">
        <is>
          <t>Achat challenge</t>
        </is>
      </c>
      <c r="E236" s="13" t="inlineStr">
        <is>
          <t>FundedVerse</t>
        </is>
      </c>
      <c r="F236" s="13" t="inlineStr">
        <is>
          <t>#120 Instant-Direct 50k</t>
        </is>
      </c>
      <c r="G236" s="17" t="n">
        <v>50000</v>
      </c>
      <c r="H236" s="17" t="n">
        <v>-699</v>
      </c>
      <c r="I236" s="17" t="n">
        <v>165002</v>
      </c>
      <c r="J236" s="13" t="inlineStr">
        <is>
          <t>Groupe A – rang 20 – financement prévu le 21/01/2027 (instant)</t>
        </is>
      </c>
    </row>
    <row r="237">
      <c r="A237" s="19" t="n">
        <v>236</v>
      </c>
      <c r="B237" s="20" t="n">
        <v>46408</v>
      </c>
      <c r="C237" s="21" t="n">
        <v>4</v>
      </c>
      <c r="D237" s="26" t="inlineStr">
        <is>
          <t>Achat challenge</t>
        </is>
      </c>
      <c r="E237" s="19" t="inlineStr">
        <is>
          <t>FundedVerse</t>
        </is>
      </c>
      <c r="F237" s="19" t="inlineStr">
        <is>
          <t>#121 Instant-Direct 50k</t>
        </is>
      </c>
      <c r="G237" s="22" t="n">
        <v>50000</v>
      </c>
      <c r="H237" s="22" t="n">
        <v>-699</v>
      </c>
      <c r="I237" s="22" t="n">
        <v>164303</v>
      </c>
      <c r="J237" s="19" t="inlineStr">
        <is>
          <t>Groupe A – rang 20 – financement prévu le 21/01/2027 (instant)</t>
        </is>
      </c>
    </row>
    <row r="238">
      <c r="A238" s="13" t="n">
        <v>237</v>
      </c>
      <c r="B238" s="14" t="n">
        <v>46408</v>
      </c>
      <c r="C238" s="15" t="n">
        <v>4</v>
      </c>
      <c r="D238" s="26" t="inlineStr">
        <is>
          <t>Achat challenge</t>
        </is>
      </c>
      <c r="E238" s="13" t="inlineStr">
        <is>
          <t>FundedVerse</t>
        </is>
      </c>
      <c r="F238" s="13" t="inlineStr">
        <is>
          <t>#122 Instant-Direct 50k</t>
        </is>
      </c>
      <c r="G238" s="17" t="n">
        <v>50000</v>
      </c>
      <c r="H238" s="17" t="n">
        <v>-699</v>
      </c>
      <c r="I238" s="17" t="n">
        <v>163604</v>
      </c>
      <c r="J238" s="13" t="inlineStr">
        <is>
          <t>Groupe A – rang 20 – financement prévu le 21/01/2027 (instant)</t>
        </is>
      </c>
    </row>
    <row r="239">
      <c r="A239" s="19" t="n">
        <v>238</v>
      </c>
      <c r="B239" s="20" t="n">
        <v>46408</v>
      </c>
      <c r="C239" s="21" t="n">
        <v>4</v>
      </c>
      <c r="D239" s="26" t="inlineStr">
        <is>
          <t>Achat challenge</t>
        </is>
      </c>
      <c r="E239" s="19" t="inlineStr">
        <is>
          <t>FundedVerse</t>
        </is>
      </c>
      <c r="F239" s="19" t="inlineStr">
        <is>
          <t>#123 Instant-Direct 50k</t>
        </is>
      </c>
      <c r="G239" s="22" t="n">
        <v>50000</v>
      </c>
      <c r="H239" s="22" t="n">
        <v>-699</v>
      </c>
      <c r="I239" s="22" t="n">
        <v>162905</v>
      </c>
      <c r="J239" s="19" t="inlineStr">
        <is>
          <t>Groupe A – rang 20 – financement prévu le 21/01/2027 (instant)</t>
        </is>
      </c>
    </row>
    <row r="240">
      <c r="A240" s="13" t="n">
        <v>239</v>
      </c>
      <c r="B240" s="14" t="n">
        <v>46408</v>
      </c>
      <c r="C240" s="15" t="n">
        <v>4</v>
      </c>
      <c r="D240" s="26" t="inlineStr">
        <is>
          <t>Achat challenge</t>
        </is>
      </c>
      <c r="E240" s="13" t="inlineStr">
        <is>
          <t>Lark Funding</t>
        </is>
      </c>
      <c r="F240" s="13" t="inlineStr">
        <is>
          <t>#124 Instant-Direct 100k</t>
        </is>
      </c>
      <c r="G240" s="17" t="n">
        <v>100000</v>
      </c>
      <c r="H240" s="17" t="n">
        <v>-4500</v>
      </c>
      <c r="I240" s="17" t="n">
        <v>158405</v>
      </c>
      <c r="J240" s="13" t="inlineStr">
        <is>
          <t>Groupe A – rang 21 – financement prévu le 21/01/2027 (instant)</t>
        </is>
      </c>
    </row>
    <row r="241">
      <c r="A241" s="19" t="n">
        <v>240</v>
      </c>
      <c r="B241" s="20" t="n">
        <v>46408</v>
      </c>
      <c r="C241" s="21" t="n">
        <v>4</v>
      </c>
      <c r="D241" s="26" t="inlineStr">
        <is>
          <t>Achat challenge</t>
        </is>
      </c>
      <c r="E241" s="19" t="inlineStr">
        <is>
          <t>Lark Funding</t>
        </is>
      </c>
      <c r="F241" s="19" t="inlineStr">
        <is>
          <t>#125 Instant-Direct 100k</t>
        </is>
      </c>
      <c r="G241" s="22" t="n">
        <v>100000</v>
      </c>
      <c r="H241" s="22" t="n">
        <v>-4500</v>
      </c>
      <c r="I241" s="22" t="n">
        <v>153905</v>
      </c>
      <c r="J241" s="19" t="inlineStr">
        <is>
          <t>Groupe A – rang 21 – financement prévu le 21/01/2027 (instant)</t>
        </is>
      </c>
    </row>
    <row r="242">
      <c r="A242" s="13" t="n">
        <v>241</v>
      </c>
      <c r="B242" s="14" t="n">
        <v>46408</v>
      </c>
      <c r="C242" s="15" t="n">
        <v>4</v>
      </c>
      <c r="D242" s="26" t="inlineStr">
        <is>
          <t>Achat challenge</t>
        </is>
      </c>
      <c r="E242" s="13" t="inlineStr">
        <is>
          <t>Lark Funding</t>
        </is>
      </c>
      <c r="F242" s="13" t="inlineStr">
        <is>
          <t>#126 Instant-Direct 100k</t>
        </is>
      </c>
      <c r="G242" s="17" t="n">
        <v>100000</v>
      </c>
      <c r="H242" s="17" t="n">
        <v>-4500</v>
      </c>
      <c r="I242" s="17" t="n">
        <v>149405</v>
      </c>
      <c r="J242" s="13" t="inlineStr">
        <is>
          <t>Groupe A – rang 21 – financement prévu le 21/01/2027 (instant)</t>
        </is>
      </c>
    </row>
    <row r="243">
      <c r="A243" s="19" t="n">
        <v>242</v>
      </c>
      <c r="B243" s="20" t="n">
        <v>46408</v>
      </c>
      <c r="C243" s="21" t="n">
        <v>4</v>
      </c>
      <c r="D243" s="26" t="inlineStr">
        <is>
          <t>Achat challenge</t>
        </is>
      </c>
      <c r="E243" s="19" t="inlineStr">
        <is>
          <t>Mockapital</t>
        </is>
      </c>
      <c r="F243" s="19" t="inlineStr">
        <is>
          <t>#127 Instant-Direct 50k</t>
        </is>
      </c>
      <c r="G243" s="22" t="n">
        <v>50000</v>
      </c>
      <c r="H243" s="22" t="n">
        <v>-2250</v>
      </c>
      <c r="I243" s="22" t="n">
        <v>147155</v>
      </c>
      <c r="J243" s="19" t="inlineStr">
        <is>
          <t>Groupe A – rang 22 – financement prévu le 21/01/2027 (instant)</t>
        </is>
      </c>
    </row>
    <row r="244">
      <c r="A244" s="13" t="n">
        <v>243</v>
      </c>
      <c r="B244" s="14" t="n">
        <v>46408</v>
      </c>
      <c r="C244" s="15" t="n">
        <v>4</v>
      </c>
      <c r="D244" s="26" t="inlineStr">
        <is>
          <t>Achat challenge</t>
        </is>
      </c>
      <c r="E244" s="13" t="inlineStr">
        <is>
          <t>Mockapital</t>
        </is>
      </c>
      <c r="F244" s="13" t="inlineStr">
        <is>
          <t>#128 Instant-Direct 50k</t>
        </is>
      </c>
      <c r="G244" s="17" t="n">
        <v>50000</v>
      </c>
      <c r="H244" s="17" t="n">
        <v>-2250</v>
      </c>
      <c r="I244" s="17" t="n">
        <v>144905</v>
      </c>
      <c r="J244" s="13" t="inlineStr">
        <is>
          <t>Groupe A – rang 22 – financement prévu le 21/01/2027 (instant)</t>
        </is>
      </c>
    </row>
    <row r="245">
      <c r="A245" s="19" t="n">
        <v>244</v>
      </c>
      <c r="B245" s="20" t="n">
        <v>46408</v>
      </c>
      <c r="C245" s="21" t="n">
        <v>4</v>
      </c>
      <c r="D245" s="26" t="inlineStr">
        <is>
          <t>Achat challenge</t>
        </is>
      </c>
      <c r="E245" s="19" t="inlineStr">
        <is>
          <t>Mockapital</t>
        </is>
      </c>
      <c r="F245" s="19" t="inlineStr">
        <is>
          <t>#129 Instant-Direct 50k</t>
        </is>
      </c>
      <c r="G245" s="22" t="n">
        <v>50000</v>
      </c>
      <c r="H245" s="22" t="n">
        <v>-2250</v>
      </c>
      <c r="I245" s="22" t="n">
        <v>142655</v>
      </c>
      <c r="J245" s="19" t="inlineStr">
        <is>
          <t>Groupe A – rang 22 – financement prévu le 21/01/2027 (instant)</t>
        </is>
      </c>
    </row>
    <row r="246">
      <c r="A246" s="13" t="n">
        <v>245</v>
      </c>
      <c r="B246" s="14" t="n">
        <v>46408</v>
      </c>
      <c r="C246" s="15" t="n">
        <v>4</v>
      </c>
      <c r="D246" s="26" t="inlineStr">
        <is>
          <t>Achat challenge</t>
        </is>
      </c>
      <c r="E246" s="13" t="inlineStr">
        <is>
          <t>Mockapital</t>
        </is>
      </c>
      <c r="F246" s="13" t="inlineStr">
        <is>
          <t>#130 Instant-Direct 50k</t>
        </is>
      </c>
      <c r="G246" s="17" t="n">
        <v>50000</v>
      </c>
      <c r="H246" s="17" t="n">
        <v>-2250</v>
      </c>
      <c r="I246" s="17" t="n">
        <v>140405</v>
      </c>
      <c r="J246" s="13" t="inlineStr">
        <is>
          <t>Groupe A – rang 22 – financement prévu le 21/01/2027 (instant)</t>
        </is>
      </c>
    </row>
    <row r="247">
      <c r="A247" s="19" t="n">
        <v>246</v>
      </c>
      <c r="B247" s="20" t="n">
        <v>46408</v>
      </c>
      <c r="C247" s="21" t="n">
        <v>4</v>
      </c>
      <c r="D247" s="26" t="inlineStr">
        <is>
          <t>Achat challenge</t>
        </is>
      </c>
      <c r="E247" s="19" t="inlineStr">
        <is>
          <t>Mockapital</t>
        </is>
      </c>
      <c r="F247" s="19" t="inlineStr">
        <is>
          <t>#131 Instant-Direct 50k</t>
        </is>
      </c>
      <c r="G247" s="22" t="n">
        <v>50000</v>
      </c>
      <c r="H247" s="22" t="n">
        <v>-2250</v>
      </c>
      <c r="I247" s="22" t="n">
        <v>138155</v>
      </c>
      <c r="J247" s="19" t="inlineStr">
        <is>
          <t>Groupe A – rang 22 – financement prévu le 21/01/2027 (instant)</t>
        </is>
      </c>
    </row>
    <row r="248">
      <c r="A248" s="13" t="n">
        <v>247</v>
      </c>
      <c r="B248" s="14" t="n">
        <v>46408</v>
      </c>
      <c r="C248" s="15" t="n">
        <v>4</v>
      </c>
      <c r="D248" s="26" t="inlineStr">
        <is>
          <t>Achat challenge</t>
        </is>
      </c>
      <c r="E248" s="13" t="inlineStr">
        <is>
          <t>Mockapital</t>
        </is>
      </c>
      <c r="F248" s="13" t="inlineStr">
        <is>
          <t>#132 Instant-Direct 50k</t>
        </is>
      </c>
      <c r="G248" s="17" t="n">
        <v>50000</v>
      </c>
      <c r="H248" s="17" t="n">
        <v>-2250</v>
      </c>
      <c r="I248" s="17" t="n">
        <v>135905</v>
      </c>
      <c r="J248" s="13" t="inlineStr">
        <is>
          <t>Groupe A – rang 22 – financement prévu le 21/01/2027 (instant)</t>
        </is>
      </c>
    </row>
    <row r="249">
      <c r="A249" s="19" t="n">
        <v>248</v>
      </c>
      <c r="B249" s="20" t="n">
        <v>46408</v>
      </c>
      <c r="C249" s="21" t="n">
        <v>4</v>
      </c>
      <c r="D249" s="26" t="inlineStr">
        <is>
          <t>Achat challenge</t>
        </is>
      </c>
      <c r="E249" s="19" t="inlineStr">
        <is>
          <t>Myfundedcapital</t>
        </is>
      </c>
      <c r="F249" s="19" t="inlineStr">
        <is>
          <t>#133 Instant-Direct 80k</t>
        </is>
      </c>
      <c r="G249" s="22" t="n">
        <v>80000</v>
      </c>
      <c r="H249" s="22" t="n">
        <v>-3470</v>
      </c>
      <c r="I249" s="22" t="n">
        <v>132435</v>
      </c>
      <c r="J249" s="19" t="inlineStr">
        <is>
          <t>Groupe A – rang 23 – financement prévu le 21/01/2027 (instant)</t>
        </is>
      </c>
    </row>
    <row r="250">
      <c r="A250" s="13" t="n">
        <v>249</v>
      </c>
      <c r="B250" s="14" t="n">
        <v>46408</v>
      </c>
      <c r="C250" s="15" t="n">
        <v>4</v>
      </c>
      <c r="D250" s="26" t="inlineStr">
        <is>
          <t>Achat challenge</t>
        </is>
      </c>
      <c r="E250" s="13" t="inlineStr">
        <is>
          <t>Myfundedcapital</t>
        </is>
      </c>
      <c r="F250" s="13" t="inlineStr">
        <is>
          <t>#134 Instant-Direct 80k</t>
        </is>
      </c>
      <c r="G250" s="17" t="n">
        <v>80000</v>
      </c>
      <c r="H250" s="17" t="n">
        <v>-3470</v>
      </c>
      <c r="I250" s="17" t="n">
        <v>128965</v>
      </c>
      <c r="J250" s="13" t="inlineStr">
        <is>
          <t>Groupe A – rang 23 – financement prévu le 21/01/2027 (instant)</t>
        </is>
      </c>
    </row>
    <row r="251">
      <c r="A251" s="19" t="n">
        <v>250</v>
      </c>
      <c r="B251" s="20" t="n">
        <v>46408</v>
      </c>
      <c r="C251" s="21" t="n">
        <v>4</v>
      </c>
      <c r="D251" s="26" t="inlineStr">
        <is>
          <t>Achat challenge</t>
        </is>
      </c>
      <c r="E251" s="19" t="inlineStr">
        <is>
          <t>Myfundedcapital</t>
        </is>
      </c>
      <c r="F251" s="19" t="inlineStr">
        <is>
          <t>#135 Instant-Direct 80k</t>
        </is>
      </c>
      <c r="G251" s="22" t="n">
        <v>80000</v>
      </c>
      <c r="H251" s="22" t="n">
        <v>-3470</v>
      </c>
      <c r="I251" s="22" t="n">
        <v>125495</v>
      </c>
      <c r="J251" s="19" t="inlineStr">
        <is>
          <t>Groupe A – rang 23 – financement prévu le 21/01/2027 (instant)</t>
        </is>
      </c>
    </row>
    <row r="252">
      <c r="A252" s="13" t="n">
        <v>251</v>
      </c>
      <c r="B252" s="14" t="n">
        <v>46408</v>
      </c>
      <c r="C252" s="15" t="n">
        <v>4</v>
      </c>
      <c r="D252" s="26" t="inlineStr">
        <is>
          <t>Achat challenge</t>
        </is>
      </c>
      <c r="E252" s="13" t="inlineStr">
        <is>
          <t>City Traders Imperium</t>
        </is>
      </c>
      <c r="F252" s="13" t="inlineStr">
        <is>
          <t>#136 Instant-Direct 80k</t>
        </is>
      </c>
      <c r="G252" s="17" t="n">
        <v>80000</v>
      </c>
      <c r="H252" s="17" t="n">
        <v>-1599</v>
      </c>
      <c r="I252" s="17" t="n">
        <v>123896</v>
      </c>
      <c r="J252" s="13" t="inlineStr">
        <is>
          <t>Groupe A – rang 24 – financement prévu le 21/01/2027 (instant)</t>
        </is>
      </c>
    </row>
    <row r="253">
      <c r="A253" s="19" t="n">
        <v>252</v>
      </c>
      <c r="B253" s="20" t="n">
        <v>46408</v>
      </c>
      <c r="C253" s="21" t="n">
        <v>4</v>
      </c>
      <c r="D253" s="26" t="inlineStr">
        <is>
          <t>Achat challenge</t>
        </is>
      </c>
      <c r="E253" s="19" t="inlineStr">
        <is>
          <t>City Traders Imperium</t>
        </is>
      </c>
      <c r="F253" s="19" t="inlineStr">
        <is>
          <t>#137 Instant-Direct 80k</t>
        </is>
      </c>
      <c r="G253" s="22" t="n">
        <v>80000</v>
      </c>
      <c r="H253" s="22" t="n">
        <v>-1599</v>
      </c>
      <c r="I253" s="22" t="n">
        <v>122297</v>
      </c>
      <c r="J253" s="19" t="inlineStr">
        <is>
          <t>Groupe A – rang 24 – financement prévu le 21/01/2027 (instant)</t>
        </is>
      </c>
    </row>
    <row r="254">
      <c r="A254" s="13" t="n">
        <v>253</v>
      </c>
      <c r="B254" s="14" t="n">
        <v>46408</v>
      </c>
      <c r="C254" s="15" t="n">
        <v>4</v>
      </c>
      <c r="D254" s="26" t="inlineStr">
        <is>
          <t>Achat challenge</t>
        </is>
      </c>
      <c r="E254" s="13" t="inlineStr">
        <is>
          <t>FTUK</t>
        </is>
      </c>
      <c r="F254" s="13" t="inlineStr">
        <is>
          <t>#138 Instant-Direct 100k</t>
        </is>
      </c>
      <c r="G254" s="17" t="n">
        <v>100000</v>
      </c>
      <c r="H254" s="17" t="n">
        <v>-1499</v>
      </c>
      <c r="I254" s="17" t="n">
        <v>120798</v>
      </c>
      <c r="J254" s="13" t="inlineStr">
        <is>
          <t>Groupe A – rang 26 – financement prévu le 21/01/2027 (instant)</t>
        </is>
      </c>
    </row>
    <row r="255">
      <c r="A255" s="19" t="n">
        <v>254</v>
      </c>
      <c r="B255" s="20" t="n">
        <v>46408</v>
      </c>
      <c r="C255" s="21" t="n">
        <v>4</v>
      </c>
      <c r="D255" s="26" t="inlineStr">
        <is>
          <t>Achat challenge</t>
        </is>
      </c>
      <c r="E255" s="19" t="inlineStr">
        <is>
          <t>Funded Friday</t>
        </is>
      </c>
      <c r="F255" s="19" t="inlineStr">
        <is>
          <t>#139 Instant-Direct 200k</t>
        </is>
      </c>
      <c r="G255" s="22" t="n">
        <v>200000</v>
      </c>
      <c r="H255" s="22" t="n">
        <v>-3899</v>
      </c>
      <c r="I255" s="22" t="n">
        <v>116899</v>
      </c>
      <c r="J255" s="19" t="inlineStr">
        <is>
          <t>Groupe A – rang 27 – financement prévu le 21/01/2027 (instant)</t>
        </is>
      </c>
    </row>
    <row r="256">
      <c r="A256" s="13" t="n">
        <v>255</v>
      </c>
      <c r="B256" s="14" t="n">
        <v>46408</v>
      </c>
      <c r="C256" s="15" t="n">
        <v>4</v>
      </c>
      <c r="D256" s="26" t="inlineStr">
        <is>
          <t>Achat challenge</t>
        </is>
      </c>
      <c r="E256" s="13" t="inlineStr">
        <is>
          <t>Funded Trading Plus</t>
        </is>
      </c>
      <c r="F256" s="13" t="inlineStr">
        <is>
          <t>#140 Instant-Direct 100k</t>
        </is>
      </c>
      <c r="G256" s="17" t="n">
        <v>100000</v>
      </c>
      <c r="H256" s="17" t="n">
        <v>-4499</v>
      </c>
      <c r="I256" s="17" t="n">
        <v>112400</v>
      </c>
      <c r="J256" s="13" t="inlineStr">
        <is>
          <t>Groupe A – rang 28 – financement prévu le 21/01/2027 (instant)</t>
        </is>
      </c>
    </row>
    <row r="257">
      <c r="A257" s="19" t="n">
        <v>256</v>
      </c>
      <c r="B257" s="20" t="n">
        <v>46408</v>
      </c>
      <c r="C257" s="21" t="n">
        <v>4</v>
      </c>
      <c r="D257" s="26" t="inlineStr">
        <is>
          <t>Achat challenge</t>
        </is>
      </c>
      <c r="E257" s="19" t="inlineStr">
        <is>
          <t>Funding Dynasty</t>
        </is>
      </c>
      <c r="F257" s="19" t="inlineStr">
        <is>
          <t>#141 Instant-Direct 200k</t>
        </is>
      </c>
      <c r="G257" s="22" t="n">
        <v>200000</v>
      </c>
      <c r="H257" s="22" t="n">
        <v>-1656</v>
      </c>
      <c r="I257" s="22" t="n">
        <v>110744</v>
      </c>
      <c r="J257" s="19" t="inlineStr">
        <is>
          <t>Groupe A – rang 29 – financement prévu le 21/01/2027 (instant)</t>
        </is>
      </c>
    </row>
    <row r="258">
      <c r="A258" s="13" t="n">
        <v>257</v>
      </c>
      <c r="B258" s="14" t="n">
        <v>46408</v>
      </c>
      <c r="C258" s="15" t="n">
        <v>4</v>
      </c>
      <c r="D258" s="26" t="inlineStr">
        <is>
          <t>Achat challenge</t>
        </is>
      </c>
      <c r="E258" s="13" t="inlineStr">
        <is>
          <t>Funding Frontier</t>
        </is>
      </c>
      <c r="F258" s="13" t="inlineStr">
        <is>
          <t>#142 Instant-Direct 50k</t>
        </is>
      </c>
      <c r="G258" s="17" t="n">
        <v>50000</v>
      </c>
      <c r="H258" s="17" t="n">
        <v>-749</v>
      </c>
      <c r="I258" s="17" t="n">
        <v>109995</v>
      </c>
      <c r="J258" s="13" t="inlineStr">
        <is>
          <t>Groupe A – rang 30 – financement prévu le 21/01/2027 (instant)</t>
        </is>
      </c>
    </row>
    <row r="259">
      <c r="A259" s="19" t="n">
        <v>258</v>
      </c>
      <c r="B259" s="20" t="n">
        <v>46408</v>
      </c>
      <c r="C259" s="21" t="n">
        <v>4</v>
      </c>
      <c r="D259" s="26" t="inlineStr">
        <is>
          <t>Achat challenge</t>
        </is>
      </c>
      <c r="E259" s="19" t="inlineStr">
        <is>
          <t>FundYourFX</t>
        </is>
      </c>
      <c r="F259" s="19" t="inlineStr">
        <is>
          <t>#143 Instant-Direct 200k</t>
        </is>
      </c>
      <c r="G259" s="22" t="n">
        <v>200000</v>
      </c>
      <c r="H259" s="22" t="n">
        <v>-1599</v>
      </c>
      <c r="I259" s="22" t="n">
        <v>108396</v>
      </c>
      <c r="J259" s="19" t="inlineStr">
        <is>
          <t>Groupe A – rang 31 – financement prévu le 21/01/2027 (instant)</t>
        </is>
      </c>
    </row>
    <row r="260">
      <c r="A260" s="13" t="n">
        <v>259</v>
      </c>
      <c r="B260" s="14" t="n">
        <v>46408</v>
      </c>
      <c r="C260" s="15" t="n">
        <v>4</v>
      </c>
      <c r="D260" s="26" t="inlineStr">
        <is>
          <t>Achat challenge</t>
        </is>
      </c>
      <c r="E260" s="13" t="inlineStr">
        <is>
          <t>Hex Funded</t>
        </is>
      </c>
      <c r="F260" s="13" t="inlineStr">
        <is>
          <t>#144 Instant-Direct 100k</t>
        </is>
      </c>
      <c r="G260" s="17" t="n">
        <v>100000</v>
      </c>
      <c r="H260" s="17" t="n">
        <v>-596</v>
      </c>
      <c r="I260" s="17" t="n">
        <v>107800</v>
      </c>
      <c r="J260" s="13" t="inlineStr">
        <is>
          <t>Groupe A – rang 32 – financement prévu le 21/01/2027 (instant)</t>
        </is>
      </c>
    </row>
    <row r="261">
      <c r="A261" s="19" t="n">
        <v>260</v>
      </c>
      <c r="B261" s="20" t="n">
        <v>46408</v>
      </c>
      <c r="C261" s="21" t="n">
        <v>4</v>
      </c>
      <c r="D261" s="26" t="inlineStr">
        <is>
          <t>Achat challenge</t>
        </is>
      </c>
      <c r="E261" s="19" t="inlineStr">
        <is>
          <t>FundingRock</t>
        </is>
      </c>
      <c r="F261" s="19" t="inlineStr">
        <is>
          <t>#145 Instant-Direct 100k</t>
        </is>
      </c>
      <c r="G261" s="22" t="n">
        <v>100000</v>
      </c>
      <c r="H261" s="22" t="n">
        <v>-600</v>
      </c>
      <c r="I261" s="22" t="n">
        <v>107200</v>
      </c>
      <c r="J261" s="19" t="inlineStr">
        <is>
          <t>Groupe A – rang 33 – financement prévu le 21/01/2027 (instant)</t>
        </is>
      </c>
    </row>
    <row r="262">
      <c r="A262" s="13" t="n">
        <v>261</v>
      </c>
      <c r="B262" s="14" t="n">
        <v>46408</v>
      </c>
      <c r="C262" s="15" t="n">
        <v>4</v>
      </c>
      <c r="D262" s="26" t="inlineStr">
        <is>
          <t>Achat challenge</t>
        </is>
      </c>
      <c r="E262" s="13" t="inlineStr">
        <is>
          <t>LegionFunding</t>
        </is>
      </c>
      <c r="F262" s="13" t="inlineStr">
        <is>
          <t>#146 Instant-Direct 100k</t>
        </is>
      </c>
      <c r="G262" s="17" t="n">
        <v>100000</v>
      </c>
      <c r="H262" s="17" t="n">
        <v>-699</v>
      </c>
      <c r="I262" s="17" t="n">
        <v>106501</v>
      </c>
      <c r="J262" s="13" t="inlineStr">
        <is>
          <t>Groupe A – rang 34 – financement prévu le 21/01/2027 (instant)</t>
        </is>
      </c>
    </row>
    <row r="263">
      <c r="A263" s="19" t="n">
        <v>262</v>
      </c>
      <c r="B263" s="20" t="n">
        <v>46408</v>
      </c>
      <c r="C263" s="21" t="n">
        <v>4</v>
      </c>
      <c r="D263" s="26" t="inlineStr">
        <is>
          <t>Achat challenge</t>
        </is>
      </c>
      <c r="E263" s="19" t="inlineStr">
        <is>
          <t>MasterFunders</t>
        </is>
      </c>
      <c r="F263" s="19" t="inlineStr">
        <is>
          <t>#147 Instant-Direct 100k</t>
        </is>
      </c>
      <c r="G263" s="22" t="n">
        <v>100000</v>
      </c>
      <c r="H263" s="22" t="n">
        <v>-4780</v>
      </c>
      <c r="I263" s="22" t="n">
        <v>101721</v>
      </c>
      <c r="J263" s="19" t="inlineStr">
        <is>
          <t>Groupe A – rang 35 – financement prévu le 21/01/2027 (instant)</t>
        </is>
      </c>
    </row>
    <row r="264">
      <c r="A264" s="13" t="n">
        <v>263</v>
      </c>
      <c r="B264" s="14" t="n">
        <v>46408</v>
      </c>
      <c r="C264" s="15" t="n">
        <v>4</v>
      </c>
      <c r="D264" s="26" t="inlineStr">
        <is>
          <t>Achat challenge</t>
        </is>
      </c>
      <c r="E264" s="13" t="inlineStr">
        <is>
          <t>BloomFunded</t>
        </is>
      </c>
      <c r="F264" s="13" t="inlineStr">
        <is>
          <t>#148 Instant-Direct 50k</t>
        </is>
      </c>
      <c r="G264" s="17" t="n">
        <v>50000</v>
      </c>
      <c r="H264" s="17" t="n">
        <v>-680</v>
      </c>
      <c r="I264" s="17" t="n">
        <v>101041</v>
      </c>
      <c r="J264" s="13" t="inlineStr">
        <is>
          <t>Groupe A – rang 36 – financement prévu le 21/01/2027 (instant)</t>
        </is>
      </c>
    </row>
    <row r="265">
      <c r="A265" s="19" t="n">
        <v>264</v>
      </c>
      <c r="B265" s="20" t="n">
        <v>46408</v>
      </c>
      <c r="C265" s="21" t="n">
        <v>4</v>
      </c>
      <c r="D265" s="26" t="inlineStr">
        <is>
          <t>Achat challenge</t>
        </is>
      </c>
      <c r="E265" s="19" t="inlineStr">
        <is>
          <t>BestProp4U</t>
        </is>
      </c>
      <c r="F265" s="19" t="inlineStr">
        <is>
          <t>#149 2 Step 400k</t>
        </is>
      </c>
      <c r="G265" s="22" t="n">
        <v>400000</v>
      </c>
      <c r="H265" s="22" t="n">
        <v>-2475</v>
      </c>
      <c r="I265" s="22" t="n">
        <v>98566</v>
      </c>
      <c r="J265" s="19" t="inlineStr">
        <is>
          <t>Groupe B – rang 37 – financement prévu le 04/03/2027 (objectif 8% - 5%)</t>
        </is>
      </c>
    </row>
    <row r="266">
      <c r="A266" s="13" t="n">
        <v>265</v>
      </c>
      <c r="B266" s="14" t="n">
        <v>46408</v>
      </c>
      <c r="C266" s="15" t="n">
        <v>4</v>
      </c>
      <c r="D266" s="26" t="inlineStr">
        <is>
          <t>Achat challenge</t>
        </is>
      </c>
      <c r="E266" s="13" t="inlineStr">
        <is>
          <t>BestProp4U</t>
        </is>
      </c>
      <c r="F266" s="13" t="inlineStr">
        <is>
          <t>#150 2 Step 400k</t>
        </is>
      </c>
      <c r="G266" s="17" t="n">
        <v>400000</v>
      </c>
      <c r="H266" s="17" t="n">
        <v>-2475</v>
      </c>
      <c r="I266" s="17" t="n">
        <v>96091</v>
      </c>
      <c r="J266" s="13" t="inlineStr">
        <is>
          <t>Groupe B – rang 37 – financement prévu le 04/03/2027 (objectif 8% - 5%)</t>
        </is>
      </c>
    </row>
    <row r="267">
      <c r="A267" s="19" t="n">
        <v>266</v>
      </c>
      <c r="B267" s="20" t="n">
        <v>46408</v>
      </c>
      <c r="C267" s="21" t="n">
        <v>4</v>
      </c>
      <c r="D267" s="26" t="inlineStr">
        <is>
          <t>Achat challenge</t>
        </is>
      </c>
      <c r="E267" s="19" t="inlineStr">
        <is>
          <t>Blink Funding</t>
        </is>
      </c>
      <c r="F267" s="19" t="inlineStr">
        <is>
          <t>#151 3 Step 500k</t>
        </is>
      </c>
      <c r="G267" s="22" t="n">
        <v>500000</v>
      </c>
      <c r="H267" s="22" t="n">
        <v>-1800</v>
      </c>
      <c r="I267" s="22" t="n">
        <v>94291</v>
      </c>
      <c r="J267" s="19" t="inlineStr">
        <is>
          <t>Groupe B – rang 38 – financement prévu le 04/03/2027 (objectif 5%-5%-5%)</t>
        </is>
      </c>
    </row>
    <row r="268">
      <c r="A268" s="13" t="n">
        <v>267</v>
      </c>
      <c r="B268" s="14" t="n">
        <v>46408</v>
      </c>
      <c r="C268" s="15" t="n">
        <v>4</v>
      </c>
      <c r="D268" s="26" t="inlineStr">
        <is>
          <t>Achat challenge</t>
        </is>
      </c>
      <c r="E268" s="13" t="inlineStr">
        <is>
          <t>Blink Funding</t>
        </is>
      </c>
      <c r="F268" s="13" t="inlineStr">
        <is>
          <t>#152 3 Step 500k</t>
        </is>
      </c>
      <c r="G268" s="17" t="n">
        <v>500000</v>
      </c>
      <c r="H268" s="17" t="n">
        <v>-1800</v>
      </c>
      <c r="I268" s="17" t="n">
        <v>92491</v>
      </c>
      <c r="J268" s="13" t="inlineStr">
        <is>
          <t>Groupe B – rang 38 – financement prévu le 04/03/2027 (objectif 5%-5%-5%)</t>
        </is>
      </c>
    </row>
    <row r="269">
      <c r="A269" s="19" t="n">
        <v>268</v>
      </c>
      <c r="B269" s="20" t="n">
        <v>46408</v>
      </c>
      <c r="C269" s="21" t="n">
        <v>4</v>
      </c>
      <c r="D269" s="26" t="inlineStr">
        <is>
          <t>Achat challenge</t>
        </is>
      </c>
      <c r="E269" s="19" t="inlineStr">
        <is>
          <t>Finotive Futures</t>
        </is>
      </c>
      <c r="F269" s="19" t="inlineStr">
        <is>
          <t>#153 1 Step 150k</t>
        </is>
      </c>
      <c r="G269" s="22" t="n">
        <v>150000</v>
      </c>
      <c r="H269" s="22" t="n">
        <v>-399</v>
      </c>
      <c r="I269" s="22" t="n">
        <v>92092</v>
      </c>
      <c r="J269" s="19" t="inlineStr">
        <is>
          <t>Groupe B – rang 39 – financement prévu le 18/02/2027 (objectif objectif par défaut (non renseigné))</t>
        </is>
      </c>
    </row>
    <row r="270">
      <c r="A270" s="13" t="n">
        <v>269</v>
      </c>
      <c r="B270" s="14" t="n">
        <v>46408</v>
      </c>
      <c r="C270" s="15" t="n">
        <v>4</v>
      </c>
      <c r="D270" s="26" t="inlineStr">
        <is>
          <t>Achat challenge</t>
        </is>
      </c>
      <c r="E270" s="13" t="inlineStr">
        <is>
          <t>Finotive Futures</t>
        </is>
      </c>
      <c r="F270" s="13" t="inlineStr">
        <is>
          <t>#154 1 Step 150k</t>
        </is>
      </c>
      <c r="G270" s="17" t="n">
        <v>150000</v>
      </c>
      <c r="H270" s="17" t="n">
        <v>-399</v>
      </c>
      <c r="I270" s="17" t="n">
        <v>91693</v>
      </c>
      <c r="J270" s="13" t="inlineStr">
        <is>
          <t>Groupe B – rang 39 – financement prévu le 18/02/2027 (objectif objectif par défaut (non renseigné))</t>
        </is>
      </c>
    </row>
    <row r="271">
      <c r="A271" s="19" t="n">
        <v>270</v>
      </c>
      <c r="B271" s="20" t="n">
        <v>46408</v>
      </c>
      <c r="C271" s="21" t="n">
        <v>4</v>
      </c>
      <c r="D271" s="26" t="inlineStr">
        <is>
          <t>Achat challenge</t>
        </is>
      </c>
      <c r="E271" s="19" t="inlineStr">
        <is>
          <t>Finotive Futures</t>
        </is>
      </c>
      <c r="F271" s="19" t="inlineStr">
        <is>
          <t>#155 1 Step 150k</t>
        </is>
      </c>
      <c r="G271" s="22" t="n">
        <v>150000</v>
      </c>
      <c r="H271" s="22" t="n">
        <v>-399</v>
      </c>
      <c r="I271" s="22" t="n">
        <v>91294</v>
      </c>
      <c r="J271" s="19" t="inlineStr">
        <is>
          <t>Groupe B – rang 39 – financement prévu le 18/02/2027 (objectif objectif par défaut (non renseigné))</t>
        </is>
      </c>
    </row>
    <row r="272">
      <c r="A272" s="13" t="n">
        <v>271</v>
      </c>
      <c r="B272" s="14" t="n">
        <v>46408</v>
      </c>
      <c r="C272" s="15" t="n">
        <v>4</v>
      </c>
      <c r="D272" s="26" t="inlineStr">
        <is>
          <t>Achat challenge</t>
        </is>
      </c>
      <c r="E272" s="13" t="inlineStr">
        <is>
          <t>Finotive Futures</t>
        </is>
      </c>
      <c r="F272" s="13" t="inlineStr">
        <is>
          <t>#156 1 Step 150k</t>
        </is>
      </c>
      <c r="G272" s="17" t="n">
        <v>150000</v>
      </c>
      <c r="H272" s="17" t="n">
        <v>-399</v>
      </c>
      <c r="I272" s="17" t="n">
        <v>90895</v>
      </c>
      <c r="J272" s="13" t="inlineStr">
        <is>
          <t>Groupe B – rang 39 – financement prévu le 18/02/2027 (objectif objectif par défaut (non renseigné))</t>
        </is>
      </c>
    </row>
    <row r="273">
      <c r="A273" s="19" t="n">
        <v>272</v>
      </c>
      <c r="B273" s="20" t="n">
        <v>46408</v>
      </c>
      <c r="C273" s="21" t="n">
        <v>4</v>
      </c>
      <c r="D273" s="26" t="inlineStr">
        <is>
          <t>Achat challenge</t>
        </is>
      </c>
      <c r="E273" s="19" t="inlineStr">
        <is>
          <t>Finotive Futures</t>
        </is>
      </c>
      <c r="F273" s="19" t="inlineStr">
        <is>
          <t>#157 1 Step 150k</t>
        </is>
      </c>
      <c r="G273" s="22" t="n">
        <v>150000</v>
      </c>
      <c r="H273" s="22" t="n">
        <v>-399</v>
      </c>
      <c r="I273" s="22" t="n">
        <v>90496</v>
      </c>
      <c r="J273" s="19" t="inlineStr">
        <is>
          <t>Groupe B – rang 39 – financement prévu le 18/02/2027 (objectif objectif par défaut (non renseigné))</t>
        </is>
      </c>
    </row>
    <row r="274">
      <c r="A274" s="13" t="n">
        <v>273</v>
      </c>
      <c r="B274" s="14" t="n">
        <v>46408</v>
      </c>
      <c r="C274" s="15" t="n">
        <v>4</v>
      </c>
      <c r="D274" s="26" t="inlineStr">
        <is>
          <t>Achat challenge</t>
        </is>
      </c>
      <c r="E274" s="13" t="inlineStr">
        <is>
          <t>Finotive Futures</t>
        </is>
      </c>
      <c r="F274" s="13" t="inlineStr">
        <is>
          <t>#158 1 Step 150k</t>
        </is>
      </c>
      <c r="G274" s="17" t="n">
        <v>150000</v>
      </c>
      <c r="H274" s="17" t="n">
        <v>-399</v>
      </c>
      <c r="I274" s="17" t="n">
        <v>90097</v>
      </c>
      <c r="J274" s="13" t="inlineStr">
        <is>
          <t>Groupe B – rang 39 – financement prévu le 18/02/2027 (objectif objectif par défaut (non renseigné))</t>
        </is>
      </c>
    </row>
    <row r="275">
      <c r="A275" s="19" t="n">
        <v>274</v>
      </c>
      <c r="B275" s="20" t="n">
        <v>46408</v>
      </c>
      <c r="C275" s="21" t="n">
        <v>4</v>
      </c>
      <c r="D275" s="26" t="inlineStr">
        <is>
          <t>Achat challenge</t>
        </is>
      </c>
      <c r="E275" s="19" t="inlineStr">
        <is>
          <t>Funded Trader Markets</t>
        </is>
      </c>
      <c r="F275" s="19" t="inlineStr">
        <is>
          <t>#159 1 Step 300k</t>
        </is>
      </c>
      <c r="G275" s="22" t="n">
        <v>300000</v>
      </c>
      <c r="H275" s="22" t="n">
        <v>-1622</v>
      </c>
      <c r="I275" s="22" t="n">
        <v>88475</v>
      </c>
      <c r="J275" s="19" t="inlineStr">
        <is>
          <t>Groupe B – rang 40 – financement prévu le 18/02/2027 (objectif 6%)</t>
        </is>
      </c>
    </row>
    <row r="276">
      <c r="A276" s="13" t="n">
        <v>275</v>
      </c>
      <c r="B276" s="14" t="n">
        <v>46408</v>
      </c>
      <c r="C276" s="15" t="n">
        <v>4</v>
      </c>
      <c r="D276" s="26" t="inlineStr">
        <is>
          <t>Achat challenge</t>
        </is>
      </c>
      <c r="E276" s="13" t="inlineStr">
        <is>
          <t>Funded Trader Markets</t>
        </is>
      </c>
      <c r="F276" s="13" t="inlineStr">
        <is>
          <t>#160 1 Step 300k</t>
        </is>
      </c>
      <c r="G276" s="17" t="n">
        <v>300000</v>
      </c>
      <c r="H276" s="17" t="n">
        <v>-1622</v>
      </c>
      <c r="I276" s="17" t="n">
        <v>86853</v>
      </c>
      <c r="J276" s="13" t="inlineStr">
        <is>
          <t>Groupe B – rang 40 – financement prévu le 18/02/2027 (objectif 6%)</t>
        </is>
      </c>
    </row>
    <row r="277">
      <c r="A277" s="19" t="n">
        <v>276</v>
      </c>
      <c r="B277" s="20" t="n">
        <v>46408</v>
      </c>
      <c r="C277" s="21" t="n">
        <v>4</v>
      </c>
      <c r="D277" s="26" t="inlineStr">
        <is>
          <t>Achat challenge</t>
        </is>
      </c>
      <c r="E277" s="19" t="inlineStr">
        <is>
          <t>Funded Trader Markets</t>
        </is>
      </c>
      <c r="F277" s="19" t="inlineStr">
        <is>
          <t>#161 1 Step 300k</t>
        </is>
      </c>
      <c r="G277" s="22" t="n">
        <v>300000</v>
      </c>
      <c r="H277" s="22" t="n">
        <v>-1622</v>
      </c>
      <c r="I277" s="22" t="n">
        <v>85231</v>
      </c>
      <c r="J277" s="19" t="inlineStr">
        <is>
          <t>Groupe B – rang 40 – financement prévu le 18/02/2027 (objectif 6%)</t>
        </is>
      </c>
    </row>
    <row r="278">
      <c r="A278" s="13" t="n">
        <v>277</v>
      </c>
      <c r="B278" s="14" t="n">
        <v>46408</v>
      </c>
      <c r="C278" s="15" t="n">
        <v>4</v>
      </c>
      <c r="D278" s="26" t="inlineStr">
        <is>
          <t>Achat challenge</t>
        </is>
      </c>
      <c r="E278" s="13" t="inlineStr">
        <is>
          <t>Investiqa</t>
        </is>
      </c>
      <c r="F278" s="13" t="inlineStr">
        <is>
          <t>#162 2 Step 500k</t>
        </is>
      </c>
      <c r="G278" s="17" t="n">
        <v>500000</v>
      </c>
      <c r="H278" s="17" t="n">
        <v>-2520</v>
      </c>
      <c r="I278" s="17" t="n">
        <v>82711</v>
      </c>
      <c r="J278" s="13" t="inlineStr">
        <is>
          <t>Groupe B – rang 41 – financement prévu le 04/03/2027 (objectif 10% - 5%)</t>
        </is>
      </c>
    </row>
    <row r="279">
      <c r="A279" s="19" t="n">
        <v>278</v>
      </c>
      <c r="B279" s="20" t="n">
        <v>46408</v>
      </c>
      <c r="C279" s="21" t="n">
        <v>4</v>
      </c>
      <c r="D279" s="26" t="inlineStr">
        <is>
          <t>Achat challenge</t>
        </is>
      </c>
      <c r="E279" s="19" t="inlineStr">
        <is>
          <t>Investiqa</t>
        </is>
      </c>
      <c r="F279" s="19" t="inlineStr">
        <is>
          <t>#163 2 Step 500k</t>
        </is>
      </c>
      <c r="G279" s="22" t="n">
        <v>500000</v>
      </c>
      <c r="H279" s="22" t="n">
        <v>-2520</v>
      </c>
      <c r="I279" s="22" t="n">
        <v>80191</v>
      </c>
      <c r="J279" s="19" t="inlineStr">
        <is>
          <t>Groupe B – rang 41 – financement prévu le 04/03/2027 (objectif 10% - 5%)</t>
        </is>
      </c>
    </row>
    <row r="280">
      <c r="A280" s="13" t="n">
        <v>279</v>
      </c>
      <c r="B280" s="14" t="n">
        <v>46408</v>
      </c>
      <c r="C280" s="15" t="n">
        <v>4</v>
      </c>
      <c r="D280" s="26" t="inlineStr">
        <is>
          <t>Achat challenge</t>
        </is>
      </c>
      <c r="E280" s="13" t="inlineStr">
        <is>
          <t>Kingdom Wealth Funding</t>
        </is>
      </c>
      <c r="F280" s="13" t="inlineStr">
        <is>
          <t>#164 1 Step 1000k</t>
        </is>
      </c>
      <c r="G280" s="17" t="n">
        <v>1000000</v>
      </c>
      <c r="H280" s="17" t="n">
        <v>-8500</v>
      </c>
      <c r="I280" s="17" t="n">
        <v>71691</v>
      </c>
      <c r="J280" s="13" t="inlineStr">
        <is>
          <t>Groupe B – rang 42 – financement prévu le 18/02/2027 (objectif 10%)</t>
        </is>
      </c>
    </row>
    <row r="281">
      <c r="A281" s="19" t="n">
        <v>280</v>
      </c>
      <c r="B281" s="20" t="n">
        <v>46408</v>
      </c>
      <c r="C281" s="21" t="n">
        <v>4</v>
      </c>
      <c r="D281" s="26" t="inlineStr">
        <is>
          <t>Achat challenge</t>
        </is>
      </c>
      <c r="E281" s="19" t="inlineStr">
        <is>
          <t>Ment Funding</t>
        </is>
      </c>
      <c r="F281" s="19" t="inlineStr">
        <is>
          <t>#165 1 Step 1000k</t>
        </is>
      </c>
      <c r="G281" s="22" t="n">
        <v>1000000</v>
      </c>
      <c r="H281" s="22" t="n">
        <v>-9750</v>
      </c>
      <c r="I281" s="22" t="n">
        <v>61941</v>
      </c>
      <c r="J281" s="19" t="inlineStr">
        <is>
          <t>Groupe B – rang 43 – financement prévu le 18/02/2027 (objectif 10%)</t>
        </is>
      </c>
    </row>
    <row r="282">
      <c r="A282" s="13" t="n">
        <v>281</v>
      </c>
      <c r="B282" s="14" t="n">
        <v>46408</v>
      </c>
      <c r="C282" s="15" t="n">
        <v>4</v>
      </c>
      <c r="D282" s="26" t="inlineStr">
        <is>
          <t>Achat challenge</t>
        </is>
      </c>
      <c r="E282" s="13" t="inlineStr">
        <is>
          <t>FXIFY</t>
        </is>
      </c>
      <c r="F282" s="13" t="inlineStr">
        <is>
          <t>#166 3 Step 400k</t>
        </is>
      </c>
      <c r="G282" s="17" t="n">
        <v>400000</v>
      </c>
      <c r="H282" s="17" t="n">
        <v>-1599</v>
      </c>
      <c r="I282" s="17" t="n">
        <v>60342</v>
      </c>
      <c r="J282" s="13" t="inlineStr">
        <is>
          <t>Groupe B – rang 44 – financement prévu le 04/03/2027 (objectif 5%-5%-5%)</t>
        </is>
      </c>
    </row>
    <row r="283">
      <c r="A283" s="19" t="n">
        <v>282</v>
      </c>
      <c r="B283" s="20" t="n">
        <v>46408</v>
      </c>
      <c r="C283" s="21" t="n">
        <v>4</v>
      </c>
      <c r="D283" s="26" t="inlineStr">
        <is>
          <t>Achat challenge</t>
        </is>
      </c>
      <c r="E283" s="19" t="inlineStr">
        <is>
          <t>FXIFY</t>
        </is>
      </c>
      <c r="F283" s="19" t="inlineStr">
        <is>
          <t>#167 3 Step 400k</t>
        </is>
      </c>
      <c r="G283" s="22" t="n">
        <v>400000</v>
      </c>
      <c r="H283" s="22" t="n">
        <v>-1599</v>
      </c>
      <c r="I283" s="22" t="n">
        <v>58743</v>
      </c>
      <c r="J283" s="19" t="inlineStr">
        <is>
          <t>Groupe B – rang 44 – financement prévu le 04/03/2027 (objectif 5%-5%-5%)</t>
        </is>
      </c>
    </row>
    <row r="284">
      <c r="A284" s="13" t="n">
        <v>283</v>
      </c>
      <c r="B284" s="14" t="n">
        <v>46408</v>
      </c>
      <c r="C284" s="15" t="n">
        <v>4</v>
      </c>
      <c r="D284" s="26" t="inlineStr">
        <is>
          <t>Achat challenge</t>
        </is>
      </c>
      <c r="E284" s="13" t="inlineStr">
        <is>
          <t>Funded Squad</t>
        </is>
      </c>
      <c r="F284" s="13" t="inlineStr">
        <is>
          <t>#168 2 Step 200k</t>
        </is>
      </c>
      <c r="G284" s="17" t="n">
        <v>200000</v>
      </c>
      <c r="H284" s="17" t="n">
        <v>-1199</v>
      </c>
      <c r="I284" s="17" t="n">
        <v>57544</v>
      </c>
      <c r="J284" s="13" t="inlineStr">
        <is>
          <t>Groupe B – rang 45 – financement prévu le 04/03/2027 (objectif 6% (+5 % par phase non renseignée))</t>
        </is>
      </c>
    </row>
    <row r="285">
      <c r="A285" s="19" t="n">
        <v>284</v>
      </c>
      <c r="B285" s="20" t="n">
        <v>46408</v>
      </c>
      <c r="C285" s="21" t="n">
        <v>4</v>
      </c>
      <c r="D285" s="26" t="inlineStr">
        <is>
          <t>Achat challenge</t>
        </is>
      </c>
      <c r="E285" s="19" t="inlineStr">
        <is>
          <t>Funded Squad</t>
        </is>
      </c>
      <c r="F285" s="19" t="inlineStr">
        <is>
          <t>#169 2 Step 200k</t>
        </is>
      </c>
      <c r="G285" s="22" t="n">
        <v>200000</v>
      </c>
      <c r="H285" s="22" t="n">
        <v>-1199</v>
      </c>
      <c r="I285" s="22" t="n">
        <v>56345</v>
      </c>
      <c r="J285" s="19" t="inlineStr">
        <is>
          <t>Groupe B – rang 45 – financement prévu le 04/03/2027 (objectif 6% (+5 % par phase non renseignée))</t>
        </is>
      </c>
    </row>
    <row r="286">
      <c r="A286" s="13" t="n">
        <v>285</v>
      </c>
      <c r="B286" s="14" t="n">
        <v>46408</v>
      </c>
      <c r="C286" s="15" t="n">
        <v>4</v>
      </c>
      <c r="D286" s="26" t="inlineStr">
        <is>
          <t>Achat challenge</t>
        </is>
      </c>
      <c r="E286" s="13" t="inlineStr">
        <is>
          <t>Funded Squad</t>
        </is>
      </c>
      <c r="F286" s="13" t="inlineStr">
        <is>
          <t>#170 2 Step 200k</t>
        </is>
      </c>
      <c r="G286" s="17" t="n">
        <v>200000</v>
      </c>
      <c r="H286" s="17" t="n">
        <v>-1199</v>
      </c>
      <c r="I286" s="17" t="n">
        <v>55146</v>
      </c>
      <c r="J286" s="13" t="inlineStr">
        <is>
          <t>Groupe B – rang 45 – financement prévu le 04/03/2027 (objectif 6% (+5 % par phase non renseignée))</t>
        </is>
      </c>
    </row>
    <row r="287">
      <c r="A287" s="19" t="n">
        <v>286</v>
      </c>
      <c r="B287" s="20" t="n">
        <v>46408</v>
      </c>
      <c r="C287" s="21" t="n">
        <v>4</v>
      </c>
      <c r="D287" s="26" t="inlineStr">
        <is>
          <t>Achat challenge</t>
        </is>
      </c>
      <c r="E287" s="19" t="inlineStr">
        <is>
          <t>Funded Squad</t>
        </is>
      </c>
      <c r="F287" s="19" t="inlineStr">
        <is>
          <t>#171 2 Step 200k</t>
        </is>
      </c>
      <c r="G287" s="22" t="n">
        <v>200000</v>
      </c>
      <c r="H287" s="22" t="n">
        <v>-1199</v>
      </c>
      <c r="I287" s="22" t="n">
        <v>53947</v>
      </c>
      <c r="J287" s="19" t="inlineStr">
        <is>
          <t>Groupe B – rang 45 – financement prévu le 04/03/2027 (objectif 6% (+5 % par phase non renseignée))</t>
        </is>
      </c>
    </row>
    <row r="288">
      <c r="A288" s="13" t="n">
        <v>287</v>
      </c>
      <c r="B288" s="14" t="n">
        <v>46408</v>
      </c>
      <c r="C288" s="15" t="n">
        <v>4</v>
      </c>
      <c r="D288" s="26" t="inlineStr">
        <is>
          <t>Achat challenge</t>
        </is>
      </c>
      <c r="E288" s="13" t="inlineStr">
        <is>
          <t>Ment Funding Futures</t>
        </is>
      </c>
      <c r="F288" s="13" t="inlineStr">
        <is>
          <t>#172 1 Step 400k</t>
        </is>
      </c>
      <c r="G288" s="17" t="n">
        <v>400000</v>
      </c>
      <c r="H288" s="17" t="n">
        <v>-3900</v>
      </c>
      <c r="I288" s="17" t="n">
        <v>50047</v>
      </c>
      <c r="J288" s="13" t="inlineStr">
        <is>
          <t>Groupe B – rang 46 – financement prévu le 18/02/2027 (objectif objectif par défaut (non renseigné))</t>
        </is>
      </c>
    </row>
    <row r="289">
      <c r="A289" s="19" t="n">
        <v>288</v>
      </c>
      <c r="B289" s="20" t="n">
        <v>46408</v>
      </c>
      <c r="C289" s="21" t="n">
        <v>4</v>
      </c>
      <c r="D289" s="26" t="inlineStr">
        <is>
          <t>Achat challenge</t>
        </is>
      </c>
      <c r="E289" s="19" t="inlineStr">
        <is>
          <t>10FOUR</t>
        </is>
      </c>
      <c r="F289" s="19" t="inlineStr">
        <is>
          <t>#173 1 Step 150k</t>
        </is>
      </c>
      <c r="G289" s="22" t="n">
        <v>150000</v>
      </c>
      <c r="H289" s="22" t="n">
        <v>-248.57</v>
      </c>
      <c r="I289" s="22" t="n">
        <v>49798.43</v>
      </c>
      <c r="J289" s="19" t="inlineStr">
        <is>
          <t>Groupe B – rang 47 – financement prévu le 18/02/2027 (objectif objectif par défaut (non renseigné))</t>
        </is>
      </c>
    </row>
    <row r="290">
      <c r="A290" s="13" t="n">
        <v>289</v>
      </c>
      <c r="B290" s="14" t="n">
        <v>46408</v>
      </c>
      <c r="C290" s="15" t="n">
        <v>4</v>
      </c>
      <c r="D290" s="26" t="inlineStr">
        <is>
          <t>Achat challenge</t>
        </is>
      </c>
      <c r="E290" s="13" t="inlineStr">
        <is>
          <t>10FOUR</t>
        </is>
      </c>
      <c r="F290" s="13" t="inlineStr">
        <is>
          <t>#174 1 Step 150k</t>
        </is>
      </c>
      <c r="G290" s="17" t="n">
        <v>150000</v>
      </c>
      <c r="H290" s="17" t="n">
        <v>-248.57</v>
      </c>
      <c r="I290" s="17" t="n">
        <v>49549.86</v>
      </c>
      <c r="J290" s="13" t="inlineStr">
        <is>
          <t>Groupe B – rang 47 – financement prévu le 18/02/2027 (objectif objectif par défaut (non renseigné))</t>
        </is>
      </c>
    </row>
    <row r="291">
      <c r="A291" s="19" t="n">
        <v>290</v>
      </c>
      <c r="B291" s="20" t="n">
        <v>46408</v>
      </c>
      <c r="C291" s="21" t="n">
        <v>4</v>
      </c>
      <c r="D291" s="26" t="inlineStr">
        <is>
          <t>Achat challenge</t>
        </is>
      </c>
      <c r="E291" s="19" t="inlineStr">
        <is>
          <t>10FOUR</t>
        </is>
      </c>
      <c r="F291" s="19" t="inlineStr">
        <is>
          <t>#175 1 Step 150k</t>
        </is>
      </c>
      <c r="G291" s="22" t="n">
        <v>150000</v>
      </c>
      <c r="H291" s="22" t="n">
        <v>-248.57</v>
      </c>
      <c r="I291" s="22" t="n">
        <v>49301.29</v>
      </c>
      <c r="J291" s="19" t="inlineStr">
        <is>
          <t>Groupe B – rang 47 – financement prévu le 18/02/2027 (objectif objectif par défaut (non renseigné))</t>
        </is>
      </c>
    </row>
    <row r="292">
      <c r="A292" s="13" t="n">
        <v>291</v>
      </c>
      <c r="B292" s="14" t="n">
        <v>46408</v>
      </c>
      <c r="C292" s="15" t="n">
        <v>4</v>
      </c>
      <c r="D292" s="26" t="inlineStr">
        <is>
          <t>Achat challenge</t>
        </is>
      </c>
      <c r="E292" s="13" t="inlineStr">
        <is>
          <t>10FOUR</t>
        </is>
      </c>
      <c r="F292" s="13" t="inlineStr">
        <is>
          <t>#176 1 Step 150k</t>
        </is>
      </c>
      <c r="G292" s="17" t="n">
        <v>150000</v>
      </c>
      <c r="H292" s="17" t="n">
        <v>-248.57</v>
      </c>
      <c r="I292" s="17" t="n">
        <v>49052.72</v>
      </c>
      <c r="J292" s="13" t="inlineStr">
        <is>
          <t>Groupe B – rang 47 – financement prévu le 18/02/2027 (objectif objectif par défaut (non renseigné))</t>
        </is>
      </c>
    </row>
    <row r="293">
      <c r="A293" s="19" t="n">
        <v>292</v>
      </c>
      <c r="B293" s="20" t="n">
        <v>46408</v>
      </c>
      <c r="C293" s="21" t="n">
        <v>4</v>
      </c>
      <c r="D293" s="26" t="inlineStr">
        <is>
          <t>Achat challenge</t>
        </is>
      </c>
      <c r="E293" s="19" t="inlineStr">
        <is>
          <t>10FOUR</t>
        </is>
      </c>
      <c r="F293" s="19" t="inlineStr">
        <is>
          <t>#177 1 Step 150k</t>
        </is>
      </c>
      <c r="G293" s="22" t="n">
        <v>150000</v>
      </c>
      <c r="H293" s="22" t="n">
        <v>-248.57</v>
      </c>
      <c r="I293" s="22" t="n">
        <v>48804.15</v>
      </c>
      <c r="J293" s="19" t="inlineStr">
        <is>
          <t>Groupe B – rang 47 – financement prévu le 18/02/2027 (objectif objectif par défaut (non renseigné))</t>
        </is>
      </c>
    </row>
    <row r="294">
      <c r="A294" s="13" t="n">
        <v>293</v>
      </c>
      <c r="B294" s="14" t="n">
        <v>46408</v>
      </c>
      <c r="C294" s="15" t="n">
        <v>4</v>
      </c>
      <c r="D294" s="26" t="inlineStr">
        <is>
          <t>Achat challenge</t>
        </is>
      </c>
      <c r="E294" s="13" t="inlineStr">
        <is>
          <t>Blue Guardian Futures</t>
        </is>
      </c>
      <c r="F294" s="13" t="inlineStr">
        <is>
          <t>#178 1 Step 100k</t>
        </is>
      </c>
      <c r="G294" s="17" t="n">
        <v>100000</v>
      </c>
      <c r="H294" s="17" t="n">
        <v>-2200</v>
      </c>
      <c r="I294" s="17" t="n">
        <v>46604.15</v>
      </c>
      <c r="J294" s="13" t="inlineStr">
        <is>
          <t>Groupe B – rang 48 – financement prévu le 18/02/2027 (objectif objectif par défaut (non renseigné))</t>
        </is>
      </c>
    </row>
    <row r="295">
      <c r="A295" s="19" t="n">
        <v>294</v>
      </c>
      <c r="B295" s="20" t="n">
        <v>46408</v>
      </c>
      <c r="C295" s="21" t="n">
        <v>4</v>
      </c>
      <c r="D295" s="26" t="inlineStr">
        <is>
          <t>Achat challenge</t>
        </is>
      </c>
      <c r="E295" s="19" t="inlineStr">
        <is>
          <t>Blue Guardian Futures</t>
        </is>
      </c>
      <c r="F295" s="19" t="inlineStr">
        <is>
          <t>#179 1 Step 100k</t>
        </is>
      </c>
      <c r="G295" s="22" t="n">
        <v>100000</v>
      </c>
      <c r="H295" s="22" t="n">
        <v>-2200</v>
      </c>
      <c r="I295" s="22" t="n">
        <v>44404.15</v>
      </c>
      <c r="J295" s="19" t="inlineStr">
        <is>
          <t>Groupe B – rang 48 – financement prévu le 18/02/2027 (objectif objectif par défaut (non renseigné))</t>
        </is>
      </c>
    </row>
    <row r="296">
      <c r="A296" s="13" t="n">
        <v>295</v>
      </c>
      <c r="B296" s="14" t="n">
        <v>46408</v>
      </c>
      <c r="C296" s="15" t="n">
        <v>4</v>
      </c>
      <c r="D296" s="26" t="inlineStr">
        <is>
          <t>Achat challenge</t>
        </is>
      </c>
      <c r="E296" s="13" t="inlineStr">
        <is>
          <t>Blue Guardian Futures</t>
        </is>
      </c>
      <c r="F296" s="13" t="inlineStr">
        <is>
          <t>#180 1 Step 100k</t>
        </is>
      </c>
      <c r="G296" s="17" t="n">
        <v>100000</v>
      </c>
      <c r="H296" s="17" t="n">
        <v>-2200</v>
      </c>
      <c r="I296" s="17" t="n">
        <v>42204.15</v>
      </c>
      <c r="J296" s="13" t="inlineStr">
        <is>
          <t>Groupe B – rang 48 – financement prévu le 18/02/2027 (objectif objectif par défaut (non renseigné))</t>
        </is>
      </c>
    </row>
    <row r="297">
      <c r="A297" s="19" t="n">
        <v>296</v>
      </c>
      <c r="B297" s="20" t="n">
        <v>46408</v>
      </c>
      <c r="C297" s="21" t="n">
        <v>4</v>
      </c>
      <c r="D297" s="26" t="inlineStr">
        <is>
          <t>Achat challenge</t>
        </is>
      </c>
      <c r="E297" s="19" t="inlineStr">
        <is>
          <t>Blue Guardian Futures</t>
        </is>
      </c>
      <c r="F297" s="19" t="inlineStr">
        <is>
          <t>#181 1 Step 100k</t>
        </is>
      </c>
      <c r="G297" s="22" t="n">
        <v>100000</v>
      </c>
      <c r="H297" s="22" t="n">
        <v>-2200</v>
      </c>
      <c r="I297" s="22" t="n">
        <v>40004.15</v>
      </c>
      <c r="J297" s="19" t="inlineStr">
        <is>
          <t>Groupe B – rang 48 – financement prévu le 18/02/2027 (objectif objectif par défaut (non renseigné))</t>
        </is>
      </c>
    </row>
    <row r="298">
      <c r="A298" s="13" t="n">
        <v>297</v>
      </c>
      <c r="B298" s="14" t="n">
        <v>46408</v>
      </c>
      <c r="C298" s="15" t="n">
        <v>4</v>
      </c>
      <c r="D298" s="26" t="inlineStr">
        <is>
          <t>Achat challenge</t>
        </is>
      </c>
      <c r="E298" s="13" t="inlineStr">
        <is>
          <t>Blue Guardian Futures</t>
        </is>
      </c>
      <c r="F298" s="13" t="inlineStr">
        <is>
          <t>#182 1 Step 100k</t>
        </is>
      </c>
      <c r="G298" s="17" t="n">
        <v>100000</v>
      </c>
      <c r="H298" s="17" t="n">
        <v>-2200</v>
      </c>
      <c r="I298" s="17" t="n">
        <v>37804.15</v>
      </c>
      <c r="J298" s="13" t="inlineStr">
        <is>
          <t>Groupe B – rang 48 – financement prévu le 18/02/2027 (objectif objectif par défaut (non renseigné))</t>
        </is>
      </c>
    </row>
    <row r="299">
      <c r="A299" s="19" t="n">
        <v>298</v>
      </c>
      <c r="B299" s="20" t="n">
        <v>46408</v>
      </c>
      <c r="C299" s="21" t="n">
        <v>4</v>
      </c>
      <c r="D299" s="26" t="inlineStr">
        <is>
          <t>Achat challenge</t>
        </is>
      </c>
      <c r="E299" s="19" t="inlineStr">
        <is>
          <t>Blue Guardian Futures</t>
        </is>
      </c>
      <c r="F299" s="19" t="inlineStr">
        <is>
          <t>#183 1 Step 100k</t>
        </is>
      </c>
      <c r="G299" s="22" t="n">
        <v>100000</v>
      </c>
      <c r="H299" s="22" t="n">
        <v>-2200</v>
      </c>
      <c r="I299" s="22" t="n">
        <v>35604.15</v>
      </c>
      <c r="J299" s="19" t="inlineStr">
        <is>
          <t>Groupe B – rang 48 – financement prévu le 18/02/2027 (objectif objectif par défaut (non renseigné))</t>
        </is>
      </c>
    </row>
    <row r="300">
      <c r="A300" s="13" t="n">
        <v>299</v>
      </c>
      <c r="B300" s="14" t="n">
        <v>46408</v>
      </c>
      <c r="C300" s="15" t="n">
        <v>4</v>
      </c>
      <c r="D300" s="26" t="inlineStr">
        <is>
          <t>Achat challenge</t>
        </is>
      </c>
      <c r="E300" s="13" t="inlineStr">
        <is>
          <t>Blue Guardian Futures</t>
        </is>
      </c>
      <c r="F300" s="13" t="inlineStr">
        <is>
          <t>#184 1 Step 100k</t>
        </is>
      </c>
      <c r="G300" s="17" t="n">
        <v>100000</v>
      </c>
      <c r="H300" s="17" t="n">
        <v>-2200</v>
      </c>
      <c r="I300" s="17" t="n">
        <v>33404.15</v>
      </c>
      <c r="J300" s="13" t="inlineStr">
        <is>
          <t>Groupe B – rang 48 – financement prévu le 18/02/2027 (objectif objectif par défaut (non renseigné))</t>
        </is>
      </c>
    </row>
    <row r="301">
      <c r="A301" s="19" t="n">
        <v>300</v>
      </c>
      <c r="B301" s="20" t="n">
        <v>46408</v>
      </c>
      <c r="C301" s="21" t="n">
        <v>4</v>
      </c>
      <c r="D301" s="26" t="inlineStr">
        <is>
          <t>Achat challenge</t>
        </is>
      </c>
      <c r="E301" s="19" t="inlineStr">
        <is>
          <t>FunderPro Futures</t>
        </is>
      </c>
      <c r="F301" s="19" t="inlineStr">
        <is>
          <t>#185 1 Step 150k</t>
        </is>
      </c>
      <c r="G301" s="22" t="n">
        <v>150000</v>
      </c>
      <c r="H301" s="22" t="n">
        <v>-219</v>
      </c>
      <c r="I301" s="22" t="n">
        <v>33185.15</v>
      </c>
      <c r="J301" s="19" t="inlineStr">
        <is>
          <t>Groupe B – rang 49 – financement prévu le 18/02/2027 (objectif objectif par défaut (non renseigné))</t>
        </is>
      </c>
    </row>
    <row r="302">
      <c r="A302" s="13" t="n">
        <v>301</v>
      </c>
      <c r="B302" s="14" t="n">
        <v>46408</v>
      </c>
      <c r="C302" s="15" t="n">
        <v>4</v>
      </c>
      <c r="D302" s="26" t="inlineStr">
        <is>
          <t>Achat challenge</t>
        </is>
      </c>
      <c r="E302" s="13" t="inlineStr">
        <is>
          <t>FunderPro Futures</t>
        </is>
      </c>
      <c r="F302" s="13" t="inlineStr">
        <is>
          <t>#186 1 Step 150k</t>
        </is>
      </c>
      <c r="G302" s="17" t="n">
        <v>150000</v>
      </c>
      <c r="H302" s="17" t="n">
        <v>-219</v>
      </c>
      <c r="I302" s="17" t="n">
        <v>32966.15</v>
      </c>
      <c r="J302" s="13" t="inlineStr">
        <is>
          <t>Groupe B – rang 49 – financement prévu le 18/02/2027 (objectif objectif par défaut (non renseigné))</t>
        </is>
      </c>
    </row>
    <row r="303">
      <c r="A303" s="19" t="n">
        <v>302</v>
      </c>
      <c r="B303" s="20" t="n">
        <v>46408</v>
      </c>
      <c r="C303" s="21" t="n">
        <v>4</v>
      </c>
      <c r="D303" s="26" t="inlineStr">
        <is>
          <t>Achat challenge</t>
        </is>
      </c>
      <c r="E303" s="19" t="inlineStr">
        <is>
          <t>FunderPro Futures</t>
        </is>
      </c>
      <c r="F303" s="19" t="inlineStr">
        <is>
          <t>#187 1 Step 150k</t>
        </is>
      </c>
      <c r="G303" s="22" t="n">
        <v>150000</v>
      </c>
      <c r="H303" s="22" t="n">
        <v>-219</v>
      </c>
      <c r="I303" s="22" t="n">
        <v>32747.15</v>
      </c>
      <c r="J303" s="19" t="inlineStr">
        <is>
          <t>Groupe B – rang 49 – financement prévu le 18/02/2027 (objectif objectif par défaut (non renseigné))</t>
        </is>
      </c>
    </row>
    <row r="304">
      <c r="A304" s="13" t="n">
        <v>303</v>
      </c>
      <c r="B304" s="14" t="n">
        <v>46408</v>
      </c>
      <c r="C304" s="15" t="n">
        <v>4</v>
      </c>
      <c r="D304" s="26" t="inlineStr">
        <is>
          <t>Achat challenge</t>
        </is>
      </c>
      <c r="E304" s="13" t="inlineStr">
        <is>
          <t>FunderPro Futures</t>
        </is>
      </c>
      <c r="F304" s="13" t="inlineStr">
        <is>
          <t>#188 1 Step 150k</t>
        </is>
      </c>
      <c r="G304" s="17" t="n">
        <v>150000</v>
      </c>
      <c r="H304" s="17" t="n">
        <v>-219</v>
      </c>
      <c r="I304" s="17" t="n">
        <v>32528.15</v>
      </c>
      <c r="J304" s="13" t="inlineStr">
        <is>
          <t>Groupe B – rang 49 – financement prévu le 18/02/2027 (objectif objectif par défaut (non renseigné))</t>
        </is>
      </c>
    </row>
    <row r="305">
      <c r="A305" s="19" t="n">
        <v>304</v>
      </c>
      <c r="B305" s="20" t="n">
        <v>46408</v>
      </c>
      <c r="C305" s="21" t="n">
        <v>4</v>
      </c>
      <c r="D305" s="26" t="inlineStr">
        <is>
          <t>Achat challenge</t>
        </is>
      </c>
      <c r="E305" s="19" t="inlineStr">
        <is>
          <t>Fintokei</t>
        </is>
      </c>
      <c r="F305" s="19" t="inlineStr">
        <is>
          <t>#189 3 Step 100k</t>
        </is>
      </c>
      <c r="G305" s="22" t="n">
        <v>100000</v>
      </c>
      <c r="H305" s="22" t="n">
        <v>-419</v>
      </c>
      <c r="I305" s="22" t="n">
        <v>32109.15</v>
      </c>
      <c r="J305" s="19" t="inlineStr">
        <is>
          <t>Groupe B – rang 51 – financement prévu le 04/03/2027 (objectif 2%-3%-6%)</t>
        </is>
      </c>
    </row>
    <row r="306">
      <c r="A306" s="13" t="n">
        <v>305</v>
      </c>
      <c r="B306" s="14" t="n">
        <v>46408</v>
      </c>
      <c r="C306" s="15" t="n">
        <v>4</v>
      </c>
      <c r="D306" s="26" t="inlineStr">
        <is>
          <t>Achat challenge</t>
        </is>
      </c>
      <c r="E306" s="13" t="inlineStr">
        <is>
          <t>Fintokei</t>
        </is>
      </c>
      <c r="F306" s="13" t="inlineStr">
        <is>
          <t>#190 3 Step 100k</t>
        </is>
      </c>
      <c r="G306" s="17" t="n">
        <v>100000</v>
      </c>
      <c r="H306" s="17" t="n">
        <v>-419</v>
      </c>
      <c r="I306" s="17" t="n">
        <v>31690.15</v>
      </c>
      <c r="J306" s="13" t="inlineStr">
        <is>
          <t>Groupe B – rang 51 – financement prévu le 04/03/2027 (objectif 2%-3%-6%)</t>
        </is>
      </c>
    </row>
    <row r="307">
      <c r="A307" s="19" t="n">
        <v>306</v>
      </c>
      <c r="B307" s="20" t="n">
        <v>46408</v>
      </c>
      <c r="C307" s="21" t="n">
        <v>4</v>
      </c>
      <c r="D307" s="26" t="inlineStr">
        <is>
          <t>Achat challenge</t>
        </is>
      </c>
      <c r="E307" s="19" t="inlineStr">
        <is>
          <t>Fintokei</t>
        </is>
      </c>
      <c r="F307" s="19" t="inlineStr">
        <is>
          <t>#191 3 Step 100k</t>
        </is>
      </c>
      <c r="G307" s="22" t="n">
        <v>100000</v>
      </c>
      <c r="H307" s="22" t="n">
        <v>-419</v>
      </c>
      <c r="I307" s="22" t="n">
        <v>31271.15</v>
      </c>
      <c r="J307" s="19" t="inlineStr">
        <is>
          <t>Groupe B – rang 51 – financement prévu le 04/03/2027 (objectif 2%-3%-6%)</t>
        </is>
      </c>
    </row>
    <row r="308">
      <c r="A308" s="13" t="n">
        <v>307</v>
      </c>
      <c r="B308" s="14" t="n">
        <v>46408</v>
      </c>
      <c r="C308" s="15" t="n">
        <v>4</v>
      </c>
      <c r="D308" s="26" t="inlineStr">
        <is>
          <t>Achat challenge</t>
        </is>
      </c>
      <c r="E308" s="13" t="inlineStr">
        <is>
          <t>Fintokei</t>
        </is>
      </c>
      <c r="F308" s="13" t="inlineStr">
        <is>
          <t>#192 3 Step 100k</t>
        </is>
      </c>
      <c r="G308" s="17" t="n">
        <v>100000</v>
      </c>
      <c r="H308" s="17" t="n">
        <v>-419</v>
      </c>
      <c r="I308" s="17" t="n">
        <v>30852.15</v>
      </c>
      <c r="J308" s="13" t="inlineStr">
        <is>
          <t>Groupe B – rang 51 – financement prévu le 04/03/2027 (objectif 2%-3%-6%)</t>
        </is>
      </c>
    </row>
    <row r="309">
      <c r="A309" s="19" t="n">
        <v>308</v>
      </c>
      <c r="B309" s="20" t="n">
        <v>46408</v>
      </c>
      <c r="C309" s="21" t="n">
        <v>4</v>
      </c>
      <c r="D309" s="26" t="inlineStr">
        <is>
          <t>Achat challenge</t>
        </is>
      </c>
      <c r="E309" s="19" t="inlineStr">
        <is>
          <t>Fintokei</t>
        </is>
      </c>
      <c r="F309" s="19" t="inlineStr">
        <is>
          <t>#193 3 Step 100k</t>
        </is>
      </c>
      <c r="G309" s="22" t="n">
        <v>100000</v>
      </c>
      <c r="H309" s="22" t="n">
        <v>-419</v>
      </c>
      <c r="I309" s="22" t="n">
        <v>30433.15</v>
      </c>
      <c r="J309" s="19" t="inlineStr">
        <is>
          <t>Groupe B – rang 51 – financement prévu le 04/03/2027 (objectif 2%-3%-6%)</t>
        </is>
      </c>
    </row>
    <row r="310">
      <c r="A310" s="13" t="n">
        <v>309</v>
      </c>
      <c r="B310" s="14" t="n">
        <v>46408</v>
      </c>
      <c r="C310" s="15" t="n">
        <v>4</v>
      </c>
      <c r="D310" s="26" t="inlineStr">
        <is>
          <t>Achat challenge</t>
        </is>
      </c>
      <c r="E310" s="13" t="inlineStr">
        <is>
          <t>Fintokei</t>
        </is>
      </c>
      <c r="F310" s="13" t="inlineStr">
        <is>
          <t>#194 3 Step 100k</t>
        </is>
      </c>
      <c r="G310" s="17" t="n">
        <v>100000</v>
      </c>
      <c r="H310" s="17" t="n">
        <v>-419</v>
      </c>
      <c r="I310" s="17" t="n">
        <v>30014.15</v>
      </c>
      <c r="J310" s="13" t="inlineStr">
        <is>
          <t>Groupe B – rang 51 – financement prévu le 04/03/2027 (objectif 2%-3%-6%)</t>
        </is>
      </c>
    </row>
    <row r="311">
      <c r="A311" s="19" t="n">
        <v>310</v>
      </c>
      <c r="B311" s="20" t="n">
        <v>46408</v>
      </c>
      <c r="C311" s="21" t="n">
        <v>4</v>
      </c>
      <c r="D311" s="26" t="inlineStr">
        <is>
          <t>Achat challenge</t>
        </is>
      </c>
      <c r="E311" s="19" t="inlineStr">
        <is>
          <t>Fintokei</t>
        </is>
      </c>
      <c r="F311" s="19" t="inlineStr">
        <is>
          <t>#195 3 Step 100k</t>
        </is>
      </c>
      <c r="G311" s="22" t="n">
        <v>100000</v>
      </c>
      <c r="H311" s="22" t="n">
        <v>-419</v>
      </c>
      <c r="I311" s="22" t="n">
        <v>29595.15</v>
      </c>
      <c r="J311" s="19" t="inlineStr">
        <is>
          <t>Groupe B – rang 51 – financement prévu le 04/03/2027 (objectif 2%-3%-6%)</t>
        </is>
      </c>
    </row>
    <row r="312">
      <c r="A312" s="13" t="n">
        <v>311</v>
      </c>
      <c r="B312" s="14" t="n">
        <v>46408</v>
      </c>
      <c r="C312" s="15" t="n">
        <v>4</v>
      </c>
      <c r="D312" s="26" t="inlineStr">
        <is>
          <t>Achat challenge</t>
        </is>
      </c>
      <c r="E312" s="13" t="inlineStr">
        <is>
          <t>DNA Funded</t>
        </is>
      </c>
      <c r="F312" s="13" t="inlineStr">
        <is>
          <t>#196 2 Step 200k</t>
        </is>
      </c>
      <c r="G312" s="17" t="n">
        <v>200000</v>
      </c>
      <c r="H312" s="17" t="n">
        <v>-1079</v>
      </c>
      <c r="I312" s="17" t="n">
        <v>28516.15</v>
      </c>
      <c r="J312" s="13" t="inlineStr">
        <is>
          <t>Groupe B – rang 52 – financement prévu le 04/03/2027 (objectif 8% - 5%)</t>
        </is>
      </c>
    </row>
    <row r="313">
      <c r="A313" s="19" t="n">
        <v>312</v>
      </c>
      <c r="B313" s="20" t="n">
        <v>46408</v>
      </c>
      <c r="C313" s="21" t="n">
        <v>4</v>
      </c>
      <c r="D313" s="26" t="inlineStr">
        <is>
          <t>Achat challenge</t>
        </is>
      </c>
      <c r="E313" s="19" t="inlineStr">
        <is>
          <t>DNA Funded</t>
        </is>
      </c>
      <c r="F313" s="19" t="inlineStr">
        <is>
          <t>#197 2 Step 200k</t>
        </is>
      </c>
      <c r="G313" s="22" t="n">
        <v>200000</v>
      </c>
      <c r="H313" s="22" t="n">
        <v>-1079</v>
      </c>
      <c r="I313" s="22" t="n">
        <v>27437.15</v>
      </c>
      <c r="J313" s="19" t="inlineStr">
        <is>
          <t>Groupe B – rang 52 – financement prévu le 04/03/2027 (objectif 8% - 5%)</t>
        </is>
      </c>
    </row>
    <row r="314">
      <c r="A314" s="13" t="n">
        <v>313</v>
      </c>
      <c r="B314" s="14" t="n">
        <v>46408</v>
      </c>
      <c r="C314" s="15" t="n">
        <v>4</v>
      </c>
      <c r="D314" s="26" t="inlineStr">
        <is>
          <t>Achat challenge</t>
        </is>
      </c>
      <c r="E314" s="13" t="inlineStr">
        <is>
          <t>DNA Funded</t>
        </is>
      </c>
      <c r="F314" s="13" t="inlineStr">
        <is>
          <t>#198 2 Step 200k</t>
        </is>
      </c>
      <c r="G314" s="17" t="n">
        <v>200000</v>
      </c>
      <c r="H314" s="17" t="n">
        <v>-1079</v>
      </c>
      <c r="I314" s="17" t="n">
        <v>26358.15</v>
      </c>
      <c r="J314" s="13" t="inlineStr">
        <is>
          <t>Groupe B – rang 52 – financement prévu le 04/03/2027 (objectif 8% - 5%)</t>
        </is>
      </c>
    </row>
    <row r="315">
      <c r="A315" s="19" t="n">
        <v>314</v>
      </c>
      <c r="B315" s="20" t="n">
        <v>46408</v>
      </c>
      <c r="C315" s="21" t="n">
        <v>4</v>
      </c>
      <c r="D315" s="26" t="inlineStr">
        <is>
          <t>Achat challenge</t>
        </is>
      </c>
      <c r="E315" s="19" t="inlineStr">
        <is>
          <t>Eightcap Challenges</t>
        </is>
      </c>
      <c r="F315" s="19" t="inlineStr">
        <is>
          <t>#199 2 Step 200k</t>
        </is>
      </c>
      <c r="G315" s="22" t="n">
        <v>200000</v>
      </c>
      <c r="H315" s="22" t="n">
        <v>-1199</v>
      </c>
      <c r="I315" s="22" t="n">
        <v>25159.15</v>
      </c>
      <c r="J315" s="19" t="inlineStr">
        <is>
          <t>Groupe B – rang 53 – financement prévu le 04/03/2027 (objectif 10% (+5 % par phase non renseignée))</t>
        </is>
      </c>
    </row>
    <row r="316">
      <c r="A316" s="13" t="n">
        <v>315</v>
      </c>
      <c r="B316" s="14" t="n">
        <v>46408</v>
      </c>
      <c r="C316" s="15" t="n">
        <v>4</v>
      </c>
      <c r="D316" s="26" t="inlineStr">
        <is>
          <t>Achat challenge</t>
        </is>
      </c>
      <c r="E316" s="13" t="inlineStr">
        <is>
          <t>Eightcap Challenges</t>
        </is>
      </c>
      <c r="F316" s="13" t="inlineStr">
        <is>
          <t>#200 2 Step 200k</t>
        </is>
      </c>
      <c r="G316" s="17" t="n">
        <v>200000</v>
      </c>
      <c r="H316" s="17" t="n">
        <v>-1199</v>
      </c>
      <c r="I316" s="17" t="n">
        <v>23960.15</v>
      </c>
      <c r="J316" s="13" t="inlineStr">
        <is>
          <t>Groupe B – rang 53 – financement prévu le 04/03/2027 (objectif 10% (+5 % par phase non renseignée))</t>
        </is>
      </c>
    </row>
    <row r="317">
      <c r="A317" s="19" t="n">
        <v>316</v>
      </c>
      <c r="B317" s="20" t="n">
        <v>46408</v>
      </c>
      <c r="C317" s="21" t="n">
        <v>4</v>
      </c>
      <c r="D317" s="26" t="inlineStr">
        <is>
          <t>Achat challenge</t>
        </is>
      </c>
      <c r="E317" s="19" t="inlineStr">
        <is>
          <t>Eightcap Challenges</t>
        </is>
      </c>
      <c r="F317" s="19" t="inlineStr">
        <is>
          <t>#201 2 Step 200k</t>
        </is>
      </c>
      <c r="G317" s="22" t="n">
        <v>200000</v>
      </c>
      <c r="H317" s="22" t="n">
        <v>-1199</v>
      </c>
      <c r="I317" s="22" t="n">
        <v>22761.15</v>
      </c>
      <c r="J317" s="19" t="inlineStr">
        <is>
          <t>Groupe B – rang 53 – financement prévu le 04/03/2027 (objectif 10% (+5 % par phase non renseignée))</t>
        </is>
      </c>
    </row>
    <row r="318">
      <c r="A318" s="13" t="n">
        <v>317</v>
      </c>
      <c r="B318" s="14" t="n">
        <v>46408</v>
      </c>
      <c r="C318" s="15" t="n">
        <v>4</v>
      </c>
      <c r="D318" s="26" t="inlineStr">
        <is>
          <t>Achat challenge</t>
        </is>
      </c>
      <c r="E318" s="13" t="inlineStr">
        <is>
          <t>Capitalize</t>
        </is>
      </c>
      <c r="F318" s="13" t="inlineStr">
        <is>
          <t>#202 1 Step 500k</t>
        </is>
      </c>
      <c r="G318" s="17" t="n">
        <v>500000</v>
      </c>
      <c r="H318" s="17" t="n">
        <v>-4999</v>
      </c>
      <c r="I318" s="17" t="n">
        <v>17762.15</v>
      </c>
      <c r="J318" s="13" t="inlineStr">
        <is>
          <t>Groupe B – rang 54 – financement prévu le 18/02/2027 (objectif 10%)</t>
        </is>
      </c>
    </row>
    <row r="319">
      <c r="A319" s="19" t="n">
        <v>318</v>
      </c>
      <c r="B319" s="20" t="n">
        <v>46408</v>
      </c>
      <c r="C319" s="21" t="n">
        <v>4</v>
      </c>
      <c r="D319" s="26" t="inlineStr">
        <is>
          <t>Achat challenge</t>
        </is>
      </c>
      <c r="E319" s="19" t="inlineStr">
        <is>
          <t>E8 Markets</t>
        </is>
      </c>
      <c r="F319" s="19" t="inlineStr">
        <is>
          <t>#203 2 Step 150k</t>
        </is>
      </c>
      <c r="G319" s="22" t="n">
        <v>150000</v>
      </c>
      <c r="H319" s="22" t="n">
        <v>-390</v>
      </c>
      <c r="I319" s="22" t="n">
        <v>17372.15</v>
      </c>
      <c r="J319" s="19" t="inlineStr">
        <is>
          <t>Groupe B – rang 55 – financement prévu le 04/03/2027 (objectif 6% (+5 % par phase non renseignée))</t>
        </is>
      </c>
    </row>
    <row r="320">
      <c r="A320" s="13" t="n">
        <v>319</v>
      </c>
      <c r="B320" s="14" t="n">
        <v>46408</v>
      </c>
      <c r="C320" s="15" t="n">
        <v>4</v>
      </c>
      <c r="D320" s="26" t="inlineStr">
        <is>
          <t>Achat challenge</t>
        </is>
      </c>
      <c r="E320" s="13" t="inlineStr">
        <is>
          <t>E8 Markets</t>
        </is>
      </c>
      <c r="F320" s="13" t="inlineStr">
        <is>
          <t>#204 2 Step 150k</t>
        </is>
      </c>
      <c r="G320" s="17" t="n">
        <v>150000</v>
      </c>
      <c r="H320" s="17" t="n">
        <v>-390</v>
      </c>
      <c r="I320" s="17" t="n">
        <v>16982.15</v>
      </c>
      <c r="J320" s="13" t="inlineStr">
        <is>
          <t>Groupe B – rang 55 – financement prévu le 04/03/2027 (objectif 6% (+5 % par phase non renseignée))</t>
        </is>
      </c>
    </row>
    <row r="321">
      <c r="A321" s="19" t="n">
        <v>320</v>
      </c>
      <c r="B321" s="20" t="n">
        <v>46408</v>
      </c>
      <c r="C321" s="21" t="n">
        <v>4</v>
      </c>
      <c r="D321" s="26" t="inlineStr">
        <is>
          <t>Achat challenge</t>
        </is>
      </c>
      <c r="E321" s="19" t="inlineStr">
        <is>
          <t>E8 Markets</t>
        </is>
      </c>
      <c r="F321" s="19" t="inlineStr">
        <is>
          <t>#205 2 Step 150k</t>
        </is>
      </c>
      <c r="G321" s="22" t="n">
        <v>150000</v>
      </c>
      <c r="H321" s="22" t="n">
        <v>-390</v>
      </c>
      <c r="I321" s="22" t="n">
        <v>16592.15</v>
      </c>
      <c r="J321" s="19" t="inlineStr">
        <is>
          <t>Groupe B – rang 55 – financement prévu le 04/03/2027 (objectif 6% (+5 % par phase non renseignée))</t>
        </is>
      </c>
    </row>
    <row r="322">
      <c r="A322" s="13" t="n">
        <v>321</v>
      </c>
      <c r="B322" s="14" t="n">
        <v>46408</v>
      </c>
      <c r="C322" s="15" t="n">
        <v>4</v>
      </c>
      <c r="D322" s="26" t="inlineStr">
        <is>
          <t>Achat challenge</t>
        </is>
      </c>
      <c r="E322" s="13" t="inlineStr">
        <is>
          <t>Hola Prime</t>
        </is>
      </c>
      <c r="F322" s="13" t="inlineStr">
        <is>
          <t>#206 1 Step 150k</t>
        </is>
      </c>
      <c r="G322" s="17" t="n">
        <v>150000</v>
      </c>
      <c r="H322" s="17" t="n">
        <v>-359</v>
      </c>
      <c r="I322" s="17" t="n">
        <v>16233.15</v>
      </c>
      <c r="J322" s="13" t="inlineStr">
        <is>
          <t>Groupe B – rang 56 – financement prévu le 18/02/2027 (objectif 6%)</t>
        </is>
      </c>
    </row>
    <row r="323">
      <c r="A323" s="19" t="n">
        <v>322</v>
      </c>
      <c r="B323" s="20" t="n">
        <v>46408</v>
      </c>
      <c r="C323" s="21" t="n">
        <v>4</v>
      </c>
      <c r="D323" s="26" t="inlineStr">
        <is>
          <t>Achat challenge</t>
        </is>
      </c>
      <c r="E323" s="19" t="inlineStr">
        <is>
          <t>Hola Prime</t>
        </is>
      </c>
      <c r="F323" s="19" t="inlineStr">
        <is>
          <t>#207 1 Step 150k</t>
        </is>
      </c>
      <c r="G323" s="22" t="n">
        <v>150000</v>
      </c>
      <c r="H323" s="22" t="n">
        <v>-359</v>
      </c>
      <c r="I323" s="22" t="n">
        <v>15874.15</v>
      </c>
      <c r="J323" s="19" t="inlineStr">
        <is>
          <t>Groupe B – rang 56 – financement prévu le 18/02/2027 (objectif 6%)</t>
        </is>
      </c>
    </row>
    <row r="324">
      <c r="A324" s="13" t="n">
        <v>323</v>
      </c>
      <c r="B324" s="14" t="n">
        <v>46408</v>
      </c>
      <c r="C324" s="15" t="n">
        <v>4</v>
      </c>
      <c r="D324" s="26" t="inlineStr">
        <is>
          <t>Achat challenge</t>
        </is>
      </c>
      <c r="E324" s="13" t="inlineStr">
        <is>
          <t>Hola Prime</t>
        </is>
      </c>
      <c r="F324" s="13" t="inlineStr">
        <is>
          <t>#208 1 Step 150k</t>
        </is>
      </c>
      <c r="G324" s="17" t="n">
        <v>150000</v>
      </c>
      <c r="H324" s="17" t="n">
        <v>-359</v>
      </c>
      <c r="I324" s="17" t="n">
        <v>15515.15</v>
      </c>
      <c r="J324" s="13" t="inlineStr">
        <is>
          <t>Groupe B – rang 56 – financement prévu le 18/02/2027 (objectif 6%)</t>
        </is>
      </c>
    </row>
    <row r="325">
      <c r="A325" s="19" t="n">
        <v>324</v>
      </c>
      <c r="B325" s="20" t="n">
        <v>46408</v>
      </c>
      <c r="C325" s="21" t="n">
        <v>4</v>
      </c>
      <c r="D325" s="26" t="inlineStr">
        <is>
          <t>Achat challenge</t>
        </is>
      </c>
      <c r="E325" s="19" t="inlineStr">
        <is>
          <t>IC Funded</t>
        </is>
      </c>
      <c r="F325" s="19" t="inlineStr">
        <is>
          <t>#209 2 Step 500k</t>
        </is>
      </c>
      <c r="G325" s="22" t="n">
        <v>500000</v>
      </c>
      <c r="H325" s="22" t="n">
        <v>-2999</v>
      </c>
      <c r="I325" s="22" t="n">
        <v>12516.15</v>
      </c>
      <c r="J325" s="19" t="inlineStr">
        <is>
          <t>Groupe B – rang 57 – financement prévu le 04/03/2027 (objectif 10%-5%)</t>
        </is>
      </c>
    </row>
    <row r="326">
      <c r="A326" s="13" t="n">
        <v>325</v>
      </c>
      <c r="B326" s="14" t="n">
        <v>46408</v>
      </c>
      <c r="C326" s="15" t="n">
        <v>4</v>
      </c>
      <c r="D326" s="26" t="inlineStr">
        <is>
          <t>Achat challenge</t>
        </is>
      </c>
      <c r="E326" s="13" t="inlineStr">
        <is>
          <t>Blueberry Futures</t>
        </is>
      </c>
      <c r="F326" s="13" t="inlineStr">
        <is>
          <t>#210 1 Step 150k</t>
        </is>
      </c>
      <c r="G326" s="17" t="n">
        <v>150000</v>
      </c>
      <c r="H326" s="17" t="n">
        <v>-454</v>
      </c>
      <c r="I326" s="17" t="n">
        <v>12062.15</v>
      </c>
      <c r="J326" s="13" t="inlineStr">
        <is>
          <t>Groupe B – rang 58 – financement prévu le 04/03/2027 (objectif 6% – 6.7%)</t>
        </is>
      </c>
    </row>
    <row r="327">
      <c r="A327" s="19" t="n">
        <v>326</v>
      </c>
      <c r="B327" s="20" t="n">
        <v>46408</v>
      </c>
      <c r="C327" s="21" t="n">
        <v>4</v>
      </c>
      <c r="D327" s="26" t="inlineStr">
        <is>
          <t>Achat challenge</t>
        </is>
      </c>
      <c r="E327" s="19" t="inlineStr">
        <is>
          <t>Blueberry Futures</t>
        </is>
      </c>
      <c r="F327" s="19" t="inlineStr">
        <is>
          <t>#211 1 Step 150k</t>
        </is>
      </c>
      <c r="G327" s="22" t="n">
        <v>150000</v>
      </c>
      <c r="H327" s="22" t="n">
        <v>-454</v>
      </c>
      <c r="I327" s="22" t="n">
        <v>11608.15</v>
      </c>
      <c r="J327" s="19" t="inlineStr">
        <is>
          <t>Groupe B – rang 58 – financement prévu le 04/03/2027 (objectif 6% – 6.7%)</t>
        </is>
      </c>
    </row>
    <row r="328">
      <c r="A328" s="13" t="n">
        <v>327</v>
      </c>
      <c r="B328" s="14" t="n">
        <v>46408</v>
      </c>
      <c r="C328" s="15" t="n">
        <v>4</v>
      </c>
      <c r="D328" s="26" t="inlineStr">
        <is>
          <t>Achat challenge</t>
        </is>
      </c>
      <c r="E328" s="13" t="inlineStr">
        <is>
          <t>Blueberry Futures</t>
        </is>
      </c>
      <c r="F328" s="13" t="inlineStr">
        <is>
          <t>#212 1 Step 150k</t>
        </is>
      </c>
      <c r="G328" s="17" t="n">
        <v>150000</v>
      </c>
      <c r="H328" s="17" t="n">
        <v>-454</v>
      </c>
      <c r="I328" s="17" t="n">
        <v>11154.15</v>
      </c>
      <c r="J328" s="13" t="inlineStr">
        <is>
          <t>Groupe B – rang 58 – financement prévu le 04/03/2027 (objectif 6% – 6.7%)</t>
        </is>
      </c>
    </row>
    <row r="329">
      <c r="A329" s="19" t="n">
        <v>328</v>
      </c>
      <c r="B329" s="20" t="n">
        <v>46408</v>
      </c>
      <c r="C329" s="21" t="n">
        <v>4</v>
      </c>
      <c r="D329" s="26" t="inlineStr">
        <is>
          <t>Achat challenge</t>
        </is>
      </c>
      <c r="E329" s="19" t="inlineStr">
        <is>
          <t>FTMO Futures</t>
        </is>
      </c>
      <c r="F329" s="19" t="inlineStr">
        <is>
          <t>#213 1 Step 150k</t>
        </is>
      </c>
      <c r="G329" s="22" t="n">
        <v>150000</v>
      </c>
      <c r="H329" s="22" t="n">
        <v>-229</v>
      </c>
      <c r="I329" s="22" t="n">
        <v>10925.15</v>
      </c>
      <c r="J329" s="19" t="inlineStr">
        <is>
          <t>Groupe B – rang 59 – financement prévu le 18/02/2027 (objectif 6%)</t>
        </is>
      </c>
    </row>
    <row r="330">
      <c r="A330" s="13" t="n">
        <v>329</v>
      </c>
      <c r="B330" s="14" t="n">
        <v>46408</v>
      </c>
      <c r="C330" s="15" t="n">
        <v>4</v>
      </c>
      <c r="D330" s="26" t="inlineStr">
        <is>
          <t>Achat challenge</t>
        </is>
      </c>
      <c r="E330" s="13" t="inlineStr">
        <is>
          <t>FTMO Futures</t>
        </is>
      </c>
      <c r="F330" s="13" t="inlineStr">
        <is>
          <t>#214 1 Step 150k</t>
        </is>
      </c>
      <c r="G330" s="17" t="n">
        <v>150000</v>
      </c>
      <c r="H330" s="17" t="n">
        <v>-229</v>
      </c>
      <c r="I330" s="17" t="n">
        <v>10696.15</v>
      </c>
      <c r="J330" s="13" t="inlineStr">
        <is>
          <t>Groupe B – rang 59 – financement prévu le 18/02/2027 (objectif 6%)</t>
        </is>
      </c>
    </row>
    <row r="331">
      <c r="A331" s="19" t="n">
        <v>330</v>
      </c>
      <c r="B331" s="20" t="n">
        <v>46408</v>
      </c>
      <c r="C331" s="21" t="n">
        <v>4</v>
      </c>
      <c r="D331" s="26" t="inlineStr">
        <is>
          <t>Achat challenge</t>
        </is>
      </c>
      <c r="E331" s="19" t="inlineStr">
        <is>
          <t>FTMO Futures</t>
        </is>
      </c>
      <c r="F331" s="19" t="inlineStr">
        <is>
          <t>#215 1 Step 150k</t>
        </is>
      </c>
      <c r="G331" s="22" t="n">
        <v>150000</v>
      </c>
      <c r="H331" s="22" t="n">
        <v>-229</v>
      </c>
      <c r="I331" s="22" t="n">
        <v>10467.15</v>
      </c>
      <c r="J331" s="19" t="inlineStr">
        <is>
          <t>Groupe B – rang 59 – financement prévu le 18/02/2027 (objectif 6%)</t>
        </is>
      </c>
    </row>
    <row r="332">
      <c r="A332" s="13" t="n">
        <v>331</v>
      </c>
      <c r="B332" s="14" t="n">
        <v>46408</v>
      </c>
      <c r="C332" s="15" t="n">
        <v>4</v>
      </c>
      <c r="D332" s="26" t="inlineStr">
        <is>
          <t>Achat challenge</t>
        </is>
      </c>
      <c r="E332" s="13" t="inlineStr">
        <is>
          <t>Halcyon Trader Funding</t>
        </is>
      </c>
      <c r="F332" s="13" t="inlineStr">
        <is>
          <t>#216 1 Step 150k</t>
        </is>
      </c>
      <c r="G332" s="17" t="n">
        <v>150000</v>
      </c>
      <c r="H332" s="17" t="n">
        <v>-157</v>
      </c>
      <c r="I332" s="17" t="n">
        <v>10310.15</v>
      </c>
      <c r="J332" s="13" t="inlineStr">
        <is>
          <t>Groupe B – rang 60 – financement prévu le 18/02/2027 (objectif 6%)</t>
        </is>
      </c>
    </row>
    <row r="333">
      <c r="A333" s="19" t="n">
        <v>332</v>
      </c>
      <c r="B333" s="20" t="n">
        <v>46408</v>
      </c>
      <c r="C333" s="21" t="n">
        <v>4</v>
      </c>
      <c r="D333" s="26" t="inlineStr">
        <is>
          <t>Achat challenge</t>
        </is>
      </c>
      <c r="E333" s="19" t="inlineStr">
        <is>
          <t>Halcyon Trader Funding</t>
        </is>
      </c>
      <c r="F333" s="19" t="inlineStr">
        <is>
          <t>#217 1 Step 150k</t>
        </is>
      </c>
      <c r="G333" s="22" t="n">
        <v>150000</v>
      </c>
      <c r="H333" s="22" t="n">
        <v>-157</v>
      </c>
      <c r="I333" s="22" t="n">
        <v>10153.15</v>
      </c>
      <c r="J333" s="19" t="inlineStr">
        <is>
          <t>Groupe B – rang 60 – financement prévu le 18/02/2027 (objectif 6%)</t>
        </is>
      </c>
    </row>
    <row r="334">
      <c r="A334" s="13" t="n">
        <v>333</v>
      </c>
      <c r="B334" s="14" t="n">
        <v>46408</v>
      </c>
      <c r="C334" s="15" t="n">
        <v>4</v>
      </c>
      <c r="D334" s="26" t="inlineStr">
        <is>
          <t>Achat challenge</t>
        </is>
      </c>
      <c r="E334" s="13" t="inlineStr">
        <is>
          <t>Halcyon Trader Funding</t>
        </is>
      </c>
      <c r="F334" s="13" t="inlineStr">
        <is>
          <t>#218 1 Step 150k</t>
        </is>
      </c>
      <c r="G334" s="17" t="n">
        <v>150000</v>
      </c>
      <c r="H334" s="17" t="n">
        <v>-157</v>
      </c>
      <c r="I334" s="17" t="n">
        <v>9996.15</v>
      </c>
      <c r="J334" s="13" t="inlineStr">
        <is>
          <t>Groupe B – rang 60 – financement prévu le 18/02/2027 (objectif 6%)</t>
        </is>
      </c>
    </row>
    <row r="335">
      <c r="A335" s="19" t="n">
        <v>334</v>
      </c>
      <c r="B335" s="20" t="n">
        <v>46408</v>
      </c>
      <c r="C335" s="21" t="n">
        <v>4</v>
      </c>
      <c r="D335" s="26" t="inlineStr">
        <is>
          <t>Achat challenge</t>
        </is>
      </c>
      <c r="E335" s="19" t="inlineStr">
        <is>
          <t>Astrofund</t>
        </is>
      </c>
      <c r="F335" s="19" t="inlineStr">
        <is>
          <t>#219 1 Step 100k</t>
        </is>
      </c>
      <c r="G335" s="22" t="n">
        <v>100000</v>
      </c>
      <c r="H335" s="22" t="n">
        <v>-239</v>
      </c>
      <c r="I335" s="22" t="n">
        <v>9757.15</v>
      </c>
      <c r="J335" s="19" t="inlineStr">
        <is>
          <t>Groupe B – rang 61 – financement prévu le 18/02/2027 (objectif objectif par défaut (non renseigné))</t>
        </is>
      </c>
    </row>
    <row r="336">
      <c r="A336" s="13" t="n">
        <v>335</v>
      </c>
      <c r="B336" s="14" t="n">
        <v>46408</v>
      </c>
      <c r="C336" s="15" t="n">
        <v>4</v>
      </c>
      <c r="D336" s="26" t="inlineStr">
        <is>
          <t>Achat challenge</t>
        </is>
      </c>
      <c r="E336" s="13" t="inlineStr">
        <is>
          <t>Astrofund</t>
        </is>
      </c>
      <c r="F336" s="13" t="inlineStr">
        <is>
          <t>#220 1 Step 100k</t>
        </is>
      </c>
      <c r="G336" s="17" t="n">
        <v>100000</v>
      </c>
      <c r="H336" s="17" t="n">
        <v>-239</v>
      </c>
      <c r="I336" s="17" t="n">
        <v>9518.15</v>
      </c>
      <c r="J336" s="13" t="inlineStr">
        <is>
          <t>Groupe B – rang 61 – financement prévu le 18/02/2027 (objectif objectif par défaut (non renseigné))</t>
        </is>
      </c>
    </row>
    <row r="337">
      <c r="A337" s="19" t="n">
        <v>336</v>
      </c>
      <c r="B337" s="20" t="n">
        <v>46408</v>
      </c>
      <c r="C337" s="21" t="n">
        <v>4</v>
      </c>
      <c r="D337" s="26" t="inlineStr">
        <is>
          <t>Achat challenge</t>
        </is>
      </c>
      <c r="E337" s="19" t="inlineStr">
        <is>
          <t>Astrofund</t>
        </is>
      </c>
      <c r="F337" s="19" t="inlineStr">
        <is>
          <t>#221 1 Step 100k</t>
        </is>
      </c>
      <c r="G337" s="22" t="n">
        <v>100000</v>
      </c>
      <c r="H337" s="22" t="n">
        <v>-239</v>
      </c>
      <c r="I337" s="22" t="n">
        <v>9279.15</v>
      </c>
      <c r="J337" s="19" t="inlineStr">
        <is>
          <t>Groupe B – rang 61 – financement prévu le 18/02/2027 (objectif objectif par défaut (non renseigné))</t>
        </is>
      </c>
    </row>
    <row r="338">
      <c r="A338" s="13" t="n">
        <v>337</v>
      </c>
      <c r="B338" s="14" t="n">
        <v>46408</v>
      </c>
      <c r="C338" s="15" t="n">
        <v>4</v>
      </c>
      <c r="D338" s="26" t="inlineStr">
        <is>
          <t>Achat challenge</t>
        </is>
      </c>
      <c r="E338" s="13" t="inlineStr">
        <is>
          <t>Astrofund</t>
        </is>
      </c>
      <c r="F338" s="13" t="inlineStr">
        <is>
          <t>#222 1 Step 100k</t>
        </is>
      </c>
      <c r="G338" s="17" t="n">
        <v>100000</v>
      </c>
      <c r="H338" s="17" t="n">
        <v>-239</v>
      </c>
      <c r="I338" s="17" t="n">
        <v>9040.15</v>
      </c>
      <c r="J338" s="13" t="inlineStr">
        <is>
          <t>Groupe B – rang 61 – financement prévu le 18/02/2027 (objectif objectif par défaut (non renseigné))</t>
        </is>
      </c>
    </row>
    <row r="339">
      <c r="A339" s="19" t="n">
        <v>338</v>
      </c>
      <c r="B339" s="20" t="n">
        <v>46408</v>
      </c>
      <c r="C339" s="21" t="n">
        <v>4</v>
      </c>
      <c r="D339" s="26" t="inlineStr">
        <is>
          <t>Achat challenge</t>
        </is>
      </c>
      <c r="E339" s="19" t="inlineStr">
        <is>
          <t>BrightFunded</t>
        </is>
      </c>
      <c r="F339" s="19" t="inlineStr">
        <is>
          <t>#223 1 Step 200k</t>
        </is>
      </c>
      <c r="G339" s="22" t="n">
        <v>200000</v>
      </c>
      <c r="H339" s="22" t="n">
        <v>-1032</v>
      </c>
      <c r="I339" s="22" t="n">
        <v>8008.15</v>
      </c>
      <c r="J339" s="19" t="inlineStr">
        <is>
          <t>Groupe B – rang 62 – financement prévu le 18/02/2027 (objectif 10%)</t>
        </is>
      </c>
    </row>
    <row r="340">
      <c r="A340" s="13" t="n">
        <v>339</v>
      </c>
      <c r="B340" s="14" t="n">
        <v>46408</v>
      </c>
      <c r="C340" s="15" t="n">
        <v>4</v>
      </c>
      <c r="D340" s="26" t="inlineStr">
        <is>
          <t>Achat challenge</t>
        </is>
      </c>
      <c r="E340" s="13" t="inlineStr">
        <is>
          <t>BrightFunded</t>
        </is>
      </c>
      <c r="F340" s="13" t="inlineStr">
        <is>
          <t>#224 1 Step 200k</t>
        </is>
      </c>
      <c r="G340" s="17" t="n">
        <v>200000</v>
      </c>
      <c r="H340" s="17" t="n">
        <v>-1032</v>
      </c>
      <c r="I340" s="17" t="n">
        <v>6976.15</v>
      </c>
      <c r="J340" s="13" t="inlineStr">
        <is>
          <t>Groupe B – rang 62 – financement prévu le 18/02/2027 (objectif 10%)</t>
        </is>
      </c>
    </row>
    <row r="341">
      <c r="A341" s="19" t="n">
        <v>340</v>
      </c>
      <c r="B341" s="20" t="n">
        <v>46408</v>
      </c>
      <c r="C341" s="21" t="n">
        <v>4</v>
      </c>
      <c r="D341" s="26" t="inlineStr">
        <is>
          <t>Achat challenge</t>
        </is>
      </c>
      <c r="E341" s="19" t="inlineStr">
        <is>
          <t>Direct Funded Trader</t>
        </is>
      </c>
      <c r="F341" s="19" t="inlineStr">
        <is>
          <t>#225 2 Step 200k</t>
        </is>
      </c>
      <c r="G341" s="22" t="n">
        <v>200000</v>
      </c>
      <c r="H341" s="22" t="n">
        <v>-979</v>
      </c>
      <c r="I341" s="22" t="n">
        <v>5997.15</v>
      </c>
      <c r="J341" s="19" t="inlineStr">
        <is>
          <t>Groupe B – rang 63 – financement prévu le 04/03/2027 (objectif 8%-5%)</t>
        </is>
      </c>
    </row>
    <row r="342">
      <c r="A342" s="13" t="n">
        <v>341</v>
      </c>
      <c r="B342" s="14" t="n">
        <v>46408</v>
      </c>
      <c r="C342" s="15" t="n">
        <v>4</v>
      </c>
      <c r="D342" s="26" t="inlineStr">
        <is>
          <t>Achat challenge</t>
        </is>
      </c>
      <c r="E342" s="13" t="inlineStr">
        <is>
          <t>Direct Funded Trader</t>
        </is>
      </c>
      <c r="F342" s="13" t="inlineStr">
        <is>
          <t>#226 2 Step 200k</t>
        </is>
      </c>
      <c r="G342" s="17" t="n">
        <v>200000</v>
      </c>
      <c r="H342" s="17" t="n">
        <v>-979</v>
      </c>
      <c r="I342" s="17" t="n">
        <v>5018.15</v>
      </c>
      <c r="J342" s="13" t="inlineStr">
        <is>
          <t>Groupe B – rang 63 – financement prévu le 04/03/2027 (objectif 8%-5%)</t>
        </is>
      </c>
    </row>
    <row r="343">
      <c r="A343" s="19" t="n">
        <v>342</v>
      </c>
      <c r="B343" s="20" t="n">
        <v>46408</v>
      </c>
      <c r="C343" s="21" t="n">
        <v>4</v>
      </c>
      <c r="D343" s="26" t="inlineStr">
        <is>
          <t>Achat challenge</t>
        </is>
      </c>
      <c r="E343" s="19" t="inlineStr">
        <is>
          <t>FTMO</t>
        </is>
      </c>
      <c r="F343" s="19" t="inlineStr">
        <is>
          <t>#227 1 Step 200k</t>
        </is>
      </c>
      <c r="G343" s="22" t="n">
        <v>200000</v>
      </c>
      <c r="H343" s="22" t="n">
        <v>-1177</v>
      </c>
      <c r="I343" s="22" t="n">
        <v>3841.15</v>
      </c>
      <c r="J343" s="19" t="inlineStr">
        <is>
          <t>Groupe B – rang 64 – financement prévu le 18/02/2027 (objectif 10%)</t>
        </is>
      </c>
    </row>
    <row r="344">
      <c r="A344" s="13" t="n">
        <v>343</v>
      </c>
      <c r="B344" s="14" t="n">
        <v>46408</v>
      </c>
      <c r="C344" s="15" t="n">
        <v>4</v>
      </c>
      <c r="D344" s="26" t="inlineStr">
        <is>
          <t>Achat challenge</t>
        </is>
      </c>
      <c r="E344" s="13" t="inlineStr">
        <is>
          <t>FTMO</t>
        </is>
      </c>
      <c r="F344" s="13" t="inlineStr">
        <is>
          <t>#228 1 Step 200k</t>
        </is>
      </c>
      <c r="G344" s="17" t="n">
        <v>200000</v>
      </c>
      <c r="H344" s="17" t="n">
        <v>-1177</v>
      </c>
      <c r="I344" s="17" t="n">
        <v>2664.15</v>
      </c>
      <c r="J344" s="13" t="inlineStr">
        <is>
          <t>Groupe B – rang 64 – financement prévu le 18/02/2027 (objectif 10%)</t>
        </is>
      </c>
    </row>
    <row r="345">
      <c r="A345" s="19" t="n">
        <v>344</v>
      </c>
      <c r="B345" s="20" t="n">
        <v>46408</v>
      </c>
      <c r="C345" s="21" t="n">
        <v>4</v>
      </c>
      <c r="D345" s="26" t="inlineStr">
        <is>
          <t>Achat challenge</t>
        </is>
      </c>
      <c r="E345" s="19" t="inlineStr">
        <is>
          <t>Funded X</t>
        </is>
      </c>
      <c r="F345" s="19" t="inlineStr">
        <is>
          <t>#229 1 Step 200k</t>
        </is>
      </c>
      <c r="G345" s="22" t="n">
        <v>200000</v>
      </c>
      <c r="H345" s="22" t="n">
        <v>-989</v>
      </c>
      <c r="I345" s="22" t="n">
        <v>1675.15</v>
      </c>
      <c r="J345" s="19" t="inlineStr">
        <is>
          <t>Groupe B – rang 65 – financement prévu le 18/02/2027 (objectif 10%)</t>
        </is>
      </c>
    </row>
    <row r="346">
      <c r="A346" s="13" t="n">
        <v>345</v>
      </c>
      <c r="B346" s="14" t="n">
        <v>46408</v>
      </c>
      <c r="C346" s="15" t="n">
        <v>4</v>
      </c>
      <c r="D346" s="26" t="inlineStr">
        <is>
          <t>Achat challenge</t>
        </is>
      </c>
      <c r="E346" s="13" t="inlineStr">
        <is>
          <t>Funded X</t>
        </is>
      </c>
      <c r="F346" s="13" t="inlineStr">
        <is>
          <t>#230 1 Step 200k</t>
        </is>
      </c>
      <c r="G346" s="17" t="n">
        <v>200000</v>
      </c>
      <c r="H346" s="17" t="n">
        <v>-989</v>
      </c>
      <c r="I346" s="17" t="n">
        <v>686.15</v>
      </c>
      <c r="J346" s="13" t="inlineStr">
        <is>
          <t>Groupe B – rang 65 – financement prévu le 18/02/2027 (objectif 10%)</t>
        </is>
      </c>
    </row>
    <row r="347">
      <c r="A347" s="19" t="n">
        <v>346</v>
      </c>
      <c r="B347" s="20" t="n">
        <v>46408</v>
      </c>
      <c r="C347" s="21" t="n">
        <v>4</v>
      </c>
      <c r="D347" s="26" t="inlineStr">
        <is>
          <t>Achat challenge</t>
        </is>
      </c>
      <c r="E347" s="19" t="inlineStr">
        <is>
          <t>Hantec Trader</t>
        </is>
      </c>
      <c r="F347" s="19" t="inlineStr">
        <is>
          <t>#231 3 Step 200k</t>
        </is>
      </c>
      <c r="G347" s="22" t="n">
        <v>200000</v>
      </c>
      <c r="H347" s="22" t="n">
        <v>-499</v>
      </c>
      <c r="I347" s="22" t="n">
        <v>187.15</v>
      </c>
      <c r="J347" s="19" t="inlineStr">
        <is>
          <t>Groupe B – rang 69 – financement prévu le 18/03/2027 (objectif 6% (+5 % par phase non renseignée))</t>
        </is>
      </c>
    </row>
    <row r="348">
      <c r="A348" s="13" t="n">
        <v>347</v>
      </c>
      <c r="B348" s="14" t="n">
        <v>46408</v>
      </c>
      <c r="C348" s="15" t="n">
        <v>4</v>
      </c>
      <c r="D348" s="24" t="inlineStr">
        <is>
          <t>Financement</t>
        </is>
      </c>
      <c r="E348" s="13" t="inlineStr">
        <is>
          <t>Instant Funding</t>
        </is>
      </c>
      <c r="F348" s="13" t="inlineStr">
        <is>
          <t>#51 Instant-Direct 120k</t>
        </is>
      </c>
      <c r="G348" s="17" t="n">
        <v>120000</v>
      </c>
      <c r="H348" s="17" t="n">
        <v>0</v>
      </c>
      <c r="I348" s="17" t="n">
        <v>187.15</v>
      </c>
      <c r="J348" s="13" t="inlineStr">
        <is>
          <t>Financé dès l'achat – 1er payout le 18/02/2027</t>
        </is>
      </c>
    </row>
    <row r="349">
      <c r="A349" s="19" t="n">
        <v>348</v>
      </c>
      <c r="B349" s="20" t="n">
        <v>46408</v>
      </c>
      <c r="C349" s="21" t="n">
        <v>4</v>
      </c>
      <c r="D349" s="24" t="inlineStr">
        <is>
          <t>Financement</t>
        </is>
      </c>
      <c r="E349" s="19" t="inlineStr">
        <is>
          <t>Instant Funding</t>
        </is>
      </c>
      <c r="F349" s="19" t="inlineStr">
        <is>
          <t>#52 Instant-Direct 120k</t>
        </is>
      </c>
      <c r="G349" s="22" t="n">
        <v>120000</v>
      </c>
      <c r="H349" s="22" t="n">
        <v>0</v>
      </c>
      <c r="I349" s="22" t="n">
        <v>187.15</v>
      </c>
      <c r="J349" s="19" t="inlineStr">
        <is>
          <t>Financé dès l'achat – 1er payout le 18/02/2027</t>
        </is>
      </c>
    </row>
    <row r="350">
      <c r="A350" s="13" t="n">
        <v>349</v>
      </c>
      <c r="B350" s="14" t="n">
        <v>46408</v>
      </c>
      <c r="C350" s="15" t="n">
        <v>4</v>
      </c>
      <c r="D350" s="24" t="inlineStr">
        <is>
          <t>Financement</t>
        </is>
      </c>
      <c r="E350" s="13" t="inlineStr">
        <is>
          <t>Instant Funding</t>
        </is>
      </c>
      <c r="F350" s="13" t="inlineStr">
        <is>
          <t>#53 Instant-Direct 120k</t>
        </is>
      </c>
      <c r="G350" s="17" t="n">
        <v>120000</v>
      </c>
      <c r="H350" s="17" t="n">
        <v>0</v>
      </c>
      <c r="I350" s="17" t="n">
        <v>187.15</v>
      </c>
      <c r="J350" s="13" t="inlineStr">
        <is>
          <t>Financé dès l'achat – 1er payout le 18/02/2027</t>
        </is>
      </c>
    </row>
    <row r="351">
      <c r="A351" s="19" t="n">
        <v>350</v>
      </c>
      <c r="B351" s="20" t="n">
        <v>46408</v>
      </c>
      <c r="C351" s="21" t="n">
        <v>4</v>
      </c>
      <c r="D351" s="24" t="inlineStr">
        <is>
          <t>Financement</t>
        </is>
      </c>
      <c r="E351" s="19" t="inlineStr">
        <is>
          <t>Instant Funding</t>
        </is>
      </c>
      <c r="F351" s="19" t="inlineStr">
        <is>
          <t>#54 Instant-Direct 120k</t>
        </is>
      </c>
      <c r="G351" s="22" t="n">
        <v>120000</v>
      </c>
      <c r="H351" s="22" t="n">
        <v>0</v>
      </c>
      <c r="I351" s="22" t="n">
        <v>187.15</v>
      </c>
      <c r="J351" s="19" t="inlineStr">
        <is>
          <t>Financé dès l'achat – 1er payout le 18/02/2027</t>
        </is>
      </c>
    </row>
    <row r="352">
      <c r="A352" s="13" t="n">
        <v>351</v>
      </c>
      <c r="B352" s="14" t="n">
        <v>46408</v>
      </c>
      <c r="C352" s="15" t="n">
        <v>4</v>
      </c>
      <c r="D352" s="24" t="inlineStr">
        <is>
          <t>Financement</t>
        </is>
      </c>
      <c r="E352" s="13" t="inlineStr">
        <is>
          <t>Instant Funding</t>
        </is>
      </c>
      <c r="F352" s="13" t="inlineStr">
        <is>
          <t>#55 Instant-Direct 120k</t>
        </is>
      </c>
      <c r="G352" s="17" t="n">
        <v>120000</v>
      </c>
      <c r="H352" s="17" t="n">
        <v>0</v>
      </c>
      <c r="I352" s="17" t="n">
        <v>187.15</v>
      </c>
      <c r="J352" s="13" t="inlineStr">
        <is>
          <t>Financé dès l'achat – 1er payout le 18/02/2027</t>
        </is>
      </c>
    </row>
    <row r="353">
      <c r="A353" s="19" t="n">
        <v>352</v>
      </c>
      <c r="B353" s="20" t="n">
        <v>46408</v>
      </c>
      <c r="C353" s="21" t="n">
        <v>4</v>
      </c>
      <c r="D353" s="24" t="inlineStr">
        <is>
          <t>Financement</t>
        </is>
      </c>
      <c r="E353" s="19" t="inlineStr">
        <is>
          <t>Kickstart Trading</t>
        </is>
      </c>
      <c r="F353" s="19" t="inlineStr">
        <is>
          <t>#56 Instant-Direct 100k</t>
        </is>
      </c>
      <c r="G353" s="22" t="n">
        <v>100000</v>
      </c>
      <c r="H353" s="22" t="n">
        <v>0</v>
      </c>
      <c r="I353" s="22" t="n">
        <v>187.15</v>
      </c>
      <c r="J353" s="19" t="inlineStr">
        <is>
          <t>Financé dès l'achat – 1er payout le 18/02/2027</t>
        </is>
      </c>
    </row>
    <row r="354">
      <c r="A354" s="13" t="n">
        <v>353</v>
      </c>
      <c r="B354" s="14" t="n">
        <v>46408</v>
      </c>
      <c r="C354" s="15" t="n">
        <v>4</v>
      </c>
      <c r="D354" s="24" t="inlineStr">
        <is>
          <t>Financement</t>
        </is>
      </c>
      <c r="E354" s="13" t="inlineStr">
        <is>
          <t>Kickstart Trading</t>
        </is>
      </c>
      <c r="F354" s="13" t="inlineStr">
        <is>
          <t>#57 Instant-Direct 100k</t>
        </is>
      </c>
      <c r="G354" s="17" t="n">
        <v>100000</v>
      </c>
      <c r="H354" s="17" t="n">
        <v>0</v>
      </c>
      <c r="I354" s="17" t="n">
        <v>187.15</v>
      </c>
      <c r="J354" s="13" t="inlineStr">
        <is>
          <t>Financé dès l'achat – 1er payout le 18/02/2027</t>
        </is>
      </c>
    </row>
    <row r="355">
      <c r="A355" s="19" t="n">
        <v>354</v>
      </c>
      <c r="B355" s="20" t="n">
        <v>46408</v>
      </c>
      <c r="C355" s="21" t="n">
        <v>4</v>
      </c>
      <c r="D355" s="24" t="inlineStr">
        <is>
          <t>Financement</t>
        </is>
      </c>
      <c r="E355" s="19" t="inlineStr">
        <is>
          <t>Kickstart Trading</t>
        </is>
      </c>
      <c r="F355" s="19" t="inlineStr">
        <is>
          <t>#58 Instant-Direct 100k</t>
        </is>
      </c>
      <c r="G355" s="22" t="n">
        <v>100000</v>
      </c>
      <c r="H355" s="22" t="n">
        <v>0</v>
      </c>
      <c r="I355" s="22" t="n">
        <v>187.15</v>
      </c>
      <c r="J355" s="19" t="inlineStr">
        <is>
          <t>Financé dès l'achat – 1er payout le 18/02/2027</t>
        </is>
      </c>
    </row>
    <row r="356">
      <c r="A356" s="13" t="n">
        <v>355</v>
      </c>
      <c r="B356" s="14" t="n">
        <v>46408</v>
      </c>
      <c r="C356" s="15" t="n">
        <v>4</v>
      </c>
      <c r="D356" s="24" t="inlineStr">
        <is>
          <t>Financement</t>
        </is>
      </c>
      <c r="E356" s="13" t="inlineStr">
        <is>
          <t>Kickstart Trading</t>
        </is>
      </c>
      <c r="F356" s="13" t="inlineStr">
        <is>
          <t>#59 Instant-Direct 100k</t>
        </is>
      </c>
      <c r="G356" s="17" t="n">
        <v>100000</v>
      </c>
      <c r="H356" s="17" t="n">
        <v>0</v>
      </c>
      <c r="I356" s="17" t="n">
        <v>187.15</v>
      </c>
      <c r="J356" s="13" t="inlineStr">
        <is>
          <t>Financé dès l'achat – 1er payout le 18/02/2027</t>
        </is>
      </c>
    </row>
    <row r="357">
      <c r="A357" s="19" t="n">
        <v>356</v>
      </c>
      <c r="B357" s="20" t="n">
        <v>46408</v>
      </c>
      <c r="C357" s="21" t="n">
        <v>4</v>
      </c>
      <c r="D357" s="24" t="inlineStr">
        <is>
          <t>Financement</t>
        </is>
      </c>
      <c r="E357" s="19" t="inlineStr">
        <is>
          <t>Kickstart Trading</t>
        </is>
      </c>
      <c r="F357" s="19" t="inlineStr">
        <is>
          <t>#60 Instant-Direct 100k</t>
        </is>
      </c>
      <c r="G357" s="22" t="n">
        <v>100000</v>
      </c>
      <c r="H357" s="22" t="n">
        <v>0</v>
      </c>
      <c r="I357" s="22" t="n">
        <v>187.15</v>
      </c>
      <c r="J357" s="19" t="inlineStr">
        <is>
          <t>Financé dès l'achat – 1er payout le 18/02/2027</t>
        </is>
      </c>
    </row>
    <row r="358">
      <c r="A358" s="13" t="n">
        <v>357</v>
      </c>
      <c r="B358" s="14" t="n">
        <v>46408</v>
      </c>
      <c r="C358" s="15" t="n">
        <v>4</v>
      </c>
      <c r="D358" s="24" t="inlineStr">
        <is>
          <t>Financement</t>
        </is>
      </c>
      <c r="E358" s="13" t="inlineStr">
        <is>
          <t>Kickstart Trading</t>
        </is>
      </c>
      <c r="F358" s="13" t="inlineStr">
        <is>
          <t>#61 Instant-Direct 100k</t>
        </is>
      </c>
      <c r="G358" s="17" t="n">
        <v>100000</v>
      </c>
      <c r="H358" s="17" t="n">
        <v>0</v>
      </c>
      <c r="I358" s="17" t="n">
        <v>187.15</v>
      </c>
      <c r="J358" s="13" t="inlineStr">
        <is>
          <t>Financé dès l'achat – 1er payout le 18/02/2027</t>
        </is>
      </c>
    </row>
    <row r="359">
      <c r="A359" s="19" t="n">
        <v>358</v>
      </c>
      <c r="B359" s="20" t="n">
        <v>46408</v>
      </c>
      <c r="C359" s="21" t="n">
        <v>4</v>
      </c>
      <c r="D359" s="24" t="inlineStr">
        <is>
          <t>Financement</t>
        </is>
      </c>
      <c r="E359" s="19" t="inlineStr">
        <is>
          <t>Kickstart Trading</t>
        </is>
      </c>
      <c r="F359" s="19" t="inlineStr">
        <is>
          <t>#62 Instant-Direct 100k</t>
        </is>
      </c>
      <c r="G359" s="22" t="n">
        <v>100000</v>
      </c>
      <c r="H359" s="22" t="n">
        <v>0</v>
      </c>
      <c r="I359" s="22" t="n">
        <v>187.15</v>
      </c>
      <c r="J359" s="19" t="inlineStr">
        <is>
          <t>Financé dès l'achat – 1er payout le 18/02/2027</t>
        </is>
      </c>
    </row>
    <row r="360">
      <c r="A360" s="13" t="n">
        <v>359</v>
      </c>
      <c r="B360" s="14" t="n">
        <v>46408</v>
      </c>
      <c r="C360" s="15" t="n">
        <v>4</v>
      </c>
      <c r="D360" s="24" t="inlineStr">
        <is>
          <t>Financement</t>
        </is>
      </c>
      <c r="E360" s="13" t="inlineStr">
        <is>
          <t>Kickstart Trading</t>
        </is>
      </c>
      <c r="F360" s="13" t="inlineStr">
        <is>
          <t>#63 Instant-Direct 100k</t>
        </is>
      </c>
      <c r="G360" s="17" t="n">
        <v>100000</v>
      </c>
      <c r="H360" s="17" t="n">
        <v>0</v>
      </c>
      <c r="I360" s="17" t="n">
        <v>187.15</v>
      </c>
      <c r="J360" s="13" t="inlineStr">
        <is>
          <t>Financé dès l'achat – 1er payout le 18/02/2027</t>
        </is>
      </c>
    </row>
    <row r="361">
      <c r="A361" s="19" t="n">
        <v>360</v>
      </c>
      <c r="B361" s="20" t="n">
        <v>46408</v>
      </c>
      <c r="C361" s="21" t="n">
        <v>4</v>
      </c>
      <c r="D361" s="24" t="inlineStr">
        <is>
          <t>Financement</t>
        </is>
      </c>
      <c r="E361" s="19" t="inlineStr">
        <is>
          <t>Kickstart Trading</t>
        </is>
      </c>
      <c r="F361" s="19" t="inlineStr">
        <is>
          <t>#64 Instant-Direct 100k</t>
        </is>
      </c>
      <c r="G361" s="22" t="n">
        <v>100000</v>
      </c>
      <c r="H361" s="22" t="n">
        <v>0</v>
      </c>
      <c r="I361" s="22" t="n">
        <v>187.15</v>
      </c>
      <c r="J361" s="19" t="inlineStr">
        <is>
          <t>Financé dès l'achat – 1er payout le 18/02/2027</t>
        </is>
      </c>
    </row>
    <row r="362">
      <c r="A362" s="13" t="n">
        <v>361</v>
      </c>
      <c r="B362" s="14" t="n">
        <v>46408</v>
      </c>
      <c r="C362" s="15" t="n">
        <v>4</v>
      </c>
      <c r="D362" s="24" t="inlineStr">
        <is>
          <t>Financement</t>
        </is>
      </c>
      <c r="E362" s="13" t="inlineStr">
        <is>
          <t>Kickstart Trading</t>
        </is>
      </c>
      <c r="F362" s="13" t="inlineStr">
        <is>
          <t>#65 Instant-Direct 100k</t>
        </is>
      </c>
      <c r="G362" s="17" t="n">
        <v>100000</v>
      </c>
      <c r="H362" s="17" t="n">
        <v>0</v>
      </c>
      <c r="I362" s="17" t="n">
        <v>187.15</v>
      </c>
      <c r="J362" s="13" t="inlineStr">
        <is>
          <t>Financé dès l'achat – 1er payout le 18/02/2027</t>
        </is>
      </c>
    </row>
    <row r="363">
      <c r="A363" s="19" t="n">
        <v>362</v>
      </c>
      <c r="B363" s="20" t="n">
        <v>46408</v>
      </c>
      <c r="C363" s="21" t="n">
        <v>4</v>
      </c>
      <c r="D363" s="24" t="inlineStr">
        <is>
          <t>Financement</t>
        </is>
      </c>
      <c r="E363" s="19" t="inlineStr">
        <is>
          <t>Audacity Capital</t>
        </is>
      </c>
      <c r="F363" s="19" t="inlineStr">
        <is>
          <t>#66 Instant-Direct 50k</t>
        </is>
      </c>
      <c r="G363" s="22" t="n">
        <v>50000</v>
      </c>
      <c r="H363" s="22" t="n">
        <v>0</v>
      </c>
      <c r="I363" s="22" t="n">
        <v>187.15</v>
      </c>
      <c r="J363" s="19" t="inlineStr">
        <is>
          <t>Financé dès l'achat – 1er payout le 18/02/2027</t>
        </is>
      </c>
    </row>
    <row r="364">
      <c r="A364" s="13" t="n">
        <v>363</v>
      </c>
      <c r="B364" s="14" t="n">
        <v>46408</v>
      </c>
      <c r="C364" s="15" t="n">
        <v>4</v>
      </c>
      <c r="D364" s="24" t="inlineStr">
        <is>
          <t>Financement</t>
        </is>
      </c>
      <c r="E364" s="13" t="inlineStr">
        <is>
          <t>Audacity Capital</t>
        </is>
      </c>
      <c r="F364" s="13" t="inlineStr">
        <is>
          <t>#67 Instant-Direct 50k</t>
        </is>
      </c>
      <c r="G364" s="17" t="n">
        <v>50000</v>
      </c>
      <c r="H364" s="17" t="n">
        <v>0</v>
      </c>
      <c r="I364" s="17" t="n">
        <v>187.15</v>
      </c>
      <c r="J364" s="13" t="inlineStr">
        <is>
          <t>Financé dès l'achat – 1er payout le 18/02/2027</t>
        </is>
      </c>
    </row>
    <row r="365">
      <c r="A365" s="19" t="n">
        <v>364</v>
      </c>
      <c r="B365" s="20" t="n">
        <v>46408</v>
      </c>
      <c r="C365" s="21" t="n">
        <v>4</v>
      </c>
      <c r="D365" s="24" t="inlineStr">
        <is>
          <t>Financement</t>
        </is>
      </c>
      <c r="E365" s="19" t="inlineStr">
        <is>
          <t>Audacity Capital</t>
        </is>
      </c>
      <c r="F365" s="19" t="inlineStr">
        <is>
          <t>#68 Instant-Direct 50k</t>
        </is>
      </c>
      <c r="G365" s="22" t="n">
        <v>50000</v>
      </c>
      <c r="H365" s="22" t="n">
        <v>0</v>
      </c>
      <c r="I365" s="22" t="n">
        <v>187.15</v>
      </c>
      <c r="J365" s="19" t="inlineStr">
        <is>
          <t>Financé dès l'achat – 1er payout le 18/02/2027</t>
        </is>
      </c>
    </row>
    <row r="366">
      <c r="A366" s="13" t="n">
        <v>365</v>
      </c>
      <c r="B366" s="14" t="n">
        <v>46408</v>
      </c>
      <c r="C366" s="15" t="n">
        <v>4</v>
      </c>
      <c r="D366" s="24" t="inlineStr">
        <is>
          <t>Financement</t>
        </is>
      </c>
      <c r="E366" s="13" t="inlineStr">
        <is>
          <t>Audacity Capital</t>
        </is>
      </c>
      <c r="F366" s="13" t="inlineStr">
        <is>
          <t>#69 Instant-Direct 50k</t>
        </is>
      </c>
      <c r="G366" s="17" t="n">
        <v>50000</v>
      </c>
      <c r="H366" s="17" t="n">
        <v>0</v>
      </c>
      <c r="I366" s="17" t="n">
        <v>187.15</v>
      </c>
      <c r="J366" s="13" t="inlineStr">
        <is>
          <t>Financé dès l'achat – 1er payout le 18/02/2027</t>
        </is>
      </c>
    </row>
    <row r="367">
      <c r="A367" s="19" t="n">
        <v>366</v>
      </c>
      <c r="B367" s="20" t="n">
        <v>46408</v>
      </c>
      <c r="C367" s="21" t="n">
        <v>4</v>
      </c>
      <c r="D367" s="24" t="inlineStr">
        <is>
          <t>Financement</t>
        </is>
      </c>
      <c r="E367" s="19" t="inlineStr">
        <is>
          <t>Audacity Capital</t>
        </is>
      </c>
      <c r="F367" s="19" t="inlineStr">
        <is>
          <t>#70 Instant-Direct 50k</t>
        </is>
      </c>
      <c r="G367" s="22" t="n">
        <v>50000</v>
      </c>
      <c r="H367" s="22" t="n">
        <v>0</v>
      </c>
      <c r="I367" s="22" t="n">
        <v>187.15</v>
      </c>
      <c r="J367" s="19" t="inlineStr">
        <is>
          <t>Financé dès l'achat – 1er payout le 18/02/2027</t>
        </is>
      </c>
    </row>
    <row r="368">
      <c r="A368" s="13" t="n">
        <v>367</v>
      </c>
      <c r="B368" s="14" t="n">
        <v>46408</v>
      </c>
      <c r="C368" s="15" t="n">
        <v>4</v>
      </c>
      <c r="D368" s="24" t="inlineStr">
        <is>
          <t>Financement</t>
        </is>
      </c>
      <c r="E368" s="13" t="inlineStr">
        <is>
          <t>Audacity Capital</t>
        </is>
      </c>
      <c r="F368" s="13" t="inlineStr">
        <is>
          <t>#71 Instant-Direct 50k</t>
        </is>
      </c>
      <c r="G368" s="17" t="n">
        <v>50000</v>
      </c>
      <c r="H368" s="17" t="n">
        <v>0</v>
      </c>
      <c r="I368" s="17" t="n">
        <v>187.15</v>
      </c>
      <c r="J368" s="13" t="inlineStr">
        <is>
          <t>Financé dès l'achat – 1er payout le 18/02/2027</t>
        </is>
      </c>
    </row>
    <row r="369">
      <c r="A369" s="19" t="n">
        <v>368</v>
      </c>
      <c r="B369" s="20" t="n">
        <v>46408</v>
      </c>
      <c r="C369" s="21" t="n">
        <v>4</v>
      </c>
      <c r="D369" s="24" t="inlineStr">
        <is>
          <t>Financement</t>
        </is>
      </c>
      <c r="E369" s="19" t="inlineStr">
        <is>
          <t>Audacity Capital</t>
        </is>
      </c>
      <c r="F369" s="19" t="inlineStr">
        <is>
          <t>#72 Instant-Direct 50k</t>
        </is>
      </c>
      <c r="G369" s="22" t="n">
        <v>50000</v>
      </c>
      <c r="H369" s="22" t="n">
        <v>0</v>
      </c>
      <c r="I369" s="22" t="n">
        <v>187.15</v>
      </c>
      <c r="J369" s="19" t="inlineStr">
        <is>
          <t>Financé dès l'achat – 1er payout le 18/02/2027</t>
        </is>
      </c>
    </row>
    <row r="370">
      <c r="A370" s="13" t="n">
        <v>369</v>
      </c>
      <c r="B370" s="14" t="n">
        <v>46408</v>
      </c>
      <c r="C370" s="15" t="n">
        <v>4</v>
      </c>
      <c r="D370" s="24" t="inlineStr">
        <is>
          <t>Financement</t>
        </is>
      </c>
      <c r="E370" s="13" t="inlineStr">
        <is>
          <t>Audacity Capital</t>
        </is>
      </c>
      <c r="F370" s="13" t="inlineStr">
        <is>
          <t>#73 Instant-Direct 50k</t>
        </is>
      </c>
      <c r="G370" s="17" t="n">
        <v>50000</v>
      </c>
      <c r="H370" s="17" t="n">
        <v>0</v>
      </c>
      <c r="I370" s="17" t="n">
        <v>187.15</v>
      </c>
      <c r="J370" s="13" t="inlineStr">
        <is>
          <t>Financé dès l'achat – 1er payout le 18/02/2027</t>
        </is>
      </c>
    </row>
    <row r="371">
      <c r="A371" s="19" t="n">
        <v>370</v>
      </c>
      <c r="B371" s="20" t="n">
        <v>46408</v>
      </c>
      <c r="C371" s="21" t="n">
        <v>4</v>
      </c>
      <c r="D371" s="24" t="inlineStr">
        <is>
          <t>Financement</t>
        </is>
      </c>
      <c r="E371" s="19" t="inlineStr">
        <is>
          <t>Audacity Capital</t>
        </is>
      </c>
      <c r="F371" s="19" t="inlineStr">
        <is>
          <t>#74 Instant-Direct 50k</t>
        </is>
      </c>
      <c r="G371" s="22" t="n">
        <v>50000</v>
      </c>
      <c r="H371" s="22" t="n">
        <v>0</v>
      </c>
      <c r="I371" s="22" t="n">
        <v>187.15</v>
      </c>
      <c r="J371" s="19" t="inlineStr">
        <is>
          <t>Financé dès l'achat – 1er payout le 18/02/2027</t>
        </is>
      </c>
    </row>
    <row r="372">
      <c r="A372" s="13" t="n">
        <v>371</v>
      </c>
      <c r="B372" s="14" t="n">
        <v>46408</v>
      </c>
      <c r="C372" s="15" t="n">
        <v>4</v>
      </c>
      <c r="D372" s="24" t="inlineStr">
        <is>
          <t>Financement</t>
        </is>
      </c>
      <c r="E372" s="13" t="inlineStr">
        <is>
          <t>Audacity Capital</t>
        </is>
      </c>
      <c r="F372" s="13" t="inlineStr">
        <is>
          <t>#75 Instant-Direct 50k</t>
        </is>
      </c>
      <c r="G372" s="17" t="n">
        <v>50000</v>
      </c>
      <c r="H372" s="17" t="n">
        <v>0</v>
      </c>
      <c r="I372" s="17" t="n">
        <v>187.15</v>
      </c>
      <c r="J372" s="13" t="inlineStr">
        <is>
          <t>Financé dès l'achat – 1er payout le 18/02/2027</t>
        </is>
      </c>
    </row>
    <row r="373">
      <c r="A373" s="19" t="n">
        <v>372</v>
      </c>
      <c r="B373" s="20" t="n">
        <v>46408</v>
      </c>
      <c r="C373" s="21" t="n">
        <v>4</v>
      </c>
      <c r="D373" s="24" t="inlineStr">
        <is>
          <t>Financement</t>
        </is>
      </c>
      <c r="E373" s="19" t="inlineStr">
        <is>
          <t>Audacity Capital</t>
        </is>
      </c>
      <c r="F373" s="19" t="inlineStr">
        <is>
          <t>#76 Instant-Direct 50k</t>
        </is>
      </c>
      <c r="G373" s="22" t="n">
        <v>50000</v>
      </c>
      <c r="H373" s="22" t="n">
        <v>0</v>
      </c>
      <c r="I373" s="22" t="n">
        <v>187.15</v>
      </c>
      <c r="J373" s="19" t="inlineStr">
        <is>
          <t>Financé dès l'achat – 1er payout le 18/02/2027</t>
        </is>
      </c>
    </row>
    <row r="374">
      <c r="A374" s="13" t="n">
        <v>373</v>
      </c>
      <c r="B374" s="14" t="n">
        <v>46408</v>
      </c>
      <c r="C374" s="15" t="n">
        <v>4</v>
      </c>
      <c r="D374" s="24" t="inlineStr">
        <is>
          <t>Financement</t>
        </is>
      </c>
      <c r="E374" s="13" t="inlineStr">
        <is>
          <t>Audacity Capital</t>
        </is>
      </c>
      <c r="F374" s="13" t="inlineStr">
        <is>
          <t>#77 Instant-Direct 50k</t>
        </is>
      </c>
      <c r="G374" s="17" t="n">
        <v>50000</v>
      </c>
      <c r="H374" s="17" t="n">
        <v>0</v>
      </c>
      <c r="I374" s="17" t="n">
        <v>187.15</v>
      </c>
      <c r="J374" s="13" t="inlineStr">
        <is>
          <t>Financé dès l'achat – 1er payout le 18/02/2027</t>
        </is>
      </c>
    </row>
    <row r="375">
      <c r="A375" s="19" t="n">
        <v>374</v>
      </c>
      <c r="B375" s="20" t="n">
        <v>46408</v>
      </c>
      <c r="C375" s="21" t="n">
        <v>4</v>
      </c>
      <c r="D375" s="24" t="inlineStr">
        <is>
          <t>Financement</t>
        </is>
      </c>
      <c r="E375" s="19" t="inlineStr">
        <is>
          <t>Audacity Capital</t>
        </is>
      </c>
      <c r="F375" s="19" t="inlineStr">
        <is>
          <t>#78 Instant-Direct 50k</t>
        </is>
      </c>
      <c r="G375" s="22" t="n">
        <v>50000</v>
      </c>
      <c r="H375" s="22" t="n">
        <v>0</v>
      </c>
      <c r="I375" s="22" t="n">
        <v>187.15</v>
      </c>
      <c r="J375" s="19" t="inlineStr">
        <is>
          <t>Financé dès l'achat – 1er payout le 18/02/2027</t>
        </is>
      </c>
    </row>
    <row r="376">
      <c r="A376" s="13" t="n">
        <v>375</v>
      </c>
      <c r="B376" s="14" t="n">
        <v>46408</v>
      </c>
      <c r="C376" s="15" t="n">
        <v>4</v>
      </c>
      <c r="D376" s="24" t="inlineStr">
        <is>
          <t>Financement</t>
        </is>
      </c>
      <c r="E376" s="13" t="inlineStr">
        <is>
          <t>Fill88</t>
        </is>
      </c>
      <c r="F376" s="13" t="inlineStr">
        <is>
          <t>#79 Instant-Direct 100k</t>
        </is>
      </c>
      <c r="G376" s="17" t="n">
        <v>100000</v>
      </c>
      <c r="H376" s="17" t="n">
        <v>0</v>
      </c>
      <c r="I376" s="17" t="n">
        <v>187.15</v>
      </c>
      <c r="J376" s="13" t="inlineStr">
        <is>
          <t>Financé dès l'achat – 1er payout le 18/02/2027</t>
        </is>
      </c>
    </row>
    <row r="377">
      <c r="A377" s="19" t="n">
        <v>376</v>
      </c>
      <c r="B377" s="20" t="n">
        <v>46408</v>
      </c>
      <c r="C377" s="21" t="n">
        <v>4</v>
      </c>
      <c r="D377" s="24" t="inlineStr">
        <is>
          <t>Financement</t>
        </is>
      </c>
      <c r="E377" s="19" t="inlineStr">
        <is>
          <t>Fill88</t>
        </is>
      </c>
      <c r="F377" s="19" t="inlineStr">
        <is>
          <t>#80 Instant-Direct 100k</t>
        </is>
      </c>
      <c r="G377" s="22" t="n">
        <v>100000</v>
      </c>
      <c r="H377" s="22" t="n">
        <v>0</v>
      </c>
      <c r="I377" s="22" t="n">
        <v>187.15</v>
      </c>
      <c r="J377" s="19" t="inlineStr">
        <is>
          <t>Financé dès l'achat – 1er payout le 18/02/2027</t>
        </is>
      </c>
    </row>
    <row r="378">
      <c r="A378" s="13" t="n">
        <v>377</v>
      </c>
      <c r="B378" s="14" t="n">
        <v>46408</v>
      </c>
      <c r="C378" s="15" t="n">
        <v>4</v>
      </c>
      <c r="D378" s="24" t="inlineStr">
        <is>
          <t>Financement</t>
        </is>
      </c>
      <c r="E378" s="13" t="inlineStr">
        <is>
          <t>Fill88</t>
        </is>
      </c>
      <c r="F378" s="13" t="inlineStr">
        <is>
          <t>#81 Instant-Direct 100k</t>
        </is>
      </c>
      <c r="G378" s="17" t="n">
        <v>100000</v>
      </c>
      <c r="H378" s="17" t="n">
        <v>0</v>
      </c>
      <c r="I378" s="17" t="n">
        <v>187.15</v>
      </c>
      <c r="J378" s="13" t="inlineStr">
        <is>
          <t>Financé dès l'achat – 1er payout le 18/02/2027</t>
        </is>
      </c>
    </row>
    <row r="379">
      <c r="A379" s="19" t="n">
        <v>378</v>
      </c>
      <c r="B379" s="20" t="n">
        <v>46408</v>
      </c>
      <c r="C379" s="21" t="n">
        <v>4</v>
      </c>
      <c r="D379" s="24" t="inlineStr">
        <is>
          <t>Financement</t>
        </is>
      </c>
      <c r="E379" s="19" t="inlineStr">
        <is>
          <t>Fill88</t>
        </is>
      </c>
      <c r="F379" s="19" t="inlineStr">
        <is>
          <t>#82 Instant-Direct 100k</t>
        </is>
      </c>
      <c r="G379" s="22" t="n">
        <v>100000</v>
      </c>
      <c r="H379" s="22" t="n">
        <v>0</v>
      </c>
      <c r="I379" s="22" t="n">
        <v>187.15</v>
      </c>
      <c r="J379" s="19" t="inlineStr">
        <is>
          <t>Financé dès l'achat – 1er payout le 18/02/2027</t>
        </is>
      </c>
    </row>
    <row r="380">
      <c r="A380" s="13" t="n">
        <v>379</v>
      </c>
      <c r="B380" s="14" t="n">
        <v>46408</v>
      </c>
      <c r="C380" s="15" t="n">
        <v>4</v>
      </c>
      <c r="D380" s="24" t="inlineStr">
        <is>
          <t>Financement</t>
        </is>
      </c>
      <c r="E380" s="13" t="inlineStr">
        <is>
          <t>Fill88</t>
        </is>
      </c>
      <c r="F380" s="13" t="inlineStr">
        <is>
          <t>#83 Instant-Direct 100k</t>
        </is>
      </c>
      <c r="G380" s="17" t="n">
        <v>100000</v>
      </c>
      <c r="H380" s="17" t="n">
        <v>0</v>
      </c>
      <c r="I380" s="17" t="n">
        <v>187.15</v>
      </c>
      <c r="J380" s="13" t="inlineStr">
        <is>
          <t>Financé dès l'achat – 1er payout le 18/02/2027</t>
        </is>
      </c>
    </row>
    <row r="381">
      <c r="A381" s="19" t="n">
        <v>380</v>
      </c>
      <c r="B381" s="20" t="n">
        <v>46408</v>
      </c>
      <c r="C381" s="21" t="n">
        <v>4</v>
      </c>
      <c r="D381" s="24" t="inlineStr">
        <is>
          <t>Financement</t>
        </is>
      </c>
      <c r="E381" s="19" t="inlineStr">
        <is>
          <t>Fill88</t>
        </is>
      </c>
      <c r="F381" s="19" t="inlineStr">
        <is>
          <t>#84 Instant-Direct 100k</t>
        </is>
      </c>
      <c r="G381" s="22" t="n">
        <v>100000</v>
      </c>
      <c r="H381" s="22" t="n">
        <v>0</v>
      </c>
      <c r="I381" s="22" t="n">
        <v>187.15</v>
      </c>
      <c r="J381" s="19" t="inlineStr">
        <is>
          <t>Financé dès l'achat – 1er payout le 18/02/2027</t>
        </is>
      </c>
    </row>
    <row r="382">
      <c r="A382" s="13" t="n">
        <v>381</v>
      </c>
      <c r="B382" s="14" t="n">
        <v>46408</v>
      </c>
      <c r="C382" s="15" t="n">
        <v>4</v>
      </c>
      <c r="D382" s="24" t="inlineStr">
        <is>
          <t>Financement</t>
        </is>
      </c>
      <c r="E382" s="13" t="inlineStr">
        <is>
          <t>Finotive Funding</t>
        </is>
      </c>
      <c r="F382" s="13" t="inlineStr">
        <is>
          <t>#85 Instant-Direct 100k</t>
        </is>
      </c>
      <c r="G382" s="17" t="n">
        <v>100000</v>
      </c>
      <c r="H382" s="17" t="n">
        <v>0</v>
      </c>
      <c r="I382" s="17" t="n">
        <v>187.15</v>
      </c>
      <c r="J382" s="13" t="inlineStr">
        <is>
          <t>Financé dès l'achat – 1er payout le 18/02/2027</t>
        </is>
      </c>
    </row>
    <row r="383">
      <c r="A383" s="19" t="n">
        <v>382</v>
      </c>
      <c r="B383" s="20" t="n">
        <v>46408</v>
      </c>
      <c r="C383" s="21" t="n">
        <v>4</v>
      </c>
      <c r="D383" s="24" t="inlineStr">
        <is>
          <t>Financement</t>
        </is>
      </c>
      <c r="E383" s="19" t="inlineStr">
        <is>
          <t>Finotive Funding</t>
        </is>
      </c>
      <c r="F383" s="19" t="inlineStr">
        <is>
          <t>#86 Instant-Direct 100k</t>
        </is>
      </c>
      <c r="G383" s="22" t="n">
        <v>100000</v>
      </c>
      <c r="H383" s="22" t="n">
        <v>0</v>
      </c>
      <c r="I383" s="22" t="n">
        <v>187.15</v>
      </c>
      <c r="J383" s="19" t="inlineStr">
        <is>
          <t>Financé dès l'achat – 1er payout le 18/02/2027</t>
        </is>
      </c>
    </row>
    <row r="384">
      <c r="A384" s="13" t="n">
        <v>383</v>
      </c>
      <c r="B384" s="14" t="n">
        <v>46408</v>
      </c>
      <c r="C384" s="15" t="n">
        <v>4</v>
      </c>
      <c r="D384" s="24" t="inlineStr">
        <is>
          <t>Financement</t>
        </is>
      </c>
      <c r="E384" s="13" t="inlineStr">
        <is>
          <t>Finotive Funding</t>
        </is>
      </c>
      <c r="F384" s="13" t="inlineStr">
        <is>
          <t>#87 Instant-Direct 100k</t>
        </is>
      </c>
      <c r="G384" s="17" t="n">
        <v>100000</v>
      </c>
      <c r="H384" s="17" t="n">
        <v>0</v>
      </c>
      <c r="I384" s="17" t="n">
        <v>187.15</v>
      </c>
      <c r="J384" s="13" t="inlineStr">
        <is>
          <t>Financé dès l'achat – 1er payout le 18/02/2027</t>
        </is>
      </c>
    </row>
    <row r="385">
      <c r="A385" s="19" t="n">
        <v>384</v>
      </c>
      <c r="B385" s="20" t="n">
        <v>46408</v>
      </c>
      <c r="C385" s="21" t="n">
        <v>4</v>
      </c>
      <c r="D385" s="24" t="inlineStr">
        <is>
          <t>Financement</t>
        </is>
      </c>
      <c r="E385" s="19" t="inlineStr">
        <is>
          <t>Finotive Funding</t>
        </is>
      </c>
      <c r="F385" s="19" t="inlineStr">
        <is>
          <t>#88 Instant-Direct 100k</t>
        </is>
      </c>
      <c r="G385" s="22" t="n">
        <v>100000</v>
      </c>
      <c r="H385" s="22" t="n">
        <v>0</v>
      </c>
      <c r="I385" s="22" t="n">
        <v>187.15</v>
      </c>
      <c r="J385" s="19" t="inlineStr">
        <is>
          <t>Financé dès l'achat – 1er payout le 18/02/2027</t>
        </is>
      </c>
    </row>
    <row r="386">
      <c r="A386" s="13" t="n">
        <v>385</v>
      </c>
      <c r="B386" s="14" t="n">
        <v>46408</v>
      </c>
      <c r="C386" s="15" t="n">
        <v>4</v>
      </c>
      <c r="D386" s="24" t="inlineStr">
        <is>
          <t>Financement</t>
        </is>
      </c>
      <c r="E386" s="13" t="inlineStr">
        <is>
          <t>Finotive Funding</t>
        </is>
      </c>
      <c r="F386" s="13" t="inlineStr">
        <is>
          <t>#89 Instant-Direct 100k</t>
        </is>
      </c>
      <c r="G386" s="17" t="n">
        <v>100000</v>
      </c>
      <c r="H386" s="17" t="n">
        <v>0</v>
      </c>
      <c r="I386" s="17" t="n">
        <v>187.15</v>
      </c>
      <c r="J386" s="13" t="inlineStr">
        <is>
          <t>Financé dès l'achat – 1er payout le 18/02/2027</t>
        </is>
      </c>
    </row>
    <row r="387">
      <c r="A387" s="19" t="n">
        <v>386</v>
      </c>
      <c r="B387" s="20" t="n">
        <v>46408</v>
      </c>
      <c r="C387" s="21" t="n">
        <v>4</v>
      </c>
      <c r="D387" s="24" t="inlineStr">
        <is>
          <t>Financement</t>
        </is>
      </c>
      <c r="E387" s="19" t="inlineStr">
        <is>
          <t>Finotive Funding</t>
        </is>
      </c>
      <c r="F387" s="19" t="inlineStr">
        <is>
          <t>#90 Instant-Direct 100k</t>
        </is>
      </c>
      <c r="G387" s="22" t="n">
        <v>100000</v>
      </c>
      <c r="H387" s="22" t="n">
        <v>0</v>
      </c>
      <c r="I387" s="22" t="n">
        <v>187.15</v>
      </c>
      <c r="J387" s="19" t="inlineStr">
        <is>
          <t>Financé dès l'achat – 1er payout le 18/02/2027</t>
        </is>
      </c>
    </row>
    <row r="388">
      <c r="A388" s="13" t="n">
        <v>387</v>
      </c>
      <c r="B388" s="14" t="n">
        <v>46408</v>
      </c>
      <c r="C388" s="15" t="n">
        <v>4</v>
      </c>
      <c r="D388" s="24" t="inlineStr">
        <is>
          <t>Financement</t>
        </is>
      </c>
      <c r="E388" s="13" t="inlineStr">
        <is>
          <t>FNC Funding</t>
        </is>
      </c>
      <c r="F388" s="13" t="inlineStr">
        <is>
          <t>#91 Instant-Direct 100k</t>
        </is>
      </c>
      <c r="G388" s="17" t="n">
        <v>100000</v>
      </c>
      <c r="H388" s="17" t="n">
        <v>0</v>
      </c>
      <c r="I388" s="17" t="n">
        <v>187.15</v>
      </c>
      <c r="J388" s="13" t="inlineStr">
        <is>
          <t>Financé dès l'achat – 1er payout le 18/02/2027</t>
        </is>
      </c>
    </row>
    <row r="389">
      <c r="A389" s="19" t="n">
        <v>388</v>
      </c>
      <c r="B389" s="20" t="n">
        <v>46408</v>
      </c>
      <c r="C389" s="21" t="n">
        <v>4</v>
      </c>
      <c r="D389" s="24" t="inlineStr">
        <is>
          <t>Financement</t>
        </is>
      </c>
      <c r="E389" s="19" t="inlineStr">
        <is>
          <t>FNC Funding</t>
        </is>
      </c>
      <c r="F389" s="19" t="inlineStr">
        <is>
          <t>#92 Instant-Direct 100k</t>
        </is>
      </c>
      <c r="G389" s="22" t="n">
        <v>100000</v>
      </c>
      <c r="H389" s="22" t="n">
        <v>0</v>
      </c>
      <c r="I389" s="22" t="n">
        <v>187.15</v>
      </c>
      <c r="J389" s="19" t="inlineStr">
        <is>
          <t>Financé dès l'achat – 1er payout le 18/02/2027</t>
        </is>
      </c>
    </row>
    <row r="390">
      <c r="A390" s="13" t="n">
        <v>389</v>
      </c>
      <c r="B390" s="14" t="n">
        <v>46408</v>
      </c>
      <c r="C390" s="15" t="n">
        <v>4</v>
      </c>
      <c r="D390" s="24" t="inlineStr">
        <is>
          <t>Financement</t>
        </is>
      </c>
      <c r="E390" s="13" t="inlineStr">
        <is>
          <t>FNC Funding</t>
        </is>
      </c>
      <c r="F390" s="13" t="inlineStr">
        <is>
          <t>#93 Instant-Direct 100k</t>
        </is>
      </c>
      <c r="G390" s="17" t="n">
        <v>100000</v>
      </c>
      <c r="H390" s="17" t="n">
        <v>0</v>
      </c>
      <c r="I390" s="17" t="n">
        <v>187.15</v>
      </c>
      <c r="J390" s="13" t="inlineStr">
        <is>
          <t>Financé dès l'achat – 1er payout le 18/02/2027</t>
        </is>
      </c>
    </row>
    <row r="391">
      <c r="A391" s="19" t="n">
        <v>390</v>
      </c>
      <c r="B391" s="20" t="n">
        <v>46408</v>
      </c>
      <c r="C391" s="21" t="n">
        <v>4</v>
      </c>
      <c r="D391" s="24" t="inlineStr">
        <is>
          <t>Financement</t>
        </is>
      </c>
      <c r="E391" s="19" t="inlineStr">
        <is>
          <t>FNC Funding</t>
        </is>
      </c>
      <c r="F391" s="19" t="inlineStr">
        <is>
          <t>#94 Instant-Direct 100k</t>
        </is>
      </c>
      <c r="G391" s="22" t="n">
        <v>100000</v>
      </c>
      <c r="H391" s="22" t="n">
        <v>0</v>
      </c>
      <c r="I391" s="22" t="n">
        <v>187.15</v>
      </c>
      <c r="J391" s="19" t="inlineStr">
        <is>
          <t>Financé dès l'achat – 1er payout le 18/02/2027</t>
        </is>
      </c>
    </row>
    <row r="392">
      <c r="A392" s="13" t="n">
        <v>391</v>
      </c>
      <c r="B392" s="14" t="n">
        <v>46408</v>
      </c>
      <c r="C392" s="15" t="n">
        <v>4</v>
      </c>
      <c r="D392" s="24" t="inlineStr">
        <is>
          <t>Financement</t>
        </is>
      </c>
      <c r="E392" s="13" t="inlineStr">
        <is>
          <t>FNC Funding</t>
        </is>
      </c>
      <c r="F392" s="13" t="inlineStr">
        <is>
          <t>#95 Instant-Direct 100k</t>
        </is>
      </c>
      <c r="G392" s="17" t="n">
        <v>100000</v>
      </c>
      <c r="H392" s="17" t="n">
        <v>0</v>
      </c>
      <c r="I392" s="17" t="n">
        <v>187.15</v>
      </c>
      <c r="J392" s="13" t="inlineStr">
        <is>
          <t>Financé dès l'achat – 1er payout le 18/02/2027</t>
        </is>
      </c>
    </row>
    <row r="393">
      <c r="A393" s="19" t="n">
        <v>392</v>
      </c>
      <c r="B393" s="20" t="n">
        <v>46408</v>
      </c>
      <c r="C393" s="21" t="n">
        <v>4</v>
      </c>
      <c r="D393" s="24" t="inlineStr">
        <is>
          <t>Financement</t>
        </is>
      </c>
      <c r="E393" s="19" t="inlineStr">
        <is>
          <t>Funding Traders</t>
        </is>
      </c>
      <c r="F393" s="19" t="inlineStr">
        <is>
          <t>#96 Instant-Direct 400k</t>
        </is>
      </c>
      <c r="G393" s="22" t="n">
        <v>400000</v>
      </c>
      <c r="H393" s="22" t="n">
        <v>0</v>
      </c>
      <c r="I393" s="22" t="n">
        <v>187.15</v>
      </c>
      <c r="J393" s="19" t="inlineStr">
        <is>
          <t>Financé dès l'achat – 1er payout le 18/02/2027</t>
        </is>
      </c>
    </row>
    <row r="394">
      <c r="A394" s="13" t="n">
        <v>393</v>
      </c>
      <c r="B394" s="14" t="n">
        <v>46408</v>
      </c>
      <c r="C394" s="15" t="n">
        <v>4</v>
      </c>
      <c r="D394" s="24" t="inlineStr">
        <is>
          <t>Financement</t>
        </is>
      </c>
      <c r="E394" s="13" t="inlineStr">
        <is>
          <t>Ifunds</t>
        </is>
      </c>
      <c r="F394" s="13" t="inlineStr">
        <is>
          <t>#97 Instant-Direct 500k</t>
        </is>
      </c>
      <c r="G394" s="17" t="n">
        <v>500000</v>
      </c>
      <c r="H394" s="17" t="n">
        <v>0</v>
      </c>
      <c r="I394" s="17" t="n">
        <v>187.15</v>
      </c>
      <c r="J394" s="13" t="inlineStr">
        <is>
          <t>Financé dès l'achat – 1er payout le 18/02/2027</t>
        </is>
      </c>
    </row>
    <row r="395">
      <c r="A395" s="19" t="n">
        <v>394</v>
      </c>
      <c r="B395" s="20" t="n">
        <v>46408</v>
      </c>
      <c r="C395" s="21" t="n">
        <v>4</v>
      </c>
      <c r="D395" s="24" t="inlineStr">
        <is>
          <t>Financement</t>
        </is>
      </c>
      <c r="E395" s="19" t="inlineStr">
        <is>
          <t>Alpine Funded</t>
        </is>
      </c>
      <c r="F395" s="19" t="inlineStr">
        <is>
          <t>#98 Instant-Direct 200k</t>
        </is>
      </c>
      <c r="G395" s="22" t="n">
        <v>200000</v>
      </c>
      <c r="H395" s="22" t="n">
        <v>0</v>
      </c>
      <c r="I395" s="22" t="n">
        <v>187.15</v>
      </c>
      <c r="J395" s="19" t="inlineStr">
        <is>
          <t>Financé dès l'achat – 1er payout le 18/02/2027</t>
        </is>
      </c>
    </row>
    <row r="396">
      <c r="A396" s="13" t="n">
        <v>395</v>
      </c>
      <c r="B396" s="14" t="n">
        <v>46408</v>
      </c>
      <c r="C396" s="15" t="n">
        <v>4</v>
      </c>
      <c r="D396" s="24" t="inlineStr">
        <is>
          <t>Financement</t>
        </is>
      </c>
      <c r="E396" s="13" t="inlineStr">
        <is>
          <t>Alpine Funded</t>
        </is>
      </c>
      <c r="F396" s="13" t="inlineStr">
        <is>
          <t>#99 Instant-Direct 200k</t>
        </is>
      </c>
      <c r="G396" s="17" t="n">
        <v>200000</v>
      </c>
      <c r="H396" s="17" t="n">
        <v>0</v>
      </c>
      <c r="I396" s="17" t="n">
        <v>187.15</v>
      </c>
      <c r="J396" s="13" t="inlineStr">
        <is>
          <t>Financé dès l'achat – 1er payout le 18/02/2027</t>
        </is>
      </c>
    </row>
    <row r="397">
      <c r="A397" s="19" t="n">
        <v>396</v>
      </c>
      <c r="B397" s="20" t="n">
        <v>46408</v>
      </c>
      <c r="C397" s="21" t="n">
        <v>4</v>
      </c>
      <c r="D397" s="24" t="inlineStr">
        <is>
          <t>Financement</t>
        </is>
      </c>
      <c r="E397" s="19" t="inlineStr">
        <is>
          <t>AquaFunded</t>
        </is>
      </c>
      <c r="F397" s="19" t="inlineStr">
        <is>
          <t>#100 Instant-Direct 400k</t>
        </is>
      </c>
      <c r="G397" s="22" t="n">
        <v>400000</v>
      </c>
      <c r="H397" s="22" t="n">
        <v>0</v>
      </c>
      <c r="I397" s="22" t="n">
        <v>187.15</v>
      </c>
      <c r="J397" s="19" t="inlineStr">
        <is>
          <t>Financé dès l'achat – 1er payout le 18/02/2027</t>
        </is>
      </c>
    </row>
    <row r="398">
      <c r="A398" s="13" t="n">
        <v>397</v>
      </c>
      <c r="B398" s="14" t="n">
        <v>46408</v>
      </c>
      <c r="C398" s="15" t="n">
        <v>4</v>
      </c>
      <c r="D398" s="24" t="inlineStr">
        <is>
          <t>Financement</t>
        </is>
      </c>
      <c r="E398" s="13" t="inlineStr">
        <is>
          <t>Atlas Funded</t>
        </is>
      </c>
      <c r="F398" s="13" t="inlineStr">
        <is>
          <t>#101 Instant-Direct 300k</t>
        </is>
      </c>
      <c r="G398" s="17" t="n">
        <v>300000</v>
      </c>
      <c r="H398" s="17" t="n">
        <v>0</v>
      </c>
      <c r="I398" s="17" t="n">
        <v>187.15</v>
      </c>
      <c r="J398" s="13" t="inlineStr">
        <is>
          <t>Financé dès l'achat – 1er payout le 18/02/2027</t>
        </is>
      </c>
    </row>
    <row r="399">
      <c r="A399" s="19" t="n">
        <v>398</v>
      </c>
      <c r="B399" s="20" t="n">
        <v>46408</v>
      </c>
      <c r="C399" s="21" t="n">
        <v>4</v>
      </c>
      <c r="D399" s="24" t="inlineStr">
        <is>
          <t>Financement</t>
        </is>
      </c>
      <c r="E399" s="19" t="inlineStr">
        <is>
          <t>Atmos Funded</t>
        </is>
      </c>
      <c r="F399" s="19" t="inlineStr">
        <is>
          <t>#102 Instant-Direct 100k</t>
        </is>
      </c>
      <c r="G399" s="22" t="n">
        <v>100000</v>
      </c>
      <c r="H399" s="22" t="n">
        <v>0</v>
      </c>
      <c r="I399" s="22" t="n">
        <v>187.15</v>
      </c>
      <c r="J399" s="19" t="inlineStr">
        <is>
          <t>Financé dès l'achat – 1er payout le 18/02/2027</t>
        </is>
      </c>
    </row>
    <row r="400">
      <c r="A400" s="13" t="n">
        <v>399</v>
      </c>
      <c r="B400" s="14" t="n">
        <v>46408</v>
      </c>
      <c r="C400" s="15" t="n">
        <v>4</v>
      </c>
      <c r="D400" s="24" t="inlineStr">
        <is>
          <t>Financement</t>
        </is>
      </c>
      <c r="E400" s="13" t="inlineStr">
        <is>
          <t>Atmos Funded</t>
        </is>
      </c>
      <c r="F400" s="13" t="inlineStr">
        <is>
          <t>#103 Instant-Direct 100k</t>
        </is>
      </c>
      <c r="G400" s="17" t="n">
        <v>100000</v>
      </c>
      <c r="H400" s="17" t="n">
        <v>0</v>
      </c>
      <c r="I400" s="17" t="n">
        <v>187.15</v>
      </c>
      <c r="J400" s="13" t="inlineStr">
        <is>
          <t>Financé dès l'achat – 1er payout le 18/02/2027</t>
        </is>
      </c>
    </row>
    <row r="401">
      <c r="A401" s="19" t="n">
        <v>400</v>
      </c>
      <c r="B401" s="20" t="n">
        <v>46408</v>
      </c>
      <c r="C401" s="21" t="n">
        <v>4</v>
      </c>
      <c r="D401" s="24" t="inlineStr">
        <is>
          <t>Financement</t>
        </is>
      </c>
      <c r="E401" s="19" t="inlineStr">
        <is>
          <t>Atmos Funded</t>
        </is>
      </c>
      <c r="F401" s="19" t="inlineStr">
        <is>
          <t>#104 Instant-Direct 100k</t>
        </is>
      </c>
      <c r="G401" s="22" t="n">
        <v>100000</v>
      </c>
      <c r="H401" s="22" t="n">
        <v>0</v>
      </c>
      <c r="I401" s="22" t="n">
        <v>187.15</v>
      </c>
      <c r="J401" s="19" t="inlineStr">
        <is>
          <t>Financé dès l'achat – 1er payout le 18/02/2027</t>
        </is>
      </c>
    </row>
    <row r="402">
      <c r="A402" s="13" t="n">
        <v>401</v>
      </c>
      <c r="B402" s="14" t="n">
        <v>46408</v>
      </c>
      <c r="C402" s="15" t="n">
        <v>4</v>
      </c>
      <c r="D402" s="24" t="inlineStr">
        <is>
          <t>Financement</t>
        </is>
      </c>
      <c r="E402" s="13" t="inlineStr">
        <is>
          <t>Atmos Funded</t>
        </is>
      </c>
      <c r="F402" s="13" t="inlineStr">
        <is>
          <t>#105 Instant-Direct 100k</t>
        </is>
      </c>
      <c r="G402" s="17" t="n">
        <v>100000</v>
      </c>
      <c r="H402" s="17" t="n">
        <v>0</v>
      </c>
      <c r="I402" s="17" t="n">
        <v>187.15</v>
      </c>
      <c r="J402" s="13" t="inlineStr">
        <is>
          <t>Financé dès l'achat – 1er payout le 18/02/2027</t>
        </is>
      </c>
    </row>
    <row r="403">
      <c r="A403" s="19" t="n">
        <v>402</v>
      </c>
      <c r="B403" s="20" t="n">
        <v>46408</v>
      </c>
      <c r="C403" s="21" t="n">
        <v>4</v>
      </c>
      <c r="D403" s="24" t="inlineStr">
        <is>
          <t>Financement</t>
        </is>
      </c>
      <c r="E403" s="19" t="inlineStr">
        <is>
          <t>Blue Guardian</t>
        </is>
      </c>
      <c r="F403" s="19" t="inlineStr">
        <is>
          <t>#106 Instant-Direct 400k</t>
        </is>
      </c>
      <c r="G403" s="22" t="n">
        <v>400000</v>
      </c>
      <c r="H403" s="22" t="n">
        <v>0</v>
      </c>
      <c r="I403" s="22" t="n">
        <v>187.15</v>
      </c>
      <c r="J403" s="19" t="inlineStr">
        <is>
          <t>Financé dès l'achat – 1er payout le 18/02/2027</t>
        </is>
      </c>
    </row>
    <row r="404">
      <c r="A404" s="13" t="n">
        <v>403</v>
      </c>
      <c r="B404" s="14" t="n">
        <v>46408</v>
      </c>
      <c r="C404" s="15" t="n">
        <v>4</v>
      </c>
      <c r="D404" s="24" t="inlineStr">
        <is>
          <t>Financement</t>
        </is>
      </c>
      <c r="E404" s="13" t="inlineStr">
        <is>
          <t>FundedElite</t>
        </is>
      </c>
      <c r="F404" s="13" t="inlineStr">
        <is>
          <t>#107 Instant-Direct 100k</t>
        </is>
      </c>
      <c r="G404" s="17" t="n">
        <v>100000</v>
      </c>
      <c r="H404" s="17" t="n">
        <v>0</v>
      </c>
      <c r="I404" s="17" t="n">
        <v>187.15</v>
      </c>
      <c r="J404" s="13" t="inlineStr">
        <is>
          <t>Financé dès l'achat – 1er payout le 18/02/2027</t>
        </is>
      </c>
    </row>
    <row r="405">
      <c r="A405" s="19" t="n">
        <v>404</v>
      </c>
      <c r="B405" s="20" t="n">
        <v>46408</v>
      </c>
      <c r="C405" s="21" t="n">
        <v>4</v>
      </c>
      <c r="D405" s="24" t="inlineStr">
        <is>
          <t>Financement</t>
        </is>
      </c>
      <c r="E405" s="19" t="inlineStr">
        <is>
          <t>FundedElite</t>
        </is>
      </c>
      <c r="F405" s="19" t="inlineStr">
        <is>
          <t>#108 Instant-Direct 100k</t>
        </is>
      </c>
      <c r="G405" s="22" t="n">
        <v>100000</v>
      </c>
      <c r="H405" s="22" t="n">
        <v>0</v>
      </c>
      <c r="I405" s="22" t="n">
        <v>187.15</v>
      </c>
      <c r="J405" s="19" t="inlineStr">
        <is>
          <t>Financé dès l'achat – 1er payout le 18/02/2027</t>
        </is>
      </c>
    </row>
    <row r="406">
      <c r="A406" s="13" t="n">
        <v>405</v>
      </c>
      <c r="B406" s="14" t="n">
        <v>46408</v>
      </c>
      <c r="C406" s="15" t="n">
        <v>4</v>
      </c>
      <c r="D406" s="24" t="inlineStr">
        <is>
          <t>Financement</t>
        </is>
      </c>
      <c r="E406" s="13" t="inlineStr">
        <is>
          <t>FundedElite</t>
        </is>
      </c>
      <c r="F406" s="13" t="inlineStr">
        <is>
          <t>#109 Instant-Direct 100k</t>
        </is>
      </c>
      <c r="G406" s="17" t="n">
        <v>100000</v>
      </c>
      <c r="H406" s="17" t="n">
        <v>0</v>
      </c>
      <c r="I406" s="17" t="n">
        <v>187.15</v>
      </c>
      <c r="J406" s="13" t="inlineStr">
        <is>
          <t>Financé dès l'achat – 1er payout le 18/02/2027</t>
        </is>
      </c>
    </row>
    <row r="407">
      <c r="A407" s="19" t="n">
        <v>406</v>
      </c>
      <c r="B407" s="20" t="n">
        <v>46408</v>
      </c>
      <c r="C407" s="21" t="n">
        <v>4</v>
      </c>
      <c r="D407" s="24" t="inlineStr">
        <is>
          <t>Financement</t>
        </is>
      </c>
      <c r="E407" s="19" t="inlineStr">
        <is>
          <t>FundedElite</t>
        </is>
      </c>
      <c r="F407" s="19" t="inlineStr">
        <is>
          <t>#110 Instant-Direct 100k</t>
        </is>
      </c>
      <c r="G407" s="22" t="n">
        <v>100000</v>
      </c>
      <c r="H407" s="22" t="n">
        <v>0</v>
      </c>
      <c r="I407" s="22" t="n">
        <v>187.15</v>
      </c>
      <c r="J407" s="19" t="inlineStr">
        <is>
          <t>Financé dès l'achat – 1er payout le 18/02/2027</t>
        </is>
      </c>
    </row>
    <row r="408">
      <c r="A408" s="13" t="n">
        <v>407</v>
      </c>
      <c r="B408" s="14" t="n">
        <v>46408</v>
      </c>
      <c r="C408" s="15" t="n">
        <v>4</v>
      </c>
      <c r="D408" s="24" t="inlineStr">
        <is>
          <t>Financement</t>
        </is>
      </c>
      <c r="E408" s="13" t="inlineStr">
        <is>
          <t>Funding Pips</t>
        </is>
      </c>
      <c r="F408" s="13" t="inlineStr">
        <is>
          <t>#111 Instant-Direct 200k</t>
        </is>
      </c>
      <c r="G408" s="17" t="n">
        <v>200000</v>
      </c>
      <c r="H408" s="17" t="n">
        <v>0</v>
      </c>
      <c r="I408" s="17" t="n">
        <v>187.15</v>
      </c>
      <c r="J408" s="13" t="inlineStr">
        <is>
          <t>Financé dès l'achat – 1er payout le 18/02/2027</t>
        </is>
      </c>
    </row>
    <row r="409">
      <c r="A409" s="19" t="n">
        <v>408</v>
      </c>
      <c r="B409" s="20" t="n">
        <v>46408</v>
      </c>
      <c r="C409" s="21" t="n">
        <v>4</v>
      </c>
      <c r="D409" s="24" t="inlineStr">
        <is>
          <t>Financement</t>
        </is>
      </c>
      <c r="E409" s="19" t="inlineStr">
        <is>
          <t>Funding Pips</t>
        </is>
      </c>
      <c r="F409" s="19" t="inlineStr">
        <is>
          <t>#112 Instant-Direct 200k</t>
        </is>
      </c>
      <c r="G409" s="22" t="n">
        <v>200000</v>
      </c>
      <c r="H409" s="22" t="n">
        <v>0</v>
      </c>
      <c r="I409" s="22" t="n">
        <v>187.15</v>
      </c>
      <c r="J409" s="19" t="inlineStr">
        <is>
          <t>Financé dès l'achat – 1er payout le 18/02/2027</t>
        </is>
      </c>
    </row>
    <row r="410">
      <c r="A410" s="13" t="n">
        <v>409</v>
      </c>
      <c r="B410" s="14" t="n">
        <v>46408</v>
      </c>
      <c r="C410" s="15" t="n">
        <v>4</v>
      </c>
      <c r="D410" s="24" t="inlineStr">
        <is>
          <t>Financement</t>
        </is>
      </c>
      <c r="E410" s="13" t="inlineStr">
        <is>
          <t>Global Forex Funds</t>
        </is>
      </c>
      <c r="F410" s="13" t="inlineStr">
        <is>
          <t>#113 Instant-Direct 100k</t>
        </is>
      </c>
      <c r="G410" s="17" t="n">
        <v>100000</v>
      </c>
      <c r="H410" s="17" t="n">
        <v>0</v>
      </c>
      <c r="I410" s="17" t="n">
        <v>187.15</v>
      </c>
      <c r="J410" s="13" t="inlineStr">
        <is>
          <t>Financé dès l'achat – 1er payout le 18/02/2027</t>
        </is>
      </c>
    </row>
    <row r="411">
      <c r="A411" s="19" t="n">
        <v>410</v>
      </c>
      <c r="B411" s="20" t="n">
        <v>46408</v>
      </c>
      <c r="C411" s="21" t="n">
        <v>4</v>
      </c>
      <c r="D411" s="24" t="inlineStr">
        <is>
          <t>Financement</t>
        </is>
      </c>
      <c r="E411" s="19" t="inlineStr">
        <is>
          <t>Goat Funded Trader</t>
        </is>
      </c>
      <c r="F411" s="19" t="inlineStr">
        <is>
          <t>#114 Instant-Direct 100k</t>
        </is>
      </c>
      <c r="G411" s="22" t="n">
        <v>100000</v>
      </c>
      <c r="H411" s="22" t="n">
        <v>0</v>
      </c>
      <c r="I411" s="22" t="n">
        <v>187.15</v>
      </c>
      <c r="J411" s="19" t="inlineStr">
        <is>
          <t>Financé dès l'achat – 1er payout le 18/02/2027</t>
        </is>
      </c>
    </row>
    <row r="412">
      <c r="A412" s="13" t="n">
        <v>411</v>
      </c>
      <c r="B412" s="14" t="n">
        <v>46408</v>
      </c>
      <c r="C412" s="15" t="n">
        <v>4</v>
      </c>
      <c r="D412" s="24" t="inlineStr">
        <is>
          <t>Financement</t>
        </is>
      </c>
      <c r="E412" s="13" t="inlineStr">
        <is>
          <t>Goat Funded Trader</t>
        </is>
      </c>
      <c r="F412" s="13" t="inlineStr">
        <is>
          <t>#115 Instant-Direct 100k</t>
        </is>
      </c>
      <c r="G412" s="17" t="n">
        <v>100000</v>
      </c>
      <c r="H412" s="17" t="n">
        <v>0</v>
      </c>
      <c r="I412" s="17" t="n">
        <v>187.15</v>
      </c>
      <c r="J412" s="13" t="inlineStr">
        <is>
          <t>Financé dès l'achat – 1er payout le 18/02/2027</t>
        </is>
      </c>
    </row>
    <row r="413">
      <c r="A413" s="19" t="n">
        <v>412</v>
      </c>
      <c r="B413" s="20" t="n">
        <v>46408</v>
      </c>
      <c r="C413" s="21" t="n">
        <v>4</v>
      </c>
      <c r="D413" s="24" t="inlineStr">
        <is>
          <t>Financement</t>
        </is>
      </c>
      <c r="E413" s="19" t="inlineStr">
        <is>
          <t>Goat Funded Trader</t>
        </is>
      </c>
      <c r="F413" s="19" t="inlineStr">
        <is>
          <t>#116 Instant-Direct 100k</t>
        </is>
      </c>
      <c r="G413" s="22" t="n">
        <v>100000</v>
      </c>
      <c r="H413" s="22" t="n">
        <v>0</v>
      </c>
      <c r="I413" s="22" t="n">
        <v>187.15</v>
      </c>
      <c r="J413" s="19" t="inlineStr">
        <is>
          <t>Financé dès l'achat – 1er payout le 18/02/2027</t>
        </is>
      </c>
    </row>
    <row r="414">
      <c r="A414" s="13" t="n">
        <v>413</v>
      </c>
      <c r="B414" s="14" t="n">
        <v>46408</v>
      </c>
      <c r="C414" s="15" t="n">
        <v>4</v>
      </c>
      <c r="D414" s="24" t="inlineStr">
        <is>
          <t>Financement</t>
        </is>
      </c>
      <c r="E414" s="13" t="inlineStr">
        <is>
          <t>Goat Funded Trader</t>
        </is>
      </c>
      <c r="F414" s="13" t="inlineStr">
        <is>
          <t>#117 Instant-Direct 100k</t>
        </is>
      </c>
      <c r="G414" s="17" t="n">
        <v>100000</v>
      </c>
      <c r="H414" s="17" t="n">
        <v>0</v>
      </c>
      <c r="I414" s="17" t="n">
        <v>187.15</v>
      </c>
      <c r="J414" s="13" t="inlineStr">
        <is>
          <t>Financé dès l'achat – 1er payout le 18/02/2027</t>
        </is>
      </c>
    </row>
    <row r="415">
      <c r="A415" s="19" t="n">
        <v>414</v>
      </c>
      <c r="B415" s="20" t="n">
        <v>46408</v>
      </c>
      <c r="C415" s="21" t="n">
        <v>4</v>
      </c>
      <c r="D415" s="24" t="inlineStr">
        <is>
          <t>Financement</t>
        </is>
      </c>
      <c r="E415" s="19" t="inlineStr">
        <is>
          <t>FundedVerse</t>
        </is>
      </c>
      <c r="F415" s="19" t="inlineStr">
        <is>
          <t>#118 Instant-Direct 50k</t>
        </is>
      </c>
      <c r="G415" s="22" t="n">
        <v>50000</v>
      </c>
      <c r="H415" s="22" t="n">
        <v>0</v>
      </c>
      <c r="I415" s="22" t="n">
        <v>187.15</v>
      </c>
      <c r="J415" s="19" t="inlineStr">
        <is>
          <t>Financé dès l'achat – 1er payout le 18/02/2027</t>
        </is>
      </c>
    </row>
    <row r="416">
      <c r="A416" s="13" t="n">
        <v>415</v>
      </c>
      <c r="B416" s="14" t="n">
        <v>46408</v>
      </c>
      <c r="C416" s="15" t="n">
        <v>4</v>
      </c>
      <c r="D416" s="24" t="inlineStr">
        <is>
          <t>Financement</t>
        </is>
      </c>
      <c r="E416" s="13" t="inlineStr">
        <is>
          <t>FundedVerse</t>
        </is>
      </c>
      <c r="F416" s="13" t="inlineStr">
        <is>
          <t>#119 Instant-Direct 50k</t>
        </is>
      </c>
      <c r="G416" s="17" t="n">
        <v>50000</v>
      </c>
      <c r="H416" s="17" t="n">
        <v>0</v>
      </c>
      <c r="I416" s="17" t="n">
        <v>187.15</v>
      </c>
      <c r="J416" s="13" t="inlineStr">
        <is>
          <t>Financé dès l'achat – 1er payout le 18/02/2027</t>
        </is>
      </c>
    </row>
    <row r="417">
      <c r="A417" s="19" t="n">
        <v>416</v>
      </c>
      <c r="B417" s="20" t="n">
        <v>46408</v>
      </c>
      <c r="C417" s="21" t="n">
        <v>4</v>
      </c>
      <c r="D417" s="24" t="inlineStr">
        <is>
          <t>Financement</t>
        </is>
      </c>
      <c r="E417" s="19" t="inlineStr">
        <is>
          <t>FundedVerse</t>
        </is>
      </c>
      <c r="F417" s="19" t="inlineStr">
        <is>
          <t>#120 Instant-Direct 50k</t>
        </is>
      </c>
      <c r="G417" s="22" t="n">
        <v>50000</v>
      </c>
      <c r="H417" s="22" t="n">
        <v>0</v>
      </c>
      <c r="I417" s="22" t="n">
        <v>187.15</v>
      </c>
      <c r="J417" s="19" t="inlineStr">
        <is>
          <t>Financé dès l'achat – 1er payout le 18/02/2027</t>
        </is>
      </c>
    </row>
    <row r="418">
      <c r="A418" s="13" t="n">
        <v>417</v>
      </c>
      <c r="B418" s="14" t="n">
        <v>46408</v>
      </c>
      <c r="C418" s="15" t="n">
        <v>4</v>
      </c>
      <c r="D418" s="24" t="inlineStr">
        <is>
          <t>Financement</t>
        </is>
      </c>
      <c r="E418" s="13" t="inlineStr">
        <is>
          <t>FundedVerse</t>
        </is>
      </c>
      <c r="F418" s="13" t="inlineStr">
        <is>
          <t>#121 Instant-Direct 50k</t>
        </is>
      </c>
      <c r="G418" s="17" t="n">
        <v>50000</v>
      </c>
      <c r="H418" s="17" t="n">
        <v>0</v>
      </c>
      <c r="I418" s="17" t="n">
        <v>187.15</v>
      </c>
      <c r="J418" s="13" t="inlineStr">
        <is>
          <t>Financé dès l'achat – 1er payout le 18/02/2027</t>
        </is>
      </c>
    </row>
    <row r="419">
      <c r="A419" s="19" t="n">
        <v>418</v>
      </c>
      <c r="B419" s="20" t="n">
        <v>46408</v>
      </c>
      <c r="C419" s="21" t="n">
        <v>4</v>
      </c>
      <c r="D419" s="24" t="inlineStr">
        <is>
          <t>Financement</t>
        </is>
      </c>
      <c r="E419" s="19" t="inlineStr">
        <is>
          <t>FundedVerse</t>
        </is>
      </c>
      <c r="F419" s="19" t="inlineStr">
        <is>
          <t>#122 Instant-Direct 50k</t>
        </is>
      </c>
      <c r="G419" s="22" t="n">
        <v>50000</v>
      </c>
      <c r="H419" s="22" t="n">
        <v>0</v>
      </c>
      <c r="I419" s="22" t="n">
        <v>187.15</v>
      </c>
      <c r="J419" s="19" t="inlineStr">
        <is>
          <t>Financé dès l'achat – 1er payout le 18/02/2027</t>
        </is>
      </c>
    </row>
    <row r="420">
      <c r="A420" s="13" t="n">
        <v>419</v>
      </c>
      <c r="B420" s="14" t="n">
        <v>46408</v>
      </c>
      <c r="C420" s="15" t="n">
        <v>4</v>
      </c>
      <c r="D420" s="24" t="inlineStr">
        <is>
          <t>Financement</t>
        </is>
      </c>
      <c r="E420" s="13" t="inlineStr">
        <is>
          <t>FundedVerse</t>
        </is>
      </c>
      <c r="F420" s="13" t="inlineStr">
        <is>
          <t>#123 Instant-Direct 50k</t>
        </is>
      </c>
      <c r="G420" s="17" t="n">
        <v>50000</v>
      </c>
      <c r="H420" s="17" t="n">
        <v>0</v>
      </c>
      <c r="I420" s="17" t="n">
        <v>187.15</v>
      </c>
      <c r="J420" s="13" t="inlineStr">
        <is>
          <t>Financé dès l'achat – 1er payout le 18/02/2027</t>
        </is>
      </c>
    </row>
    <row r="421">
      <c r="A421" s="19" t="n">
        <v>420</v>
      </c>
      <c r="B421" s="20" t="n">
        <v>46408</v>
      </c>
      <c r="C421" s="21" t="n">
        <v>4</v>
      </c>
      <c r="D421" s="24" t="inlineStr">
        <is>
          <t>Financement</t>
        </is>
      </c>
      <c r="E421" s="19" t="inlineStr">
        <is>
          <t>Lark Funding</t>
        </is>
      </c>
      <c r="F421" s="19" t="inlineStr">
        <is>
          <t>#124 Instant-Direct 100k</t>
        </is>
      </c>
      <c r="G421" s="22" t="n">
        <v>100000</v>
      </c>
      <c r="H421" s="22" t="n">
        <v>0</v>
      </c>
      <c r="I421" s="22" t="n">
        <v>187.15</v>
      </c>
      <c r="J421" s="19" t="inlineStr">
        <is>
          <t>Financé dès l'achat – 1er payout le 18/02/2027</t>
        </is>
      </c>
    </row>
    <row r="422">
      <c r="A422" s="13" t="n">
        <v>421</v>
      </c>
      <c r="B422" s="14" t="n">
        <v>46408</v>
      </c>
      <c r="C422" s="15" t="n">
        <v>4</v>
      </c>
      <c r="D422" s="24" t="inlineStr">
        <is>
          <t>Financement</t>
        </is>
      </c>
      <c r="E422" s="13" t="inlineStr">
        <is>
          <t>Lark Funding</t>
        </is>
      </c>
      <c r="F422" s="13" t="inlineStr">
        <is>
          <t>#125 Instant-Direct 100k</t>
        </is>
      </c>
      <c r="G422" s="17" t="n">
        <v>100000</v>
      </c>
      <c r="H422" s="17" t="n">
        <v>0</v>
      </c>
      <c r="I422" s="17" t="n">
        <v>187.15</v>
      </c>
      <c r="J422" s="13" t="inlineStr">
        <is>
          <t>Financé dès l'achat – 1er payout le 18/02/2027</t>
        </is>
      </c>
    </row>
    <row r="423">
      <c r="A423" s="19" t="n">
        <v>422</v>
      </c>
      <c r="B423" s="20" t="n">
        <v>46408</v>
      </c>
      <c r="C423" s="21" t="n">
        <v>4</v>
      </c>
      <c r="D423" s="24" t="inlineStr">
        <is>
          <t>Financement</t>
        </is>
      </c>
      <c r="E423" s="19" t="inlineStr">
        <is>
          <t>Lark Funding</t>
        </is>
      </c>
      <c r="F423" s="19" t="inlineStr">
        <is>
          <t>#126 Instant-Direct 100k</t>
        </is>
      </c>
      <c r="G423" s="22" t="n">
        <v>100000</v>
      </c>
      <c r="H423" s="22" t="n">
        <v>0</v>
      </c>
      <c r="I423" s="22" t="n">
        <v>187.15</v>
      </c>
      <c r="J423" s="19" t="inlineStr">
        <is>
          <t>Financé dès l'achat – 1er payout le 18/02/2027</t>
        </is>
      </c>
    </row>
    <row r="424">
      <c r="A424" s="13" t="n">
        <v>423</v>
      </c>
      <c r="B424" s="14" t="n">
        <v>46408</v>
      </c>
      <c r="C424" s="15" t="n">
        <v>4</v>
      </c>
      <c r="D424" s="24" t="inlineStr">
        <is>
          <t>Financement</t>
        </is>
      </c>
      <c r="E424" s="13" t="inlineStr">
        <is>
          <t>Mockapital</t>
        </is>
      </c>
      <c r="F424" s="13" t="inlineStr">
        <is>
          <t>#127 Instant-Direct 50k</t>
        </is>
      </c>
      <c r="G424" s="17" t="n">
        <v>50000</v>
      </c>
      <c r="H424" s="17" t="n">
        <v>0</v>
      </c>
      <c r="I424" s="17" t="n">
        <v>187.15</v>
      </c>
      <c r="J424" s="13" t="inlineStr">
        <is>
          <t>Financé dès l'achat – 1er payout le 18/02/2027</t>
        </is>
      </c>
    </row>
    <row r="425">
      <c r="A425" s="19" t="n">
        <v>424</v>
      </c>
      <c r="B425" s="20" t="n">
        <v>46408</v>
      </c>
      <c r="C425" s="21" t="n">
        <v>4</v>
      </c>
      <c r="D425" s="24" t="inlineStr">
        <is>
          <t>Financement</t>
        </is>
      </c>
      <c r="E425" s="19" t="inlineStr">
        <is>
          <t>Mockapital</t>
        </is>
      </c>
      <c r="F425" s="19" t="inlineStr">
        <is>
          <t>#128 Instant-Direct 50k</t>
        </is>
      </c>
      <c r="G425" s="22" t="n">
        <v>50000</v>
      </c>
      <c r="H425" s="22" t="n">
        <v>0</v>
      </c>
      <c r="I425" s="22" t="n">
        <v>187.15</v>
      </c>
      <c r="J425" s="19" t="inlineStr">
        <is>
          <t>Financé dès l'achat – 1er payout le 18/02/2027</t>
        </is>
      </c>
    </row>
    <row r="426">
      <c r="A426" s="13" t="n">
        <v>425</v>
      </c>
      <c r="B426" s="14" t="n">
        <v>46408</v>
      </c>
      <c r="C426" s="15" t="n">
        <v>4</v>
      </c>
      <c r="D426" s="24" t="inlineStr">
        <is>
          <t>Financement</t>
        </is>
      </c>
      <c r="E426" s="13" t="inlineStr">
        <is>
          <t>Mockapital</t>
        </is>
      </c>
      <c r="F426" s="13" t="inlineStr">
        <is>
          <t>#129 Instant-Direct 50k</t>
        </is>
      </c>
      <c r="G426" s="17" t="n">
        <v>50000</v>
      </c>
      <c r="H426" s="17" t="n">
        <v>0</v>
      </c>
      <c r="I426" s="17" t="n">
        <v>187.15</v>
      </c>
      <c r="J426" s="13" t="inlineStr">
        <is>
          <t>Financé dès l'achat – 1er payout le 18/02/2027</t>
        </is>
      </c>
    </row>
    <row r="427">
      <c r="A427" s="19" t="n">
        <v>426</v>
      </c>
      <c r="B427" s="20" t="n">
        <v>46408</v>
      </c>
      <c r="C427" s="21" t="n">
        <v>4</v>
      </c>
      <c r="D427" s="24" t="inlineStr">
        <is>
          <t>Financement</t>
        </is>
      </c>
      <c r="E427" s="19" t="inlineStr">
        <is>
          <t>Mockapital</t>
        </is>
      </c>
      <c r="F427" s="19" t="inlineStr">
        <is>
          <t>#130 Instant-Direct 50k</t>
        </is>
      </c>
      <c r="G427" s="22" t="n">
        <v>50000</v>
      </c>
      <c r="H427" s="22" t="n">
        <v>0</v>
      </c>
      <c r="I427" s="22" t="n">
        <v>187.15</v>
      </c>
      <c r="J427" s="19" t="inlineStr">
        <is>
          <t>Financé dès l'achat – 1er payout le 18/02/2027</t>
        </is>
      </c>
    </row>
    <row r="428">
      <c r="A428" s="13" t="n">
        <v>427</v>
      </c>
      <c r="B428" s="14" t="n">
        <v>46408</v>
      </c>
      <c r="C428" s="15" t="n">
        <v>4</v>
      </c>
      <c r="D428" s="24" t="inlineStr">
        <is>
          <t>Financement</t>
        </is>
      </c>
      <c r="E428" s="13" t="inlineStr">
        <is>
          <t>Mockapital</t>
        </is>
      </c>
      <c r="F428" s="13" t="inlineStr">
        <is>
          <t>#131 Instant-Direct 50k</t>
        </is>
      </c>
      <c r="G428" s="17" t="n">
        <v>50000</v>
      </c>
      <c r="H428" s="17" t="n">
        <v>0</v>
      </c>
      <c r="I428" s="17" t="n">
        <v>187.15</v>
      </c>
      <c r="J428" s="13" t="inlineStr">
        <is>
          <t>Financé dès l'achat – 1er payout le 18/02/2027</t>
        </is>
      </c>
    </row>
    <row r="429">
      <c r="A429" s="19" t="n">
        <v>428</v>
      </c>
      <c r="B429" s="20" t="n">
        <v>46408</v>
      </c>
      <c r="C429" s="21" t="n">
        <v>4</v>
      </c>
      <c r="D429" s="24" t="inlineStr">
        <is>
          <t>Financement</t>
        </is>
      </c>
      <c r="E429" s="19" t="inlineStr">
        <is>
          <t>Mockapital</t>
        </is>
      </c>
      <c r="F429" s="19" t="inlineStr">
        <is>
          <t>#132 Instant-Direct 50k</t>
        </is>
      </c>
      <c r="G429" s="22" t="n">
        <v>50000</v>
      </c>
      <c r="H429" s="22" t="n">
        <v>0</v>
      </c>
      <c r="I429" s="22" t="n">
        <v>187.15</v>
      </c>
      <c r="J429" s="19" t="inlineStr">
        <is>
          <t>Financé dès l'achat – 1er payout le 18/02/2027</t>
        </is>
      </c>
    </row>
    <row r="430">
      <c r="A430" s="13" t="n">
        <v>429</v>
      </c>
      <c r="B430" s="14" t="n">
        <v>46408</v>
      </c>
      <c r="C430" s="15" t="n">
        <v>4</v>
      </c>
      <c r="D430" s="24" t="inlineStr">
        <is>
          <t>Financement</t>
        </is>
      </c>
      <c r="E430" s="13" t="inlineStr">
        <is>
          <t>Myfundedcapital</t>
        </is>
      </c>
      <c r="F430" s="13" t="inlineStr">
        <is>
          <t>#133 Instant-Direct 80k</t>
        </is>
      </c>
      <c r="G430" s="17" t="n">
        <v>80000</v>
      </c>
      <c r="H430" s="17" t="n">
        <v>0</v>
      </c>
      <c r="I430" s="17" t="n">
        <v>187.15</v>
      </c>
      <c r="J430" s="13" t="inlineStr">
        <is>
          <t>Financé dès l'achat – 1er payout le 18/02/2027</t>
        </is>
      </c>
    </row>
    <row r="431">
      <c r="A431" s="19" t="n">
        <v>430</v>
      </c>
      <c r="B431" s="20" t="n">
        <v>46408</v>
      </c>
      <c r="C431" s="21" t="n">
        <v>4</v>
      </c>
      <c r="D431" s="24" t="inlineStr">
        <is>
          <t>Financement</t>
        </is>
      </c>
      <c r="E431" s="19" t="inlineStr">
        <is>
          <t>Myfundedcapital</t>
        </is>
      </c>
      <c r="F431" s="19" t="inlineStr">
        <is>
          <t>#134 Instant-Direct 80k</t>
        </is>
      </c>
      <c r="G431" s="22" t="n">
        <v>80000</v>
      </c>
      <c r="H431" s="22" t="n">
        <v>0</v>
      </c>
      <c r="I431" s="22" t="n">
        <v>187.15</v>
      </c>
      <c r="J431" s="19" t="inlineStr">
        <is>
          <t>Financé dès l'achat – 1er payout le 18/02/2027</t>
        </is>
      </c>
    </row>
    <row r="432">
      <c r="A432" s="13" t="n">
        <v>431</v>
      </c>
      <c r="B432" s="14" t="n">
        <v>46408</v>
      </c>
      <c r="C432" s="15" t="n">
        <v>4</v>
      </c>
      <c r="D432" s="24" t="inlineStr">
        <is>
          <t>Financement</t>
        </is>
      </c>
      <c r="E432" s="13" t="inlineStr">
        <is>
          <t>Myfundedcapital</t>
        </is>
      </c>
      <c r="F432" s="13" t="inlineStr">
        <is>
          <t>#135 Instant-Direct 80k</t>
        </is>
      </c>
      <c r="G432" s="17" t="n">
        <v>80000</v>
      </c>
      <c r="H432" s="17" t="n">
        <v>0</v>
      </c>
      <c r="I432" s="17" t="n">
        <v>187.15</v>
      </c>
      <c r="J432" s="13" t="inlineStr">
        <is>
          <t>Financé dès l'achat – 1er payout le 18/02/2027</t>
        </is>
      </c>
    </row>
    <row r="433">
      <c r="A433" s="19" t="n">
        <v>432</v>
      </c>
      <c r="B433" s="20" t="n">
        <v>46408</v>
      </c>
      <c r="C433" s="21" t="n">
        <v>4</v>
      </c>
      <c r="D433" s="24" t="inlineStr">
        <is>
          <t>Financement</t>
        </is>
      </c>
      <c r="E433" s="19" t="inlineStr">
        <is>
          <t>City Traders Imperium</t>
        </is>
      </c>
      <c r="F433" s="19" t="inlineStr">
        <is>
          <t>#136 Instant-Direct 80k</t>
        </is>
      </c>
      <c r="G433" s="22" t="n">
        <v>80000</v>
      </c>
      <c r="H433" s="22" t="n">
        <v>0</v>
      </c>
      <c r="I433" s="22" t="n">
        <v>187.15</v>
      </c>
      <c r="J433" s="19" t="inlineStr">
        <is>
          <t>Financé dès l'achat – 1er payout le 18/02/2027</t>
        </is>
      </c>
    </row>
    <row r="434">
      <c r="A434" s="13" t="n">
        <v>433</v>
      </c>
      <c r="B434" s="14" t="n">
        <v>46408</v>
      </c>
      <c r="C434" s="15" t="n">
        <v>4</v>
      </c>
      <c r="D434" s="24" t="inlineStr">
        <is>
          <t>Financement</t>
        </is>
      </c>
      <c r="E434" s="13" t="inlineStr">
        <is>
          <t>City Traders Imperium</t>
        </is>
      </c>
      <c r="F434" s="13" t="inlineStr">
        <is>
          <t>#137 Instant-Direct 80k</t>
        </is>
      </c>
      <c r="G434" s="17" t="n">
        <v>80000</v>
      </c>
      <c r="H434" s="17" t="n">
        <v>0</v>
      </c>
      <c r="I434" s="17" t="n">
        <v>187.15</v>
      </c>
      <c r="J434" s="13" t="inlineStr">
        <is>
          <t>Financé dès l'achat – 1er payout le 18/02/2027</t>
        </is>
      </c>
    </row>
    <row r="435">
      <c r="A435" s="19" t="n">
        <v>434</v>
      </c>
      <c r="B435" s="20" t="n">
        <v>46408</v>
      </c>
      <c r="C435" s="21" t="n">
        <v>4</v>
      </c>
      <c r="D435" s="24" t="inlineStr">
        <is>
          <t>Financement</t>
        </is>
      </c>
      <c r="E435" s="19" t="inlineStr">
        <is>
          <t>FTUK</t>
        </is>
      </c>
      <c r="F435" s="19" t="inlineStr">
        <is>
          <t>#138 Instant-Direct 100k</t>
        </is>
      </c>
      <c r="G435" s="22" t="n">
        <v>100000</v>
      </c>
      <c r="H435" s="22" t="n">
        <v>0</v>
      </c>
      <c r="I435" s="22" t="n">
        <v>187.15</v>
      </c>
      <c r="J435" s="19" t="inlineStr">
        <is>
          <t>Financé dès l'achat – 1er payout le 18/02/2027</t>
        </is>
      </c>
    </row>
    <row r="436">
      <c r="A436" s="13" t="n">
        <v>435</v>
      </c>
      <c r="B436" s="14" t="n">
        <v>46408</v>
      </c>
      <c r="C436" s="15" t="n">
        <v>4</v>
      </c>
      <c r="D436" s="24" t="inlineStr">
        <is>
          <t>Financement</t>
        </is>
      </c>
      <c r="E436" s="13" t="inlineStr">
        <is>
          <t>Funded Friday</t>
        </is>
      </c>
      <c r="F436" s="13" t="inlineStr">
        <is>
          <t>#139 Instant-Direct 200k</t>
        </is>
      </c>
      <c r="G436" s="17" t="n">
        <v>200000</v>
      </c>
      <c r="H436" s="17" t="n">
        <v>0</v>
      </c>
      <c r="I436" s="17" t="n">
        <v>187.15</v>
      </c>
      <c r="J436" s="13" t="inlineStr">
        <is>
          <t>Financé dès l'achat – 1er payout le 18/02/2027</t>
        </is>
      </c>
    </row>
    <row r="437">
      <c r="A437" s="19" t="n">
        <v>436</v>
      </c>
      <c r="B437" s="20" t="n">
        <v>46408</v>
      </c>
      <c r="C437" s="21" t="n">
        <v>4</v>
      </c>
      <c r="D437" s="24" t="inlineStr">
        <is>
          <t>Financement</t>
        </is>
      </c>
      <c r="E437" s="19" t="inlineStr">
        <is>
          <t>Funded Trading Plus</t>
        </is>
      </c>
      <c r="F437" s="19" t="inlineStr">
        <is>
          <t>#140 Instant-Direct 100k</t>
        </is>
      </c>
      <c r="G437" s="22" t="n">
        <v>100000</v>
      </c>
      <c r="H437" s="22" t="n">
        <v>0</v>
      </c>
      <c r="I437" s="22" t="n">
        <v>187.15</v>
      </c>
      <c r="J437" s="19" t="inlineStr">
        <is>
          <t>Financé dès l'achat – 1er payout le 18/02/2027</t>
        </is>
      </c>
    </row>
    <row r="438">
      <c r="A438" s="13" t="n">
        <v>437</v>
      </c>
      <c r="B438" s="14" t="n">
        <v>46408</v>
      </c>
      <c r="C438" s="15" t="n">
        <v>4</v>
      </c>
      <c r="D438" s="24" t="inlineStr">
        <is>
          <t>Financement</t>
        </is>
      </c>
      <c r="E438" s="13" t="inlineStr">
        <is>
          <t>Funding Dynasty</t>
        </is>
      </c>
      <c r="F438" s="13" t="inlineStr">
        <is>
          <t>#141 Instant-Direct 200k</t>
        </is>
      </c>
      <c r="G438" s="17" t="n">
        <v>200000</v>
      </c>
      <c r="H438" s="17" t="n">
        <v>0</v>
      </c>
      <c r="I438" s="17" t="n">
        <v>187.15</v>
      </c>
      <c r="J438" s="13" t="inlineStr">
        <is>
          <t>Financé dès l'achat – 1er payout le 18/02/2027</t>
        </is>
      </c>
    </row>
    <row r="439">
      <c r="A439" s="19" t="n">
        <v>438</v>
      </c>
      <c r="B439" s="20" t="n">
        <v>46408</v>
      </c>
      <c r="C439" s="21" t="n">
        <v>4</v>
      </c>
      <c r="D439" s="24" t="inlineStr">
        <is>
          <t>Financement</t>
        </is>
      </c>
      <c r="E439" s="19" t="inlineStr">
        <is>
          <t>Funding Frontier</t>
        </is>
      </c>
      <c r="F439" s="19" t="inlineStr">
        <is>
          <t>#142 Instant-Direct 50k</t>
        </is>
      </c>
      <c r="G439" s="22" t="n">
        <v>50000</v>
      </c>
      <c r="H439" s="22" t="n">
        <v>0</v>
      </c>
      <c r="I439" s="22" t="n">
        <v>187.15</v>
      </c>
      <c r="J439" s="19" t="inlineStr">
        <is>
          <t>Financé dès l'achat – 1er payout le 18/02/2027</t>
        </is>
      </c>
    </row>
    <row r="440">
      <c r="A440" s="13" t="n">
        <v>439</v>
      </c>
      <c r="B440" s="14" t="n">
        <v>46408</v>
      </c>
      <c r="C440" s="15" t="n">
        <v>4</v>
      </c>
      <c r="D440" s="24" t="inlineStr">
        <is>
          <t>Financement</t>
        </is>
      </c>
      <c r="E440" s="13" t="inlineStr">
        <is>
          <t>FundYourFX</t>
        </is>
      </c>
      <c r="F440" s="13" t="inlineStr">
        <is>
          <t>#143 Instant-Direct 200k</t>
        </is>
      </c>
      <c r="G440" s="17" t="n">
        <v>200000</v>
      </c>
      <c r="H440" s="17" t="n">
        <v>0</v>
      </c>
      <c r="I440" s="17" t="n">
        <v>187.15</v>
      </c>
      <c r="J440" s="13" t="inlineStr">
        <is>
          <t>Financé dès l'achat – 1er payout le 18/02/2027</t>
        </is>
      </c>
    </row>
    <row r="441">
      <c r="A441" s="19" t="n">
        <v>440</v>
      </c>
      <c r="B441" s="20" t="n">
        <v>46408</v>
      </c>
      <c r="C441" s="21" t="n">
        <v>4</v>
      </c>
      <c r="D441" s="24" t="inlineStr">
        <is>
          <t>Financement</t>
        </is>
      </c>
      <c r="E441" s="19" t="inlineStr">
        <is>
          <t>Hex Funded</t>
        </is>
      </c>
      <c r="F441" s="19" t="inlineStr">
        <is>
          <t>#144 Instant-Direct 100k</t>
        </is>
      </c>
      <c r="G441" s="22" t="n">
        <v>100000</v>
      </c>
      <c r="H441" s="22" t="n">
        <v>0</v>
      </c>
      <c r="I441" s="22" t="n">
        <v>187.15</v>
      </c>
      <c r="J441" s="19" t="inlineStr">
        <is>
          <t>Financé dès l'achat – 1er payout le 18/02/2027</t>
        </is>
      </c>
    </row>
    <row r="442">
      <c r="A442" s="13" t="n">
        <v>441</v>
      </c>
      <c r="B442" s="14" t="n">
        <v>46408</v>
      </c>
      <c r="C442" s="15" t="n">
        <v>4</v>
      </c>
      <c r="D442" s="24" t="inlineStr">
        <is>
          <t>Financement</t>
        </is>
      </c>
      <c r="E442" s="13" t="inlineStr">
        <is>
          <t>FundingRock</t>
        </is>
      </c>
      <c r="F442" s="13" t="inlineStr">
        <is>
          <t>#145 Instant-Direct 100k</t>
        </is>
      </c>
      <c r="G442" s="17" t="n">
        <v>100000</v>
      </c>
      <c r="H442" s="17" t="n">
        <v>0</v>
      </c>
      <c r="I442" s="17" t="n">
        <v>187.15</v>
      </c>
      <c r="J442" s="13" t="inlineStr">
        <is>
          <t>Financé dès l'achat – 1er payout le 18/02/2027</t>
        </is>
      </c>
    </row>
    <row r="443">
      <c r="A443" s="19" t="n">
        <v>442</v>
      </c>
      <c r="B443" s="20" t="n">
        <v>46408</v>
      </c>
      <c r="C443" s="21" t="n">
        <v>4</v>
      </c>
      <c r="D443" s="24" t="inlineStr">
        <is>
          <t>Financement</t>
        </is>
      </c>
      <c r="E443" s="19" t="inlineStr">
        <is>
          <t>LegionFunding</t>
        </is>
      </c>
      <c r="F443" s="19" t="inlineStr">
        <is>
          <t>#146 Instant-Direct 100k</t>
        </is>
      </c>
      <c r="G443" s="22" t="n">
        <v>100000</v>
      </c>
      <c r="H443" s="22" t="n">
        <v>0</v>
      </c>
      <c r="I443" s="22" t="n">
        <v>187.15</v>
      </c>
      <c r="J443" s="19" t="inlineStr">
        <is>
          <t>Financé dès l'achat – 1er payout le 18/02/2027</t>
        </is>
      </c>
    </row>
    <row r="444">
      <c r="A444" s="13" t="n">
        <v>443</v>
      </c>
      <c r="B444" s="14" t="n">
        <v>46408</v>
      </c>
      <c r="C444" s="15" t="n">
        <v>4</v>
      </c>
      <c r="D444" s="24" t="inlineStr">
        <is>
          <t>Financement</t>
        </is>
      </c>
      <c r="E444" s="13" t="inlineStr">
        <is>
          <t>MasterFunders</t>
        </is>
      </c>
      <c r="F444" s="13" t="inlineStr">
        <is>
          <t>#147 Instant-Direct 100k</t>
        </is>
      </c>
      <c r="G444" s="17" t="n">
        <v>100000</v>
      </c>
      <c r="H444" s="17" t="n">
        <v>0</v>
      </c>
      <c r="I444" s="17" t="n">
        <v>187.15</v>
      </c>
      <c r="J444" s="13" t="inlineStr">
        <is>
          <t>Financé dès l'achat – 1er payout le 18/02/2027</t>
        </is>
      </c>
    </row>
    <row r="445">
      <c r="A445" s="19" t="n">
        <v>444</v>
      </c>
      <c r="B445" s="20" t="n">
        <v>46408</v>
      </c>
      <c r="C445" s="21" t="n">
        <v>4</v>
      </c>
      <c r="D445" s="24" t="inlineStr">
        <is>
          <t>Financement</t>
        </is>
      </c>
      <c r="E445" s="19" t="inlineStr">
        <is>
          <t>BloomFunded</t>
        </is>
      </c>
      <c r="F445" s="19" t="inlineStr">
        <is>
          <t>#148 Instant-Direct 50k</t>
        </is>
      </c>
      <c r="G445" s="22" t="n">
        <v>50000</v>
      </c>
      <c r="H445" s="22" t="n">
        <v>0</v>
      </c>
      <c r="I445" s="22" t="n">
        <v>187.15</v>
      </c>
      <c r="J445" s="19" t="inlineStr">
        <is>
          <t>Financé dès l'achat – 1er payout le 18/02/2027</t>
        </is>
      </c>
    </row>
    <row r="446">
      <c r="A446" s="13" t="n">
        <v>445</v>
      </c>
      <c r="B446" s="14" t="n">
        <v>46436</v>
      </c>
      <c r="C446" s="15" t="n">
        <v>5</v>
      </c>
      <c r="D446" s="24" t="inlineStr">
        <is>
          <t>Financement</t>
        </is>
      </c>
      <c r="E446" s="13" t="inlineStr">
        <is>
          <t>Finotive Futures</t>
        </is>
      </c>
      <c r="F446" s="13" t="inlineStr">
        <is>
          <t>#153 1 Step 150k</t>
        </is>
      </c>
      <c r="G446" s="17" t="n">
        <v>150000</v>
      </c>
      <c r="H446" s="17" t="n">
        <v>0</v>
      </c>
      <c r="I446" s="17" t="n">
        <v>187.15</v>
      </c>
      <c r="J446" s="13" t="inlineStr">
        <is>
          <t>Évaluation réussie (objectif par défaut (non renseigné)) – 1er payout le 18/03/2027</t>
        </is>
      </c>
    </row>
    <row r="447">
      <c r="A447" s="19" t="n">
        <v>446</v>
      </c>
      <c r="B447" s="20" t="n">
        <v>46436</v>
      </c>
      <c r="C447" s="21" t="n">
        <v>5</v>
      </c>
      <c r="D447" s="24" t="inlineStr">
        <is>
          <t>Financement</t>
        </is>
      </c>
      <c r="E447" s="19" t="inlineStr">
        <is>
          <t>Finotive Futures</t>
        </is>
      </c>
      <c r="F447" s="19" t="inlineStr">
        <is>
          <t>#154 1 Step 150k</t>
        </is>
      </c>
      <c r="G447" s="22" t="n">
        <v>150000</v>
      </c>
      <c r="H447" s="22" t="n">
        <v>0</v>
      </c>
      <c r="I447" s="22" t="n">
        <v>187.15</v>
      </c>
      <c r="J447" s="19" t="inlineStr">
        <is>
          <t>Évaluation réussie (objectif par défaut (non renseigné)) – 1er payout le 18/03/2027</t>
        </is>
      </c>
    </row>
    <row r="448">
      <c r="A448" s="13" t="n">
        <v>447</v>
      </c>
      <c r="B448" s="14" t="n">
        <v>46436</v>
      </c>
      <c r="C448" s="15" t="n">
        <v>5</v>
      </c>
      <c r="D448" s="24" t="inlineStr">
        <is>
          <t>Financement</t>
        </is>
      </c>
      <c r="E448" s="13" t="inlineStr">
        <is>
          <t>Finotive Futures</t>
        </is>
      </c>
      <c r="F448" s="13" t="inlineStr">
        <is>
          <t>#155 1 Step 150k</t>
        </is>
      </c>
      <c r="G448" s="17" t="n">
        <v>150000</v>
      </c>
      <c r="H448" s="17" t="n">
        <v>0</v>
      </c>
      <c r="I448" s="17" t="n">
        <v>187.15</v>
      </c>
      <c r="J448" s="13" t="inlineStr">
        <is>
          <t>Évaluation réussie (objectif par défaut (non renseigné)) – 1er payout le 18/03/2027</t>
        </is>
      </c>
    </row>
    <row r="449">
      <c r="A449" s="19" t="n">
        <v>448</v>
      </c>
      <c r="B449" s="20" t="n">
        <v>46436</v>
      </c>
      <c r="C449" s="21" t="n">
        <v>5</v>
      </c>
      <c r="D449" s="24" t="inlineStr">
        <is>
          <t>Financement</t>
        </is>
      </c>
      <c r="E449" s="19" t="inlineStr">
        <is>
          <t>Finotive Futures</t>
        </is>
      </c>
      <c r="F449" s="19" t="inlineStr">
        <is>
          <t>#156 1 Step 150k</t>
        </is>
      </c>
      <c r="G449" s="22" t="n">
        <v>150000</v>
      </c>
      <c r="H449" s="22" t="n">
        <v>0</v>
      </c>
      <c r="I449" s="22" t="n">
        <v>187.15</v>
      </c>
      <c r="J449" s="19" t="inlineStr">
        <is>
          <t>Évaluation réussie (objectif par défaut (non renseigné)) – 1er payout le 18/03/2027</t>
        </is>
      </c>
    </row>
    <row r="450">
      <c r="A450" s="13" t="n">
        <v>449</v>
      </c>
      <c r="B450" s="14" t="n">
        <v>46436</v>
      </c>
      <c r="C450" s="15" t="n">
        <v>5</v>
      </c>
      <c r="D450" s="24" t="inlineStr">
        <is>
          <t>Financement</t>
        </is>
      </c>
      <c r="E450" s="13" t="inlineStr">
        <is>
          <t>Finotive Futures</t>
        </is>
      </c>
      <c r="F450" s="13" t="inlineStr">
        <is>
          <t>#157 1 Step 150k</t>
        </is>
      </c>
      <c r="G450" s="17" t="n">
        <v>150000</v>
      </c>
      <c r="H450" s="17" t="n">
        <v>0</v>
      </c>
      <c r="I450" s="17" t="n">
        <v>187.15</v>
      </c>
      <c r="J450" s="13" t="inlineStr">
        <is>
          <t>Évaluation réussie (objectif par défaut (non renseigné)) – 1er payout le 18/03/2027</t>
        </is>
      </c>
    </row>
    <row r="451">
      <c r="A451" s="19" t="n">
        <v>450</v>
      </c>
      <c r="B451" s="20" t="n">
        <v>46436</v>
      </c>
      <c r="C451" s="21" t="n">
        <v>5</v>
      </c>
      <c r="D451" s="24" t="inlineStr">
        <is>
          <t>Financement</t>
        </is>
      </c>
      <c r="E451" s="19" t="inlineStr">
        <is>
          <t>Finotive Futures</t>
        </is>
      </c>
      <c r="F451" s="19" t="inlineStr">
        <is>
          <t>#158 1 Step 150k</t>
        </is>
      </c>
      <c r="G451" s="22" t="n">
        <v>150000</v>
      </c>
      <c r="H451" s="22" t="n">
        <v>0</v>
      </c>
      <c r="I451" s="22" t="n">
        <v>187.15</v>
      </c>
      <c r="J451" s="19" t="inlineStr">
        <is>
          <t>Évaluation réussie (objectif par défaut (non renseigné)) – 1er payout le 18/03/2027</t>
        </is>
      </c>
    </row>
    <row r="452">
      <c r="A452" s="13" t="n">
        <v>451</v>
      </c>
      <c r="B452" s="14" t="n">
        <v>46436</v>
      </c>
      <c r="C452" s="15" t="n">
        <v>5</v>
      </c>
      <c r="D452" s="24" t="inlineStr">
        <is>
          <t>Financement</t>
        </is>
      </c>
      <c r="E452" s="13" t="inlineStr">
        <is>
          <t>Funded Trader Markets</t>
        </is>
      </c>
      <c r="F452" s="13" t="inlineStr">
        <is>
          <t>#159 1 Step 300k</t>
        </is>
      </c>
      <c r="G452" s="17" t="n">
        <v>300000</v>
      </c>
      <c r="H452" s="17" t="n">
        <v>0</v>
      </c>
      <c r="I452" s="17" t="n">
        <v>187.15</v>
      </c>
      <c r="J452" s="13" t="inlineStr">
        <is>
          <t>Évaluation réussie (6%) – 1er payout le 18/03/2027</t>
        </is>
      </c>
    </row>
    <row r="453">
      <c r="A453" s="19" t="n">
        <v>452</v>
      </c>
      <c r="B453" s="20" t="n">
        <v>46436</v>
      </c>
      <c r="C453" s="21" t="n">
        <v>5</v>
      </c>
      <c r="D453" s="24" t="inlineStr">
        <is>
          <t>Financement</t>
        </is>
      </c>
      <c r="E453" s="19" t="inlineStr">
        <is>
          <t>Funded Trader Markets</t>
        </is>
      </c>
      <c r="F453" s="19" t="inlineStr">
        <is>
          <t>#160 1 Step 300k</t>
        </is>
      </c>
      <c r="G453" s="22" t="n">
        <v>300000</v>
      </c>
      <c r="H453" s="22" t="n">
        <v>0</v>
      </c>
      <c r="I453" s="22" t="n">
        <v>187.15</v>
      </c>
      <c r="J453" s="19" t="inlineStr">
        <is>
          <t>Évaluation réussie (6%) – 1er payout le 18/03/2027</t>
        </is>
      </c>
    </row>
    <row r="454">
      <c r="A454" s="13" t="n">
        <v>453</v>
      </c>
      <c r="B454" s="14" t="n">
        <v>46436</v>
      </c>
      <c r="C454" s="15" t="n">
        <v>5</v>
      </c>
      <c r="D454" s="24" t="inlineStr">
        <is>
          <t>Financement</t>
        </is>
      </c>
      <c r="E454" s="13" t="inlineStr">
        <is>
          <t>Funded Trader Markets</t>
        </is>
      </c>
      <c r="F454" s="13" t="inlineStr">
        <is>
          <t>#161 1 Step 300k</t>
        </is>
      </c>
      <c r="G454" s="17" t="n">
        <v>300000</v>
      </c>
      <c r="H454" s="17" t="n">
        <v>0</v>
      </c>
      <c r="I454" s="17" t="n">
        <v>187.15</v>
      </c>
      <c r="J454" s="13" t="inlineStr">
        <is>
          <t>Évaluation réussie (6%) – 1er payout le 18/03/2027</t>
        </is>
      </c>
    </row>
    <row r="455">
      <c r="A455" s="19" t="n">
        <v>454</v>
      </c>
      <c r="B455" s="20" t="n">
        <v>46436</v>
      </c>
      <c r="C455" s="21" t="n">
        <v>5</v>
      </c>
      <c r="D455" s="24" t="inlineStr">
        <is>
          <t>Financement</t>
        </is>
      </c>
      <c r="E455" s="19" t="inlineStr">
        <is>
          <t>Kingdom Wealth Funding</t>
        </is>
      </c>
      <c r="F455" s="19" t="inlineStr">
        <is>
          <t>#164 1 Step 1000k</t>
        </is>
      </c>
      <c r="G455" s="22" t="n">
        <v>1000000</v>
      </c>
      <c r="H455" s="22" t="n">
        <v>0</v>
      </c>
      <c r="I455" s="22" t="n">
        <v>187.15</v>
      </c>
      <c r="J455" s="19" t="inlineStr">
        <is>
          <t>Évaluation réussie (10%) – 1er payout le 18/03/2027</t>
        </is>
      </c>
    </row>
    <row r="456">
      <c r="A456" s="13" t="n">
        <v>455</v>
      </c>
      <c r="B456" s="14" t="n">
        <v>46436</v>
      </c>
      <c r="C456" s="15" t="n">
        <v>5</v>
      </c>
      <c r="D456" s="24" t="inlineStr">
        <is>
          <t>Financement</t>
        </is>
      </c>
      <c r="E456" s="13" t="inlineStr">
        <is>
          <t>Ment Funding</t>
        </is>
      </c>
      <c r="F456" s="13" t="inlineStr">
        <is>
          <t>#165 1 Step 1000k</t>
        </is>
      </c>
      <c r="G456" s="17" t="n">
        <v>1000000</v>
      </c>
      <c r="H456" s="17" t="n">
        <v>0</v>
      </c>
      <c r="I456" s="17" t="n">
        <v>187.15</v>
      </c>
      <c r="J456" s="13" t="inlineStr">
        <is>
          <t>Évaluation réussie (10%) – 1er payout le 18/03/2027</t>
        </is>
      </c>
    </row>
    <row r="457">
      <c r="A457" s="19" t="n">
        <v>456</v>
      </c>
      <c r="B457" s="20" t="n">
        <v>46436</v>
      </c>
      <c r="C457" s="21" t="n">
        <v>5</v>
      </c>
      <c r="D457" s="24" t="inlineStr">
        <is>
          <t>Financement</t>
        </is>
      </c>
      <c r="E457" s="19" t="inlineStr">
        <is>
          <t>Ment Funding Futures</t>
        </is>
      </c>
      <c r="F457" s="19" t="inlineStr">
        <is>
          <t>#172 1 Step 400k</t>
        </is>
      </c>
      <c r="G457" s="22" t="n">
        <v>400000</v>
      </c>
      <c r="H457" s="22" t="n">
        <v>0</v>
      </c>
      <c r="I457" s="22" t="n">
        <v>187.15</v>
      </c>
      <c r="J457" s="19" t="inlineStr">
        <is>
          <t>Évaluation réussie (objectif par défaut (non renseigné)) – 1er payout le 18/03/2027</t>
        </is>
      </c>
    </row>
    <row r="458">
      <c r="A458" s="13" t="n">
        <v>457</v>
      </c>
      <c r="B458" s="14" t="n">
        <v>46436</v>
      </c>
      <c r="C458" s="15" t="n">
        <v>5</v>
      </c>
      <c r="D458" s="24" t="inlineStr">
        <is>
          <t>Financement</t>
        </is>
      </c>
      <c r="E458" s="13" t="inlineStr">
        <is>
          <t>10FOUR</t>
        </is>
      </c>
      <c r="F458" s="13" t="inlineStr">
        <is>
          <t>#173 1 Step 150k</t>
        </is>
      </c>
      <c r="G458" s="17" t="n">
        <v>150000</v>
      </c>
      <c r="H458" s="17" t="n">
        <v>0</v>
      </c>
      <c r="I458" s="17" t="n">
        <v>187.15</v>
      </c>
      <c r="J458" s="13" t="inlineStr">
        <is>
          <t>Évaluation réussie (objectif par défaut (non renseigné)) – 1er payout le 18/03/2027</t>
        </is>
      </c>
    </row>
    <row r="459">
      <c r="A459" s="19" t="n">
        <v>458</v>
      </c>
      <c r="B459" s="20" t="n">
        <v>46436</v>
      </c>
      <c r="C459" s="21" t="n">
        <v>5</v>
      </c>
      <c r="D459" s="24" t="inlineStr">
        <is>
          <t>Financement</t>
        </is>
      </c>
      <c r="E459" s="19" t="inlineStr">
        <is>
          <t>10FOUR</t>
        </is>
      </c>
      <c r="F459" s="19" t="inlineStr">
        <is>
          <t>#174 1 Step 150k</t>
        </is>
      </c>
      <c r="G459" s="22" t="n">
        <v>150000</v>
      </c>
      <c r="H459" s="22" t="n">
        <v>0</v>
      </c>
      <c r="I459" s="22" t="n">
        <v>187.15</v>
      </c>
      <c r="J459" s="19" t="inlineStr">
        <is>
          <t>Évaluation réussie (objectif par défaut (non renseigné)) – 1er payout le 18/03/2027</t>
        </is>
      </c>
    </row>
    <row r="460">
      <c r="A460" s="13" t="n">
        <v>459</v>
      </c>
      <c r="B460" s="14" t="n">
        <v>46436</v>
      </c>
      <c r="C460" s="15" t="n">
        <v>5</v>
      </c>
      <c r="D460" s="24" t="inlineStr">
        <is>
          <t>Financement</t>
        </is>
      </c>
      <c r="E460" s="13" t="inlineStr">
        <is>
          <t>10FOUR</t>
        </is>
      </c>
      <c r="F460" s="13" t="inlineStr">
        <is>
          <t>#175 1 Step 150k</t>
        </is>
      </c>
      <c r="G460" s="17" t="n">
        <v>150000</v>
      </c>
      <c r="H460" s="17" t="n">
        <v>0</v>
      </c>
      <c r="I460" s="17" t="n">
        <v>187.15</v>
      </c>
      <c r="J460" s="13" t="inlineStr">
        <is>
          <t>Évaluation réussie (objectif par défaut (non renseigné)) – 1er payout le 18/03/2027</t>
        </is>
      </c>
    </row>
    <row r="461">
      <c r="A461" s="19" t="n">
        <v>460</v>
      </c>
      <c r="B461" s="20" t="n">
        <v>46436</v>
      </c>
      <c r="C461" s="21" t="n">
        <v>5</v>
      </c>
      <c r="D461" s="24" t="inlineStr">
        <is>
          <t>Financement</t>
        </is>
      </c>
      <c r="E461" s="19" t="inlineStr">
        <is>
          <t>10FOUR</t>
        </is>
      </c>
      <c r="F461" s="19" t="inlineStr">
        <is>
          <t>#176 1 Step 150k</t>
        </is>
      </c>
      <c r="G461" s="22" t="n">
        <v>150000</v>
      </c>
      <c r="H461" s="22" t="n">
        <v>0</v>
      </c>
      <c r="I461" s="22" t="n">
        <v>187.15</v>
      </c>
      <c r="J461" s="19" t="inlineStr">
        <is>
          <t>Évaluation réussie (objectif par défaut (non renseigné)) – 1er payout le 18/03/2027</t>
        </is>
      </c>
    </row>
    <row r="462">
      <c r="A462" s="13" t="n">
        <v>461</v>
      </c>
      <c r="B462" s="14" t="n">
        <v>46436</v>
      </c>
      <c r="C462" s="15" t="n">
        <v>5</v>
      </c>
      <c r="D462" s="24" t="inlineStr">
        <is>
          <t>Financement</t>
        </is>
      </c>
      <c r="E462" s="13" t="inlineStr">
        <is>
          <t>10FOUR</t>
        </is>
      </c>
      <c r="F462" s="13" t="inlineStr">
        <is>
          <t>#177 1 Step 150k</t>
        </is>
      </c>
      <c r="G462" s="17" t="n">
        <v>150000</v>
      </c>
      <c r="H462" s="17" t="n">
        <v>0</v>
      </c>
      <c r="I462" s="17" t="n">
        <v>187.15</v>
      </c>
      <c r="J462" s="13" t="inlineStr">
        <is>
          <t>Évaluation réussie (objectif par défaut (non renseigné)) – 1er payout le 18/03/2027</t>
        </is>
      </c>
    </row>
    <row r="463">
      <c r="A463" s="19" t="n">
        <v>462</v>
      </c>
      <c r="B463" s="20" t="n">
        <v>46436</v>
      </c>
      <c r="C463" s="21" t="n">
        <v>5</v>
      </c>
      <c r="D463" s="24" t="inlineStr">
        <is>
          <t>Financement</t>
        </is>
      </c>
      <c r="E463" s="19" t="inlineStr">
        <is>
          <t>Blue Guardian Futures</t>
        </is>
      </c>
      <c r="F463" s="19" t="inlineStr">
        <is>
          <t>#178 1 Step 100k</t>
        </is>
      </c>
      <c r="G463" s="22" t="n">
        <v>100000</v>
      </c>
      <c r="H463" s="22" t="n">
        <v>0</v>
      </c>
      <c r="I463" s="22" t="n">
        <v>187.15</v>
      </c>
      <c r="J463" s="19" t="inlineStr">
        <is>
          <t>Évaluation réussie (objectif par défaut (non renseigné)) – 1er payout le 18/03/2027</t>
        </is>
      </c>
    </row>
    <row r="464">
      <c r="A464" s="13" t="n">
        <v>463</v>
      </c>
      <c r="B464" s="14" t="n">
        <v>46436</v>
      </c>
      <c r="C464" s="15" t="n">
        <v>5</v>
      </c>
      <c r="D464" s="24" t="inlineStr">
        <is>
          <t>Financement</t>
        </is>
      </c>
      <c r="E464" s="13" t="inlineStr">
        <is>
          <t>Blue Guardian Futures</t>
        </is>
      </c>
      <c r="F464" s="13" t="inlineStr">
        <is>
          <t>#179 1 Step 100k</t>
        </is>
      </c>
      <c r="G464" s="17" t="n">
        <v>100000</v>
      </c>
      <c r="H464" s="17" t="n">
        <v>0</v>
      </c>
      <c r="I464" s="17" t="n">
        <v>187.15</v>
      </c>
      <c r="J464" s="13" t="inlineStr">
        <is>
          <t>Évaluation réussie (objectif par défaut (non renseigné)) – 1er payout le 18/03/2027</t>
        </is>
      </c>
    </row>
    <row r="465">
      <c r="A465" s="19" t="n">
        <v>464</v>
      </c>
      <c r="B465" s="20" t="n">
        <v>46436</v>
      </c>
      <c r="C465" s="21" t="n">
        <v>5</v>
      </c>
      <c r="D465" s="24" t="inlineStr">
        <is>
          <t>Financement</t>
        </is>
      </c>
      <c r="E465" s="19" t="inlineStr">
        <is>
          <t>Blue Guardian Futures</t>
        </is>
      </c>
      <c r="F465" s="19" t="inlineStr">
        <is>
          <t>#180 1 Step 100k</t>
        </is>
      </c>
      <c r="G465" s="22" t="n">
        <v>100000</v>
      </c>
      <c r="H465" s="22" t="n">
        <v>0</v>
      </c>
      <c r="I465" s="22" t="n">
        <v>187.15</v>
      </c>
      <c r="J465" s="19" t="inlineStr">
        <is>
          <t>Évaluation réussie (objectif par défaut (non renseigné)) – 1er payout le 18/03/2027</t>
        </is>
      </c>
    </row>
    <row r="466">
      <c r="A466" s="13" t="n">
        <v>465</v>
      </c>
      <c r="B466" s="14" t="n">
        <v>46436</v>
      </c>
      <c r="C466" s="15" t="n">
        <v>5</v>
      </c>
      <c r="D466" s="24" t="inlineStr">
        <is>
          <t>Financement</t>
        </is>
      </c>
      <c r="E466" s="13" t="inlineStr">
        <is>
          <t>Blue Guardian Futures</t>
        </is>
      </c>
      <c r="F466" s="13" t="inlineStr">
        <is>
          <t>#181 1 Step 100k</t>
        </is>
      </c>
      <c r="G466" s="17" t="n">
        <v>100000</v>
      </c>
      <c r="H466" s="17" t="n">
        <v>0</v>
      </c>
      <c r="I466" s="17" t="n">
        <v>187.15</v>
      </c>
      <c r="J466" s="13" t="inlineStr">
        <is>
          <t>Évaluation réussie (objectif par défaut (non renseigné)) – 1er payout le 18/03/2027</t>
        </is>
      </c>
    </row>
    <row r="467">
      <c r="A467" s="19" t="n">
        <v>466</v>
      </c>
      <c r="B467" s="20" t="n">
        <v>46436</v>
      </c>
      <c r="C467" s="21" t="n">
        <v>5</v>
      </c>
      <c r="D467" s="24" t="inlineStr">
        <is>
          <t>Financement</t>
        </is>
      </c>
      <c r="E467" s="19" t="inlineStr">
        <is>
          <t>Blue Guardian Futures</t>
        </is>
      </c>
      <c r="F467" s="19" t="inlineStr">
        <is>
          <t>#182 1 Step 100k</t>
        </is>
      </c>
      <c r="G467" s="22" t="n">
        <v>100000</v>
      </c>
      <c r="H467" s="22" t="n">
        <v>0</v>
      </c>
      <c r="I467" s="22" t="n">
        <v>187.15</v>
      </c>
      <c r="J467" s="19" t="inlineStr">
        <is>
          <t>Évaluation réussie (objectif par défaut (non renseigné)) – 1er payout le 18/03/2027</t>
        </is>
      </c>
    </row>
    <row r="468">
      <c r="A468" s="13" t="n">
        <v>467</v>
      </c>
      <c r="B468" s="14" t="n">
        <v>46436</v>
      </c>
      <c r="C468" s="15" t="n">
        <v>5</v>
      </c>
      <c r="D468" s="24" t="inlineStr">
        <is>
          <t>Financement</t>
        </is>
      </c>
      <c r="E468" s="13" t="inlineStr">
        <is>
          <t>Blue Guardian Futures</t>
        </is>
      </c>
      <c r="F468" s="13" t="inlineStr">
        <is>
          <t>#183 1 Step 100k</t>
        </is>
      </c>
      <c r="G468" s="17" t="n">
        <v>100000</v>
      </c>
      <c r="H468" s="17" t="n">
        <v>0</v>
      </c>
      <c r="I468" s="17" t="n">
        <v>187.15</v>
      </c>
      <c r="J468" s="13" t="inlineStr">
        <is>
          <t>Évaluation réussie (objectif par défaut (non renseigné)) – 1er payout le 18/03/2027</t>
        </is>
      </c>
    </row>
    <row r="469">
      <c r="A469" s="19" t="n">
        <v>468</v>
      </c>
      <c r="B469" s="20" t="n">
        <v>46436</v>
      </c>
      <c r="C469" s="21" t="n">
        <v>5</v>
      </c>
      <c r="D469" s="24" t="inlineStr">
        <is>
          <t>Financement</t>
        </is>
      </c>
      <c r="E469" s="19" t="inlineStr">
        <is>
          <t>Blue Guardian Futures</t>
        </is>
      </c>
      <c r="F469" s="19" t="inlineStr">
        <is>
          <t>#184 1 Step 100k</t>
        </is>
      </c>
      <c r="G469" s="22" t="n">
        <v>100000</v>
      </c>
      <c r="H469" s="22" t="n">
        <v>0</v>
      </c>
      <c r="I469" s="22" t="n">
        <v>187.15</v>
      </c>
      <c r="J469" s="19" t="inlineStr">
        <is>
          <t>Évaluation réussie (objectif par défaut (non renseigné)) – 1er payout le 18/03/2027</t>
        </is>
      </c>
    </row>
    <row r="470">
      <c r="A470" s="13" t="n">
        <v>469</v>
      </c>
      <c r="B470" s="14" t="n">
        <v>46436</v>
      </c>
      <c r="C470" s="15" t="n">
        <v>5</v>
      </c>
      <c r="D470" s="24" t="inlineStr">
        <is>
          <t>Financement</t>
        </is>
      </c>
      <c r="E470" s="13" t="inlineStr">
        <is>
          <t>FunderPro Futures</t>
        </is>
      </c>
      <c r="F470" s="13" t="inlineStr">
        <is>
          <t>#185 1 Step 150k</t>
        </is>
      </c>
      <c r="G470" s="17" t="n">
        <v>150000</v>
      </c>
      <c r="H470" s="17" t="n">
        <v>0</v>
      </c>
      <c r="I470" s="17" t="n">
        <v>187.15</v>
      </c>
      <c r="J470" s="13" t="inlineStr">
        <is>
          <t>Évaluation réussie (objectif par défaut (non renseigné)) – 1er payout le 18/03/2027</t>
        </is>
      </c>
    </row>
    <row r="471">
      <c r="A471" s="19" t="n">
        <v>470</v>
      </c>
      <c r="B471" s="20" t="n">
        <v>46436</v>
      </c>
      <c r="C471" s="21" t="n">
        <v>5</v>
      </c>
      <c r="D471" s="24" t="inlineStr">
        <is>
          <t>Financement</t>
        </is>
      </c>
      <c r="E471" s="19" t="inlineStr">
        <is>
          <t>FunderPro Futures</t>
        </is>
      </c>
      <c r="F471" s="19" t="inlineStr">
        <is>
          <t>#186 1 Step 150k</t>
        </is>
      </c>
      <c r="G471" s="22" t="n">
        <v>150000</v>
      </c>
      <c r="H471" s="22" t="n">
        <v>0</v>
      </c>
      <c r="I471" s="22" t="n">
        <v>187.15</v>
      </c>
      <c r="J471" s="19" t="inlineStr">
        <is>
          <t>Évaluation réussie (objectif par défaut (non renseigné)) – 1er payout le 18/03/2027</t>
        </is>
      </c>
    </row>
    <row r="472">
      <c r="A472" s="13" t="n">
        <v>471</v>
      </c>
      <c r="B472" s="14" t="n">
        <v>46436</v>
      </c>
      <c r="C472" s="15" t="n">
        <v>5</v>
      </c>
      <c r="D472" s="24" t="inlineStr">
        <is>
          <t>Financement</t>
        </is>
      </c>
      <c r="E472" s="13" t="inlineStr">
        <is>
          <t>FunderPro Futures</t>
        </is>
      </c>
      <c r="F472" s="13" t="inlineStr">
        <is>
          <t>#187 1 Step 150k</t>
        </is>
      </c>
      <c r="G472" s="17" t="n">
        <v>150000</v>
      </c>
      <c r="H472" s="17" t="n">
        <v>0</v>
      </c>
      <c r="I472" s="17" t="n">
        <v>187.15</v>
      </c>
      <c r="J472" s="13" t="inlineStr">
        <is>
          <t>Évaluation réussie (objectif par défaut (non renseigné)) – 1er payout le 18/03/2027</t>
        </is>
      </c>
    </row>
    <row r="473">
      <c r="A473" s="19" t="n">
        <v>472</v>
      </c>
      <c r="B473" s="20" t="n">
        <v>46436</v>
      </c>
      <c r="C473" s="21" t="n">
        <v>5</v>
      </c>
      <c r="D473" s="24" t="inlineStr">
        <is>
          <t>Financement</t>
        </is>
      </c>
      <c r="E473" s="19" t="inlineStr">
        <is>
          <t>FunderPro Futures</t>
        </is>
      </c>
      <c r="F473" s="19" t="inlineStr">
        <is>
          <t>#188 1 Step 150k</t>
        </is>
      </c>
      <c r="G473" s="22" t="n">
        <v>150000</v>
      </c>
      <c r="H473" s="22" t="n">
        <v>0</v>
      </c>
      <c r="I473" s="22" t="n">
        <v>187.15</v>
      </c>
      <c r="J473" s="19" t="inlineStr">
        <is>
          <t>Évaluation réussie (objectif par défaut (non renseigné)) – 1er payout le 18/03/2027</t>
        </is>
      </c>
    </row>
    <row r="474">
      <c r="A474" s="13" t="n">
        <v>473</v>
      </c>
      <c r="B474" s="14" t="n">
        <v>46436</v>
      </c>
      <c r="C474" s="15" t="n">
        <v>5</v>
      </c>
      <c r="D474" s="24" t="inlineStr">
        <is>
          <t>Financement</t>
        </is>
      </c>
      <c r="E474" s="13" t="inlineStr">
        <is>
          <t>Capitalize</t>
        </is>
      </c>
      <c r="F474" s="13" t="inlineStr">
        <is>
          <t>#202 1 Step 500k</t>
        </is>
      </c>
      <c r="G474" s="17" t="n">
        <v>500000</v>
      </c>
      <c r="H474" s="17" t="n">
        <v>0</v>
      </c>
      <c r="I474" s="17" t="n">
        <v>187.15</v>
      </c>
      <c r="J474" s="13" t="inlineStr">
        <is>
          <t>Évaluation réussie (10%) – 1er payout le 18/03/2027</t>
        </is>
      </c>
    </row>
    <row r="475">
      <c r="A475" s="19" t="n">
        <v>474</v>
      </c>
      <c r="B475" s="20" t="n">
        <v>46436</v>
      </c>
      <c r="C475" s="21" t="n">
        <v>5</v>
      </c>
      <c r="D475" s="24" t="inlineStr">
        <is>
          <t>Financement</t>
        </is>
      </c>
      <c r="E475" s="19" t="inlineStr">
        <is>
          <t>Hola Prime</t>
        </is>
      </c>
      <c r="F475" s="19" t="inlineStr">
        <is>
          <t>#206 1 Step 150k</t>
        </is>
      </c>
      <c r="G475" s="22" t="n">
        <v>150000</v>
      </c>
      <c r="H475" s="22" t="n">
        <v>0</v>
      </c>
      <c r="I475" s="22" t="n">
        <v>187.15</v>
      </c>
      <c r="J475" s="19" t="inlineStr">
        <is>
          <t>Évaluation réussie (6%) – 1er payout le 18/03/2027</t>
        </is>
      </c>
    </row>
    <row r="476">
      <c r="A476" s="13" t="n">
        <v>475</v>
      </c>
      <c r="B476" s="14" t="n">
        <v>46436</v>
      </c>
      <c r="C476" s="15" t="n">
        <v>5</v>
      </c>
      <c r="D476" s="24" t="inlineStr">
        <is>
          <t>Financement</t>
        </is>
      </c>
      <c r="E476" s="13" t="inlineStr">
        <is>
          <t>Hola Prime</t>
        </is>
      </c>
      <c r="F476" s="13" t="inlineStr">
        <is>
          <t>#207 1 Step 150k</t>
        </is>
      </c>
      <c r="G476" s="17" t="n">
        <v>150000</v>
      </c>
      <c r="H476" s="17" t="n">
        <v>0</v>
      </c>
      <c r="I476" s="17" t="n">
        <v>187.15</v>
      </c>
      <c r="J476" s="13" t="inlineStr">
        <is>
          <t>Évaluation réussie (6%) – 1er payout le 18/03/2027</t>
        </is>
      </c>
    </row>
    <row r="477">
      <c r="A477" s="19" t="n">
        <v>476</v>
      </c>
      <c r="B477" s="20" t="n">
        <v>46436</v>
      </c>
      <c r="C477" s="21" t="n">
        <v>5</v>
      </c>
      <c r="D477" s="24" t="inlineStr">
        <is>
          <t>Financement</t>
        </is>
      </c>
      <c r="E477" s="19" t="inlineStr">
        <is>
          <t>Hola Prime</t>
        </is>
      </c>
      <c r="F477" s="19" t="inlineStr">
        <is>
          <t>#208 1 Step 150k</t>
        </is>
      </c>
      <c r="G477" s="22" t="n">
        <v>150000</v>
      </c>
      <c r="H477" s="22" t="n">
        <v>0</v>
      </c>
      <c r="I477" s="22" t="n">
        <v>187.15</v>
      </c>
      <c r="J477" s="19" t="inlineStr">
        <is>
          <t>Évaluation réussie (6%) – 1er payout le 18/03/2027</t>
        </is>
      </c>
    </row>
    <row r="478">
      <c r="A478" s="13" t="n">
        <v>477</v>
      </c>
      <c r="B478" s="14" t="n">
        <v>46436</v>
      </c>
      <c r="C478" s="15" t="n">
        <v>5</v>
      </c>
      <c r="D478" s="24" t="inlineStr">
        <is>
          <t>Financement</t>
        </is>
      </c>
      <c r="E478" s="13" t="inlineStr">
        <is>
          <t>FTMO Futures</t>
        </is>
      </c>
      <c r="F478" s="13" t="inlineStr">
        <is>
          <t>#213 1 Step 150k</t>
        </is>
      </c>
      <c r="G478" s="17" t="n">
        <v>150000</v>
      </c>
      <c r="H478" s="17" t="n">
        <v>0</v>
      </c>
      <c r="I478" s="17" t="n">
        <v>187.15</v>
      </c>
      <c r="J478" s="13" t="inlineStr">
        <is>
          <t>Évaluation réussie (6%) – 1er payout le 18/03/2027</t>
        </is>
      </c>
    </row>
    <row r="479">
      <c r="A479" s="19" t="n">
        <v>478</v>
      </c>
      <c r="B479" s="20" t="n">
        <v>46436</v>
      </c>
      <c r="C479" s="21" t="n">
        <v>5</v>
      </c>
      <c r="D479" s="24" t="inlineStr">
        <is>
          <t>Financement</t>
        </is>
      </c>
      <c r="E479" s="19" t="inlineStr">
        <is>
          <t>FTMO Futures</t>
        </is>
      </c>
      <c r="F479" s="19" t="inlineStr">
        <is>
          <t>#214 1 Step 150k</t>
        </is>
      </c>
      <c r="G479" s="22" t="n">
        <v>150000</v>
      </c>
      <c r="H479" s="22" t="n">
        <v>0</v>
      </c>
      <c r="I479" s="22" t="n">
        <v>187.15</v>
      </c>
      <c r="J479" s="19" t="inlineStr">
        <is>
          <t>Évaluation réussie (6%) – 1er payout le 18/03/2027</t>
        </is>
      </c>
    </row>
    <row r="480">
      <c r="A480" s="13" t="n">
        <v>479</v>
      </c>
      <c r="B480" s="14" t="n">
        <v>46436</v>
      </c>
      <c r="C480" s="15" t="n">
        <v>5</v>
      </c>
      <c r="D480" s="24" t="inlineStr">
        <is>
          <t>Financement</t>
        </is>
      </c>
      <c r="E480" s="13" t="inlineStr">
        <is>
          <t>FTMO Futures</t>
        </is>
      </c>
      <c r="F480" s="13" t="inlineStr">
        <is>
          <t>#215 1 Step 150k</t>
        </is>
      </c>
      <c r="G480" s="17" t="n">
        <v>150000</v>
      </c>
      <c r="H480" s="17" t="n">
        <v>0</v>
      </c>
      <c r="I480" s="17" t="n">
        <v>187.15</v>
      </c>
      <c r="J480" s="13" t="inlineStr">
        <is>
          <t>Évaluation réussie (6%) – 1er payout le 18/03/2027</t>
        </is>
      </c>
    </row>
    <row r="481">
      <c r="A481" s="19" t="n">
        <v>480</v>
      </c>
      <c r="B481" s="20" t="n">
        <v>46436</v>
      </c>
      <c r="C481" s="21" t="n">
        <v>5</v>
      </c>
      <c r="D481" s="24" t="inlineStr">
        <is>
          <t>Financement</t>
        </is>
      </c>
      <c r="E481" s="19" t="inlineStr">
        <is>
          <t>Halcyon Trader Funding</t>
        </is>
      </c>
      <c r="F481" s="19" t="inlineStr">
        <is>
          <t>#216 1 Step 150k</t>
        </is>
      </c>
      <c r="G481" s="22" t="n">
        <v>150000</v>
      </c>
      <c r="H481" s="22" t="n">
        <v>0</v>
      </c>
      <c r="I481" s="22" t="n">
        <v>187.15</v>
      </c>
      <c r="J481" s="19" t="inlineStr">
        <is>
          <t>Évaluation réussie (6%) – 1er payout le 18/03/2027</t>
        </is>
      </c>
    </row>
    <row r="482">
      <c r="A482" s="13" t="n">
        <v>481</v>
      </c>
      <c r="B482" s="14" t="n">
        <v>46436</v>
      </c>
      <c r="C482" s="15" t="n">
        <v>5</v>
      </c>
      <c r="D482" s="24" t="inlineStr">
        <is>
          <t>Financement</t>
        </is>
      </c>
      <c r="E482" s="13" t="inlineStr">
        <is>
          <t>Halcyon Trader Funding</t>
        </is>
      </c>
      <c r="F482" s="13" t="inlineStr">
        <is>
          <t>#217 1 Step 150k</t>
        </is>
      </c>
      <c r="G482" s="17" t="n">
        <v>150000</v>
      </c>
      <c r="H482" s="17" t="n">
        <v>0</v>
      </c>
      <c r="I482" s="17" t="n">
        <v>187.15</v>
      </c>
      <c r="J482" s="13" t="inlineStr">
        <is>
          <t>Évaluation réussie (6%) – 1er payout le 18/03/2027</t>
        </is>
      </c>
    </row>
    <row r="483">
      <c r="A483" s="19" t="n">
        <v>482</v>
      </c>
      <c r="B483" s="20" t="n">
        <v>46436</v>
      </c>
      <c r="C483" s="21" t="n">
        <v>5</v>
      </c>
      <c r="D483" s="24" t="inlineStr">
        <is>
          <t>Financement</t>
        </is>
      </c>
      <c r="E483" s="19" t="inlineStr">
        <is>
          <t>Halcyon Trader Funding</t>
        </is>
      </c>
      <c r="F483" s="19" t="inlineStr">
        <is>
          <t>#218 1 Step 150k</t>
        </is>
      </c>
      <c r="G483" s="22" t="n">
        <v>150000</v>
      </c>
      <c r="H483" s="22" t="n">
        <v>0</v>
      </c>
      <c r="I483" s="22" t="n">
        <v>187.15</v>
      </c>
      <c r="J483" s="19" t="inlineStr">
        <is>
          <t>Évaluation réussie (6%) – 1er payout le 18/03/2027</t>
        </is>
      </c>
    </row>
    <row r="484">
      <c r="A484" s="13" t="n">
        <v>483</v>
      </c>
      <c r="B484" s="14" t="n">
        <v>46436</v>
      </c>
      <c r="C484" s="15" t="n">
        <v>5</v>
      </c>
      <c r="D484" s="24" t="inlineStr">
        <is>
          <t>Financement</t>
        </is>
      </c>
      <c r="E484" s="13" t="inlineStr">
        <is>
          <t>Astrofund</t>
        </is>
      </c>
      <c r="F484" s="13" t="inlineStr">
        <is>
          <t>#219 1 Step 100k</t>
        </is>
      </c>
      <c r="G484" s="17" t="n">
        <v>100000</v>
      </c>
      <c r="H484" s="17" t="n">
        <v>0</v>
      </c>
      <c r="I484" s="17" t="n">
        <v>187.15</v>
      </c>
      <c r="J484" s="13" t="inlineStr">
        <is>
          <t>Évaluation réussie (objectif par défaut (non renseigné)) – 1er payout le 18/03/2027</t>
        </is>
      </c>
    </row>
    <row r="485">
      <c r="A485" s="19" t="n">
        <v>484</v>
      </c>
      <c r="B485" s="20" t="n">
        <v>46436</v>
      </c>
      <c r="C485" s="21" t="n">
        <v>5</v>
      </c>
      <c r="D485" s="24" t="inlineStr">
        <is>
          <t>Financement</t>
        </is>
      </c>
      <c r="E485" s="19" t="inlineStr">
        <is>
          <t>Astrofund</t>
        </is>
      </c>
      <c r="F485" s="19" t="inlineStr">
        <is>
          <t>#220 1 Step 100k</t>
        </is>
      </c>
      <c r="G485" s="22" t="n">
        <v>100000</v>
      </c>
      <c r="H485" s="22" t="n">
        <v>0</v>
      </c>
      <c r="I485" s="22" t="n">
        <v>187.15</v>
      </c>
      <c r="J485" s="19" t="inlineStr">
        <is>
          <t>Évaluation réussie (objectif par défaut (non renseigné)) – 1er payout le 18/03/2027</t>
        </is>
      </c>
    </row>
    <row r="486">
      <c r="A486" s="13" t="n">
        <v>485</v>
      </c>
      <c r="B486" s="14" t="n">
        <v>46436</v>
      </c>
      <c r="C486" s="15" t="n">
        <v>5</v>
      </c>
      <c r="D486" s="24" t="inlineStr">
        <is>
          <t>Financement</t>
        </is>
      </c>
      <c r="E486" s="13" t="inlineStr">
        <is>
          <t>Astrofund</t>
        </is>
      </c>
      <c r="F486" s="13" t="inlineStr">
        <is>
          <t>#221 1 Step 100k</t>
        </is>
      </c>
      <c r="G486" s="17" t="n">
        <v>100000</v>
      </c>
      <c r="H486" s="17" t="n">
        <v>0</v>
      </c>
      <c r="I486" s="17" t="n">
        <v>187.15</v>
      </c>
      <c r="J486" s="13" t="inlineStr">
        <is>
          <t>Évaluation réussie (objectif par défaut (non renseigné)) – 1er payout le 18/03/2027</t>
        </is>
      </c>
    </row>
    <row r="487">
      <c r="A487" s="19" t="n">
        <v>486</v>
      </c>
      <c r="B487" s="20" t="n">
        <v>46436</v>
      </c>
      <c r="C487" s="21" t="n">
        <v>5</v>
      </c>
      <c r="D487" s="24" t="inlineStr">
        <is>
          <t>Financement</t>
        </is>
      </c>
      <c r="E487" s="19" t="inlineStr">
        <is>
          <t>Astrofund</t>
        </is>
      </c>
      <c r="F487" s="19" t="inlineStr">
        <is>
          <t>#222 1 Step 100k</t>
        </is>
      </c>
      <c r="G487" s="22" t="n">
        <v>100000</v>
      </c>
      <c r="H487" s="22" t="n">
        <v>0</v>
      </c>
      <c r="I487" s="22" t="n">
        <v>187.15</v>
      </c>
      <c r="J487" s="19" t="inlineStr">
        <is>
          <t>Évaluation réussie (objectif par défaut (non renseigné)) – 1er payout le 18/03/2027</t>
        </is>
      </c>
    </row>
    <row r="488">
      <c r="A488" s="13" t="n">
        <v>487</v>
      </c>
      <c r="B488" s="14" t="n">
        <v>46436</v>
      </c>
      <c r="C488" s="15" t="n">
        <v>5</v>
      </c>
      <c r="D488" s="24" t="inlineStr">
        <is>
          <t>Financement</t>
        </is>
      </c>
      <c r="E488" s="13" t="inlineStr">
        <is>
          <t>BrightFunded</t>
        </is>
      </c>
      <c r="F488" s="13" t="inlineStr">
        <is>
          <t>#223 1 Step 200k</t>
        </is>
      </c>
      <c r="G488" s="17" t="n">
        <v>200000</v>
      </c>
      <c r="H488" s="17" t="n">
        <v>0</v>
      </c>
      <c r="I488" s="17" t="n">
        <v>187.15</v>
      </c>
      <c r="J488" s="13" t="inlineStr">
        <is>
          <t>Évaluation réussie (10%) – 1er payout le 18/03/2027</t>
        </is>
      </c>
    </row>
    <row r="489">
      <c r="A489" s="19" t="n">
        <v>488</v>
      </c>
      <c r="B489" s="20" t="n">
        <v>46436</v>
      </c>
      <c r="C489" s="21" t="n">
        <v>5</v>
      </c>
      <c r="D489" s="24" t="inlineStr">
        <is>
          <t>Financement</t>
        </is>
      </c>
      <c r="E489" s="19" t="inlineStr">
        <is>
          <t>BrightFunded</t>
        </is>
      </c>
      <c r="F489" s="19" t="inlineStr">
        <is>
          <t>#224 1 Step 200k</t>
        </is>
      </c>
      <c r="G489" s="22" t="n">
        <v>200000</v>
      </c>
      <c r="H489" s="22" t="n">
        <v>0</v>
      </c>
      <c r="I489" s="22" t="n">
        <v>187.15</v>
      </c>
      <c r="J489" s="19" t="inlineStr">
        <is>
          <t>Évaluation réussie (10%) – 1er payout le 18/03/2027</t>
        </is>
      </c>
    </row>
    <row r="490">
      <c r="A490" s="13" t="n">
        <v>489</v>
      </c>
      <c r="B490" s="14" t="n">
        <v>46436</v>
      </c>
      <c r="C490" s="15" t="n">
        <v>5</v>
      </c>
      <c r="D490" s="24" t="inlineStr">
        <is>
          <t>Financement</t>
        </is>
      </c>
      <c r="E490" s="13" t="inlineStr">
        <is>
          <t>FTMO</t>
        </is>
      </c>
      <c r="F490" s="13" t="inlineStr">
        <is>
          <t>#227 1 Step 200k</t>
        </is>
      </c>
      <c r="G490" s="17" t="n">
        <v>200000</v>
      </c>
      <c r="H490" s="17" t="n">
        <v>0</v>
      </c>
      <c r="I490" s="17" t="n">
        <v>187.15</v>
      </c>
      <c r="J490" s="13" t="inlineStr">
        <is>
          <t>Évaluation réussie (10%) – 1er payout le 18/03/2027</t>
        </is>
      </c>
    </row>
    <row r="491">
      <c r="A491" s="19" t="n">
        <v>490</v>
      </c>
      <c r="B491" s="20" t="n">
        <v>46436</v>
      </c>
      <c r="C491" s="21" t="n">
        <v>5</v>
      </c>
      <c r="D491" s="24" t="inlineStr">
        <is>
          <t>Financement</t>
        </is>
      </c>
      <c r="E491" s="19" t="inlineStr">
        <is>
          <t>FTMO</t>
        </is>
      </c>
      <c r="F491" s="19" t="inlineStr">
        <is>
          <t>#228 1 Step 200k</t>
        </is>
      </c>
      <c r="G491" s="22" t="n">
        <v>200000</v>
      </c>
      <c r="H491" s="22" t="n">
        <v>0</v>
      </c>
      <c r="I491" s="22" t="n">
        <v>187.15</v>
      </c>
      <c r="J491" s="19" t="inlineStr">
        <is>
          <t>Évaluation réussie (10%) – 1er payout le 18/03/2027</t>
        </is>
      </c>
    </row>
    <row r="492">
      <c r="A492" s="13" t="n">
        <v>491</v>
      </c>
      <c r="B492" s="14" t="n">
        <v>46436</v>
      </c>
      <c r="C492" s="15" t="n">
        <v>5</v>
      </c>
      <c r="D492" s="24" t="inlineStr">
        <is>
          <t>Financement</t>
        </is>
      </c>
      <c r="E492" s="13" t="inlineStr">
        <is>
          <t>Funded X</t>
        </is>
      </c>
      <c r="F492" s="13" t="inlineStr">
        <is>
          <t>#229 1 Step 200k</t>
        </is>
      </c>
      <c r="G492" s="17" t="n">
        <v>200000</v>
      </c>
      <c r="H492" s="17" t="n">
        <v>0</v>
      </c>
      <c r="I492" s="17" t="n">
        <v>187.15</v>
      </c>
      <c r="J492" s="13" t="inlineStr">
        <is>
          <t>Évaluation réussie (10%) – 1er payout le 18/03/2027</t>
        </is>
      </c>
    </row>
    <row r="493">
      <c r="A493" s="19" t="n">
        <v>492</v>
      </c>
      <c r="B493" s="20" t="n">
        <v>46436</v>
      </c>
      <c r="C493" s="21" t="n">
        <v>5</v>
      </c>
      <c r="D493" s="24" t="inlineStr">
        <is>
          <t>Financement</t>
        </is>
      </c>
      <c r="E493" s="19" t="inlineStr">
        <is>
          <t>Funded X</t>
        </is>
      </c>
      <c r="F493" s="19" t="inlineStr">
        <is>
          <t>#230 1 Step 200k</t>
        </is>
      </c>
      <c r="G493" s="22" t="n">
        <v>200000</v>
      </c>
      <c r="H493" s="22" t="n">
        <v>0</v>
      </c>
      <c r="I493" s="22" t="n">
        <v>187.15</v>
      </c>
      <c r="J493" s="19" t="inlineStr">
        <is>
          <t>Évaluation réussie (10%) – 1er payout le 18/03/2027</t>
        </is>
      </c>
    </row>
    <row r="494">
      <c r="A494" s="13" t="n">
        <v>493</v>
      </c>
      <c r="B494" s="14" t="n">
        <v>46436</v>
      </c>
      <c r="C494" s="15" t="n">
        <v>5</v>
      </c>
      <c r="D494" s="25" t="inlineStr">
        <is>
          <t>Payout</t>
        </is>
      </c>
      <c r="E494" s="13" t="inlineStr">
        <is>
          <t>FundedNext</t>
        </is>
      </c>
      <c r="F494" s="13" t="inlineStr">
        <is>
          <t>#1 Départ 10k</t>
        </is>
      </c>
      <c r="G494" s="17" t="n">
        <v>10000</v>
      </c>
      <c r="H494" s="17" t="n">
        <v>800</v>
      </c>
      <c r="I494" s="17" t="n">
        <v>987.15</v>
      </c>
      <c r="J494" s="13" t="inlineStr">
        <is>
          <t>10 % × 10,000 × split 80%</t>
        </is>
      </c>
    </row>
    <row r="495">
      <c r="A495" s="19" t="n">
        <v>494</v>
      </c>
      <c r="B495" s="20" t="n">
        <v>46436</v>
      </c>
      <c r="C495" s="21" t="n">
        <v>5</v>
      </c>
      <c r="D495" s="25" t="inlineStr">
        <is>
          <t>Payout</t>
        </is>
      </c>
      <c r="E495" s="19" t="inlineStr">
        <is>
          <t>Moneta Funded</t>
        </is>
      </c>
      <c r="F495" s="19" t="inlineStr">
        <is>
          <t>#2 Instant-Direct 100k</t>
        </is>
      </c>
      <c r="G495" s="22" t="n">
        <v>100000</v>
      </c>
      <c r="H495" s="22" t="n">
        <v>8000</v>
      </c>
      <c r="I495" s="22" t="n">
        <v>8987.15</v>
      </c>
      <c r="J495" s="19" t="inlineStr">
        <is>
          <t>10 % × 100,000 × split 80%</t>
        </is>
      </c>
    </row>
    <row r="496">
      <c r="A496" s="13" t="n">
        <v>495</v>
      </c>
      <c r="B496" s="14" t="n">
        <v>46436</v>
      </c>
      <c r="C496" s="15" t="n">
        <v>5</v>
      </c>
      <c r="D496" s="25" t="inlineStr">
        <is>
          <t>Payout</t>
        </is>
      </c>
      <c r="E496" s="13" t="inlineStr">
        <is>
          <t>Moneta Funded</t>
        </is>
      </c>
      <c r="F496" s="13" t="inlineStr">
        <is>
          <t>#3 Instant-Direct 100k</t>
        </is>
      </c>
      <c r="G496" s="17" t="n">
        <v>100000</v>
      </c>
      <c r="H496" s="17" t="n">
        <v>8000</v>
      </c>
      <c r="I496" s="17" t="n">
        <v>16987.15</v>
      </c>
      <c r="J496" s="13" t="inlineStr">
        <is>
          <t>10 % × 100,000 × split 80%</t>
        </is>
      </c>
    </row>
    <row r="497">
      <c r="A497" s="19" t="n">
        <v>496</v>
      </c>
      <c r="B497" s="20" t="n">
        <v>46436</v>
      </c>
      <c r="C497" s="21" t="n">
        <v>5</v>
      </c>
      <c r="D497" s="25" t="inlineStr">
        <is>
          <t>Payout</t>
        </is>
      </c>
      <c r="E497" s="19" t="inlineStr">
        <is>
          <t>Moneta Funded</t>
        </is>
      </c>
      <c r="F497" s="19" t="inlineStr">
        <is>
          <t>#4 Instant-Direct 100k</t>
        </is>
      </c>
      <c r="G497" s="22" t="n">
        <v>100000</v>
      </c>
      <c r="H497" s="22" t="n">
        <v>8000</v>
      </c>
      <c r="I497" s="22" t="n">
        <v>24987.15</v>
      </c>
      <c r="J497" s="19" t="inlineStr">
        <is>
          <t>10 % × 100,000 × split 80%</t>
        </is>
      </c>
    </row>
    <row r="498">
      <c r="A498" s="13" t="n">
        <v>497</v>
      </c>
      <c r="B498" s="14" t="n">
        <v>46436</v>
      </c>
      <c r="C498" s="15" t="n">
        <v>5</v>
      </c>
      <c r="D498" s="25" t="inlineStr">
        <is>
          <t>Payout</t>
        </is>
      </c>
      <c r="E498" s="13" t="inlineStr">
        <is>
          <t>Moneta Funded</t>
        </is>
      </c>
      <c r="F498" s="13" t="inlineStr">
        <is>
          <t>#5 Instant-Direct 100k</t>
        </is>
      </c>
      <c r="G498" s="17" t="n">
        <v>100000</v>
      </c>
      <c r="H498" s="17" t="n">
        <v>8000</v>
      </c>
      <c r="I498" s="17" t="n">
        <v>32987.15</v>
      </c>
      <c r="J498" s="13" t="inlineStr">
        <is>
          <t>10 % × 100,000 × split 80%</t>
        </is>
      </c>
    </row>
    <row r="499">
      <c r="A499" s="19" t="n">
        <v>498</v>
      </c>
      <c r="B499" s="20" t="n">
        <v>46436</v>
      </c>
      <c r="C499" s="21" t="n">
        <v>5</v>
      </c>
      <c r="D499" s="25" t="inlineStr">
        <is>
          <t>Payout</t>
        </is>
      </c>
      <c r="E499" s="19" t="inlineStr">
        <is>
          <t>Moneta Funded</t>
        </is>
      </c>
      <c r="F499" s="19" t="inlineStr">
        <is>
          <t>#6 Instant-Direct 100k</t>
        </is>
      </c>
      <c r="G499" s="22" t="n">
        <v>100000</v>
      </c>
      <c r="H499" s="22" t="n">
        <v>8000</v>
      </c>
      <c r="I499" s="22" t="n">
        <v>40987.15</v>
      </c>
      <c r="J499" s="19" t="inlineStr">
        <is>
          <t>10 % × 100,000 × split 80%</t>
        </is>
      </c>
    </row>
    <row r="500">
      <c r="A500" s="13" t="n">
        <v>499</v>
      </c>
      <c r="B500" s="14" t="n">
        <v>46436</v>
      </c>
      <c r="C500" s="15" t="n">
        <v>5</v>
      </c>
      <c r="D500" s="25" t="inlineStr">
        <is>
          <t>Payout</t>
        </is>
      </c>
      <c r="E500" s="13" t="inlineStr">
        <is>
          <t>Moneta Funded</t>
        </is>
      </c>
      <c r="F500" s="13" t="inlineStr">
        <is>
          <t>#7 Instant-Direct 100k</t>
        </is>
      </c>
      <c r="G500" s="17" t="n">
        <v>100000</v>
      </c>
      <c r="H500" s="17" t="n">
        <v>8000</v>
      </c>
      <c r="I500" s="17" t="n">
        <v>48987.15</v>
      </c>
      <c r="J500" s="13" t="inlineStr">
        <is>
          <t>10 % × 100,000 × split 80%</t>
        </is>
      </c>
    </row>
    <row r="501">
      <c r="A501" s="19" t="n">
        <v>500</v>
      </c>
      <c r="B501" s="20" t="n">
        <v>46436</v>
      </c>
      <c r="C501" s="21" t="n">
        <v>5</v>
      </c>
      <c r="D501" s="25" t="inlineStr">
        <is>
          <t>Payout</t>
        </is>
      </c>
      <c r="E501" s="19" t="inlineStr">
        <is>
          <t>Moneta Funded</t>
        </is>
      </c>
      <c r="F501" s="19" t="inlineStr">
        <is>
          <t>#8 Instant-Direct 100k</t>
        </is>
      </c>
      <c r="G501" s="22" t="n">
        <v>100000</v>
      </c>
      <c r="H501" s="22" t="n">
        <v>8000</v>
      </c>
      <c r="I501" s="22" t="n">
        <v>56987.15</v>
      </c>
      <c r="J501" s="19" t="inlineStr">
        <is>
          <t>10 % × 100,000 × split 80%</t>
        </is>
      </c>
    </row>
    <row r="502">
      <c r="A502" s="13" t="n">
        <v>501</v>
      </c>
      <c r="B502" s="14" t="n">
        <v>46436</v>
      </c>
      <c r="C502" s="15" t="n">
        <v>5</v>
      </c>
      <c r="D502" s="25" t="inlineStr">
        <is>
          <t>Payout</t>
        </is>
      </c>
      <c r="E502" s="13" t="inlineStr">
        <is>
          <t>Moneta Funded</t>
        </is>
      </c>
      <c r="F502" s="13" t="inlineStr">
        <is>
          <t>#9 Instant-Direct 100k</t>
        </is>
      </c>
      <c r="G502" s="17" t="n">
        <v>100000</v>
      </c>
      <c r="H502" s="17" t="n">
        <v>8000</v>
      </c>
      <c r="I502" s="17" t="n">
        <v>64987.15</v>
      </c>
      <c r="J502" s="13" t="inlineStr">
        <is>
          <t>10 % × 100,000 × split 80%</t>
        </is>
      </c>
    </row>
    <row r="503">
      <c r="A503" s="19" t="n">
        <v>502</v>
      </c>
      <c r="B503" s="20" t="n">
        <v>46436</v>
      </c>
      <c r="C503" s="21" t="n">
        <v>5</v>
      </c>
      <c r="D503" s="25" t="inlineStr">
        <is>
          <t>Payout</t>
        </is>
      </c>
      <c r="E503" s="19" t="inlineStr">
        <is>
          <t>Moneta Funded</t>
        </is>
      </c>
      <c r="F503" s="19" t="inlineStr">
        <is>
          <t>#10 Instant-Direct 100k</t>
        </is>
      </c>
      <c r="G503" s="22" t="n">
        <v>100000</v>
      </c>
      <c r="H503" s="22" t="n">
        <v>8000</v>
      </c>
      <c r="I503" s="22" t="n">
        <v>72987.14999999999</v>
      </c>
      <c r="J503" s="19" t="inlineStr">
        <is>
          <t>10 % × 100,000 × split 80%</t>
        </is>
      </c>
    </row>
    <row r="504">
      <c r="A504" s="13" t="n">
        <v>503</v>
      </c>
      <c r="B504" s="14" t="n">
        <v>46436</v>
      </c>
      <c r="C504" s="15" t="n">
        <v>5</v>
      </c>
      <c r="D504" s="25" t="inlineStr">
        <is>
          <t>Payout</t>
        </is>
      </c>
      <c r="E504" s="13" t="inlineStr">
        <is>
          <t>Moneta Funded</t>
        </is>
      </c>
      <c r="F504" s="13" t="inlineStr">
        <is>
          <t>#11 Instant-Direct 100k</t>
        </is>
      </c>
      <c r="G504" s="17" t="n">
        <v>100000</v>
      </c>
      <c r="H504" s="17" t="n">
        <v>8000</v>
      </c>
      <c r="I504" s="17" t="n">
        <v>80987.14999999999</v>
      </c>
      <c r="J504" s="13" t="inlineStr">
        <is>
          <t>10 % × 100,000 × split 80%</t>
        </is>
      </c>
    </row>
    <row r="505">
      <c r="A505" s="19" t="n">
        <v>504</v>
      </c>
      <c r="B505" s="20" t="n">
        <v>46436</v>
      </c>
      <c r="C505" s="21" t="n">
        <v>5</v>
      </c>
      <c r="D505" s="25" t="inlineStr">
        <is>
          <t>Payout</t>
        </is>
      </c>
      <c r="E505" s="19" t="inlineStr">
        <is>
          <t>Moneta Funded</t>
        </is>
      </c>
      <c r="F505" s="19" t="inlineStr">
        <is>
          <t>#12 Instant-Direct 100k</t>
        </is>
      </c>
      <c r="G505" s="22" t="n">
        <v>100000</v>
      </c>
      <c r="H505" s="22" t="n">
        <v>8000</v>
      </c>
      <c r="I505" s="22" t="n">
        <v>88987.14999999999</v>
      </c>
      <c r="J505" s="19" t="inlineStr">
        <is>
          <t>10 % × 100,000 × split 80%</t>
        </is>
      </c>
    </row>
    <row r="506">
      <c r="A506" s="13" t="n">
        <v>505</v>
      </c>
      <c r="B506" s="14" t="n">
        <v>46436</v>
      </c>
      <c r="C506" s="15" t="n">
        <v>5</v>
      </c>
      <c r="D506" s="25" t="inlineStr">
        <is>
          <t>Payout</t>
        </is>
      </c>
      <c r="E506" s="13" t="inlineStr">
        <is>
          <t>Moneta Funded</t>
        </is>
      </c>
      <c r="F506" s="13" t="inlineStr">
        <is>
          <t>#13 Instant-Direct 100k</t>
        </is>
      </c>
      <c r="G506" s="17" t="n">
        <v>100000</v>
      </c>
      <c r="H506" s="17" t="n">
        <v>8000</v>
      </c>
      <c r="I506" s="17" t="n">
        <v>96987.14999999999</v>
      </c>
      <c r="J506" s="13" t="inlineStr">
        <is>
          <t>10 % × 100,000 × split 80%</t>
        </is>
      </c>
    </row>
    <row r="507">
      <c r="A507" s="19" t="n">
        <v>506</v>
      </c>
      <c r="B507" s="20" t="n">
        <v>46436</v>
      </c>
      <c r="C507" s="21" t="n">
        <v>5</v>
      </c>
      <c r="D507" s="25" t="inlineStr">
        <is>
          <t>Payout</t>
        </is>
      </c>
      <c r="E507" s="19" t="inlineStr">
        <is>
          <t>FunderPro Futures</t>
        </is>
      </c>
      <c r="F507" s="19" t="inlineStr">
        <is>
          <t>#14 1 Step 150k</t>
        </is>
      </c>
      <c r="G507" s="22" t="n">
        <v>150000</v>
      </c>
      <c r="H507" s="22" t="n">
        <v>9000</v>
      </c>
      <c r="I507" s="22" t="n">
        <v>105987.15</v>
      </c>
      <c r="J507" s="19" t="inlineStr">
        <is>
          <t>10 % × 150,000 × split 60%</t>
        </is>
      </c>
    </row>
    <row r="508">
      <c r="A508" s="13" t="n">
        <v>507</v>
      </c>
      <c r="B508" s="14" t="n">
        <v>46436</v>
      </c>
      <c r="C508" s="15" t="n">
        <v>5</v>
      </c>
      <c r="D508" s="25" t="inlineStr">
        <is>
          <t>Payout</t>
        </is>
      </c>
      <c r="E508" s="13" t="inlineStr">
        <is>
          <t>Moneta Funded</t>
        </is>
      </c>
      <c r="F508" s="13" t="inlineStr">
        <is>
          <t>#15 Instant-Direct 100k</t>
        </is>
      </c>
      <c r="G508" s="17" t="n">
        <v>100000</v>
      </c>
      <c r="H508" s="17" t="n">
        <v>8000</v>
      </c>
      <c r="I508" s="17" t="n">
        <v>113987.15</v>
      </c>
      <c r="J508" s="13" t="inlineStr">
        <is>
          <t>10 % × 100,000 × split 80%</t>
        </is>
      </c>
    </row>
    <row r="509">
      <c r="A509" s="19" t="n">
        <v>508</v>
      </c>
      <c r="B509" s="20" t="n">
        <v>46436</v>
      </c>
      <c r="C509" s="21" t="n">
        <v>5</v>
      </c>
      <c r="D509" s="25" t="inlineStr">
        <is>
          <t>Payout</t>
        </is>
      </c>
      <c r="E509" s="19" t="inlineStr">
        <is>
          <t>Moneta Funded</t>
        </is>
      </c>
      <c r="F509" s="19" t="inlineStr">
        <is>
          <t>#16 Instant-Direct 100k</t>
        </is>
      </c>
      <c r="G509" s="22" t="n">
        <v>100000</v>
      </c>
      <c r="H509" s="22" t="n">
        <v>8000</v>
      </c>
      <c r="I509" s="22" t="n">
        <v>121987.15</v>
      </c>
      <c r="J509" s="19" t="inlineStr">
        <is>
          <t>10 % × 100,000 × split 80%</t>
        </is>
      </c>
    </row>
    <row r="510">
      <c r="A510" s="13" t="n">
        <v>509</v>
      </c>
      <c r="B510" s="14" t="n">
        <v>46436</v>
      </c>
      <c r="C510" s="15" t="n">
        <v>5</v>
      </c>
      <c r="D510" s="25" t="inlineStr">
        <is>
          <t>Payout</t>
        </is>
      </c>
      <c r="E510" s="13" t="inlineStr">
        <is>
          <t>Moneta Funded</t>
        </is>
      </c>
      <c r="F510" s="13" t="inlineStr">
        <is>
          <t>#17 Instant-Direct 100k</t>
        </is>
      </c>
      <c r="G510" s="17" t="n">
        <v>100000</v>
      </c>
      <c r="H510" s="17" t="n">
        <v>8000</v>
      </c>
      <c r="I510" s="17" t="n">
        <v>129987.15</v>
      </c>
      <c r="J510" s="13" t="inlineStr">
        <is>
          <t>10 % × 100,000 × split 80%</t>
        </is>
      </c>
    </row>
    <row r="511">
      <c r="A511" s="19" t="n">
        <v>510</v>
      </c>
      <c r="B511" s="20" t="n">
        <v>46436</v>
      </c>
      <c r="C511" s="21" t="n">
        <v>5</v>
      </c>
      <c r="D511" s="25" t="inlineStr">
        <is>
          <t>Payout</t>
        </is>
      </c>
      <c r="E511" s="19" t="inlineStr">
        <is>
          <t>Moneta Funded</t>
        </is>
      </c>
      <c r="F511" s="19" t="inlineStr">
        <is>
          <t>#18 Instant-Direct 100k</t>
        </is>
      </c>
      <c r="G511" s="22" t="n">
        <v>100000</v>
      </c>
      <c r="H511" s="22" t="n">
        <v>8000</v>
      </c>
      <c r="I511" s="22" t="n">
        <v>137987.15</v>
      </c>
      <c r="J511" s="19" t="inlineStr">
        <is>
          <t>10 % × 100,000 × split 80%</t>
        </is>
      </c>
    </row>
    <row r="512">
      <c r="A512" s="13" t="n">
        <v>511</v>
      </c>
      <c r="B512" s="14" t="n">
        <v>46436</v>
      </c>
      <c r="C512" s="15" t="n">
        <v>5</v>
      </c>
      <c r="D512" s="25" t="inlineStr">
        <is>
          <t>Payout</t>
        </is>
      </c>
      <c r="E512" s="13" t="inlineStr">
        <is>
          <t>Moneta Funded</t>
        </is>
      </c>
      <c r="F512" s="13" t="inlineStr">
        <is>
          <t>#19 Instant-Direct 100k</t>
        </is>
      </c>
      <c r="G512" s="17" t="n">
        <v>100000</v>
      </c>
      <c r="H512" s="17" t="n">
        <v>8000</v>
      </c>
      <c r="I512" s="17" t="n">
        <v>145987.15</v>
      </c>
      <c r="J512" s="13" t="inlineStr">
        <is>
          <t>10 % × 100,000 × split 80%</t>
        </is>
      </c>
    </row>
    <row r="513">
      <c r="A513" s="19" t="n">
        <v>512</v>
      </c>
      <c r="B513" s="20" t="n">
        <v>46436</v>
      </c>
      <c r="C513" s="21" t="n">
        <v>5</v>
      </c>
      <c r="D513" s="25" t="inlineStr">
        <is>
          <t>Payout</t>
        </is>
      </c>
      <c r="E513" s="19" t="inlineStr">
        <is>
          <t>Moneta Funded</t>
        </is>
      </c>
      <c r="F513" s="19" t="inlineStr">
        <is>
          <t>#20 Instant-Direct 100k</t>
        </is>
      </c>
      <c r="G513" s="22" t="n">
        <v>100000</v>
      </c>
      <c r="H513" s="22" t="n">
        <v>8000</v>
      </c>
      <c r="I513" s="22" t="n">
        <v>153987.15</v>
      </c>
      <c r="J513" s="19" t="inlineStr">
        <is>
          <t>10 % × 100,000 × split 80%</t>
        </is>
      </c>
    </row>
    <row r="514">
      <c r="A514" s="13" t="n">
        <v>513</v>
      </c>
      <c r="B514" s="14" t="n">
        <v>46436</v>
      </c>
      <c r="C514" s="15" t="n">
        <v>5</v>
      </c>
      <c r="D514" s="25" t="inlineStr">
        <is>
          <t>Payout</t>
        </is>
      </c>
      <c r="E514" s="13" t="inlineStr">
        <is>
          <t>Moneta Funded</t>
        </is>
      </c>
      <c r="F514" s="13" t="inlineStr">
        <is>
          <t>#21 Instant-Direct 100k</t>
        </is>
      </c>
      <c r="G514" s="17" t="n">
        <v>100000</v>
      </c>
      <c r="H514" s="17" t="n">
        <v>8000</v>
      </c>
      <c r="I514" s="17" t="n">
        <v>161987.15</v>
      </c>
      <c r="J514" s="13" t="inlineStr">
        <is>
          <t>10 % × 100,000 × split 80%</t>
        </is>
      </c>
    </row>
    <row r="515">
      <c r="A515" s="19" t="n">
        <v>514</v>
      </c>
      <c r="B515" s="20" t="n">
        <v>46436</v>
      </c>
      <c r="C515" s="21" t="n">
        <v>5</v>
      </c>
      <c r="D515" s="25" t="inlineStr">
        <is>
          <t>Payout</t>
        </is>
      </c>
      <c r="E515" s="19" t="inlineStr">
        <is>
          <t>Moneta Funded</t>
        </is>
      </c>
      <c r="F515" s="19" t="inlineStr">
        <is>
          <t>#22 Instant-Direct 100k</t>
        </is>
      </c>
      <c r="G515" s="22" t="n">
        <v>100000</v>
      </c>
      <c r="H515" s="22" t="n">
        <v>8000</v>
      </c>
      <c r="I515" s="22" t="n">
        <v>169987.15</v>
      </c>
      <c r="J515" s="19" t="inlineStr">
        <is>
          <t>10 % × 100,000 × split 80%</t>
        </is>
      </c>
    </row>
    <row r="516">
      <c r="A516" s="13" t="n">
        <v>515</v>
      </c>
      <c r="B516" s="14" t="n">
        <v>46436</v>
      </c>
      <c r="C516" s="15" t="n">
        <v>5</v>
      </c>
      <c r="D516" s="25" t="inlineStr">
        <is>
          <t>Payout</t>
        </is>
      </c>
      <c r="E516" s="13" t="inlineStr">
        <is>
          <t>Moneta Funded</t>
        </is>
      </c>
      <c r="F516" s="13" t="inlineStr">
        <is>
          <t>#23 Instant-Direct 100k</t>
        </is>
      </c>
      <c r="G516" s="17" t="n">
        <v>100000</v>
      </c>
      <c r="H516" s="17" t="n">
        <v>8000</v>
      </c>
      <c r="I516" s="17" t="n">
        <v>177987.15</v>
      </c>
      <c r="J516" s="13" t="inlineStr">
        <is>
          <t>10 % × 100,000 × split 80%</t>
        </is>
      </c>
    </row>
    <row r="517">
      <c r="A517" s="19" t="n">
        <v>516</v>
      </c>
      <c r="B517" s="20" t="n">
        <v>46436</v>
      </c>
      <c r="C517" s="21" t="n">
        <v>5</v>
      </c>
      <c r="D517" s="25" t="inlineStr">
        <is>
          <t>Payout</t>
        </is>
      </c>
      <c r="E517" s="19" t="inlineStr">
        <is>
          <t>Moneta Funded</t>
        </is>
      </c>
      <c r="F517" s="19" t="inlineStr">
        <is>
          <t>#24 Instant-Direct 100k</t>
        </is>
      </c>
      <c r="G517" s="22" t="n">
        <v>100000</v>
      </c>
      <c r="H517" s="22" t="n">
        <v>8000</v>
      </c>
      <c r="I517" s="22" t="n">
        <v>185987.15</v>
      </c>
      <c r="J517" s="19" t="inlineStr">
        <is>
          <t>10 % × 100,000 × split 80%</t>
        </is>
      </c>
    </row>
    <row r="518">
      <c r="A518" s="13" t="n">
        <v>517</v>
      </c>
      <c r="B518" s="14" t="n">
        <v>46436</v>
      </c>
      <c r="C518" s="15" t="n">
        <v>5</v>
      </c>
      <c r="D518" s="25" t="inlineStr">
        <is>
          <t>Payout</t>
        </is>
      </c>
      <c r="E518" s="13" t="inlineStr">
        <is>
          <t>Moneta Funded</t>
        </is>
      </c>
      <c r="F518" s="13" t="inlineStr">
        <is>
          <t>#25 Instant-Direct 100k</t>
        </is>
      </c>
      <c r="G518" s="17" t="n">
        <v>100000</v>
      </c>
      <c r="H518" s="17" t="n">
        <v>8000</v>
      </c>
      <c r="I518" s="17" t="n">
        <v>193987.15</v>
      </c>
      <c r="J518" s="13" t="inlineStr">
        <is>
          <t>10 % × 100,000 × split 80%</t>
        </is>
      </c>
    </row>
    <row r="519">
      <c r="A519" s="19" t="n">
        <v>518</v>
      </c>
      <c r="B519" s="20" t="n">
        <v>46436</v>
      </c>
      <c r="C519" s="21" t="n">
        <v>5</v>
      </c>
      <c r="D519" s="25" t="inlineStr">
        <is>
          <t>Payout</t>
        </is>
      </c>
      <c r="E519" s="19" t="inlineStr">
        <is>
          <t>IQ Capital</t>
        </is>
      </c>
      <c r="F519" s="19" t="inlineStr">
        <is>
          <t>#26 Instant-Direct 100k</t>
        </is>
      </c>
      <c r="G519" s="22" t="n">
        <v>100000</v>
      </c>
      <c r="H519" s="22" t="n">
        <v>8000</v>
      </c>
      <c r="I519" s="22" t="n">
        <v>201987.15</v>
      </c>
      <c r="J519" s="19" t="inlineStr">
        <is>
          <t>10 % × 100,000 × split 80%</t>
        </is>
      </c>
    </row>
    <row r="520">
      <c r="A520" s="13" t="n">
        <v>519</v>
      </c>
      <c r="B520" s="14" t="n">
        <v>46436</v>
      </c>
      <c r="C520" s="15" t="n">
        <v>5</v>
      </c>
      <c r="D520" s="25" t="inlineStr">
        <is>
          <t>Payout</t>
        </is>
      </c>
      <c r="E520" s="13" t="inlineStr">
        <is>
          <t>IQ Capital</t>
        </is>
      </c>
      <c r="F520" s="13" t="inlineStr">
        <is>
          <t>#27 Instant-Direct 100k</t>
        </is>
      </c>
      <c r="G520" s="17" t="n">
        <v>100000</v>
      </c>
      <c r="H520" s="17" t="n">
        <v>8000</v>
      </c>
      <c r="I520" s="17" t="n">
        <v>209987.15</v>
      </c>
      <c r="J520" s="13" t="inlineStr">
        <is>
          <t>10 % × 100,000 × split 80%</t>
        </is>
      </c>
    </row>
    <row r="521">
      <c r="A521" s="19" t="n">
        <v>520</v>
      </c>
      <c r="B521" s="20" t="n">
        <v>46436</v>
      </c>
      <c r="C521" s="21" t="n">
        <v>5</v>
      </c>
      <c r="D521" s="25" t="inlineStr">
        <is>
          <t>Payout</t>
        </is>
      </c>
      <c r="E521" s="19" t="inlineStr">
        <is>
          <t>IQ Capital</t>
        </is>
      </c>
      <c r="F521" s="19" t="inlineStr">
        <is>
          <t>#28 Instant-Direct 100k</t>
        </is>
      </c>
      <c r="G521" s="22" t="n">
        <v>100000</v>
      </c>
      <c r="H521" s="22" t="n">
        <v>8000</v>
      </c>
      <c r="I521" s="22" t="n">
        <v>217987.15</v>
      </c>
      <c r="J521" s="19" t="inlineStr">
        <is>
          <t>10 % × 100,000 × split 80%</t>
        </is>
      </c>
    </row>
    <row r="522">
      <c r="A522" s="13" t="n">
        <v>521</v>
      </c>
      <c r="B522" s="14" t="n">
        <v>46436</v>
      </c>
      <c r="C522" s="15" t="n">
        <v>5</v>
      </c>
      <c r="D522" s="25" t="inlineStr">
        <is>
          <t>Payout</t>
        </is>
      </c>
      <c r="E522" s="13" t="inlineStr">
        <is>
          <t>IQ Capital</t>
        </is>
      </c>
      <c r="F522" s="13" t="inlineStr">
        <is>
          <t>#29 Instant-Direct 100k</t>
        </is>
      </c>
      <c r="G522" s="17" t="n">
        <v>100000</v>
      </c>
      <c r="H522" s="17" t="n">
        <v>8000</v>
      </c>
      <c r="I522" s="17" t="n">
        <v>225987.15</v>
      </c>
      <c r="J522" s="13" t="inlineStr">
        <is>
          <t>10 % × 100,000 × split 80%</t>
        </is>
      </c>
    </row>
    <row r="523">
      <c r="A523" s="19" t="n">
        <v>522</v>
      </c>
      <c r="B523" s="20" t="n">
        <v>46436</v>
      </c>
      <c r="C523" s="21" t="n">
        <v>5</v>
      </c>
      <c r="D523" s="25" t="inlineStr">
        <is>
          <t>Payout</t>
        </is>
      </c>
      <c r="E523" s="19" t="inlineStr">
        <is>
          <t>IQ Capital</t>
        </is>
      </c>
      <c r="F523" s="19" t="inlineStr">
        <is>
          <t>#30 Instant-Direct 100k</t>
        </is>
      </c>
      <c r="G523" s="22" t="n">
        <v>100000</v>
      </c>
      <c r="H523" s="22" t="n">
        <v>8000</v>
      </c>
      <c r="I523" s="22" t="n">
        <v>233987.15</v>
      </c>
      <c r="J523" s="19" t="inlineStr">
        <is>
          <t>10 % × 100,000 × split 80%</t>
        </is>
      </c>
    </row>
    <row r="524">
      <c r="A524" s="13" t="n">
        <v>523</v>
      </c>
      <c r="B524" s="14" t="n">
        <v>46436</v>
      </c>
      <c r="C524" s="15" t="n">
        <v>5</v>
      </c>
      <c r="D524" s="25" t="inlineStr">
        <is>
          <t>Payout</t>
        </is>
      </c>
      <c r="E524" s="13" t="inlineStr">
        <is>
          <t>IQ Capital</t>
        </is>
      </c>
      <c r="F524" s="13" t="inlineStr">
        <is>
          <t>#31 Instant-Direct 100k</t>
        </is>
      </c>
      <c r="G524" s="17" t="n">
        <v>100000</v>
      </c>
      <c r="H524" s="17" t="n">
        <v>8000</v>
      </c>
      <c r="I524" s="17" t="n">
        <v>241987.15</v>
      </c>
      <c r="J524" s="13" t="inlineStr">
        <is>
          <t>10 % × 100,000 × split 80%</t>
        </is>
      </c>
    </row>
    <row r="525">
      <c r="A525" s="19" t="n">
        <v>524</v>
      </c>
      <c r="B525" s="20" t="n">
        <v>46436</v>
      </c>
      <c r="C525" s="21" t="n">
        <v>5</v>
      </c>
      <c r="D525" s="25" t="inlineStr">
        <is>
          <t>Payout</t>
        </is>
      </c>
      <c r="E525" s="19" t="inlineStr">
        <is>
          <t>IQ Capital</t>
        </is>
      </c>
      <c r="F525" s="19" t="inlineStr">
        <is>
          <t>#32 Instant-Direct 100k</t>
        </is>
      </c>
      <c r="G525" s="22" t="n">
        <v>100000</v>
      </c>
      <c r="H525" s="22" t="n">
        <v>8000</v>
      </c>
      <c r="I525" s="22" t="n">
        <v>249987.15</v>
      </c>
      <c r="J525" s="19" t="inlineStr">
        <is>
          <t>10 % × 100,000 × split 80%</t>
        </is>
      </c>
    </row>
    <row r="526">
      <c r="A526" s="13" t="n">
        <v>525</v>
      </c>
      <c r="B526" s="14" t="n">
        <v>46436</v>
      </c>
      <c r="C526" s="15" t="n">
        <v>5</v>
      </c>
      <c r="D526" s="25" t="inlineStr">
        <is>
          <t>Payout</t>
        </is>
      </c>
      <c r="E526" s="13" t="inlineStr">
        <is>
          <t>IQ Capital</t>
        </is>
      </c>
      <c r="F526" s="13" t="inlineStr">
        <is>
          <t>#33 Instant-Direct 100k</t>
        </is>
      </c>
      <c r="G526" s="17" t="n">
        <v>100000</v>
      </c>
      <c r="H526" s="17" t="n">
        <v>8000</v>
      </c>
      <c r="I526" s="17" t="n">
        <v>257987.15</v>
      </c>
      <c r="J526" s="13" t="inlineStr">
        <is>
          <t>10 % × 100,000 × split 80%</t>
        </is>
      </c>
    </row>
    <row r="527">
      <c r="A527" s="19" t="n">
        <v>526</v>
      </c>
      <c r="B527" s="20" t="n">
        <v>46436</v>
      </c>
      <c r="C527" s="21" t="n">
        <v>5</v>
      </c>
      <c r="D527" s="25" t="inlineStr">
        <is>
          <t>Payout</t>
        </is>
      </c>
      <c r="E527" s="19" t="inlineStr">
        <is>
          <t>IQ Capital</t>
        </is>
      </c>
      <c r="F527" s="19" t="inlineStr">
        <is>
          <t>#34 Instant-Direct 100k</t>
        </is>
      </c>
      <c r="G527" s="22" t="n">
        <v>100000</v>
      </c>
      <c r="H527" s="22" t="n">
        <v>8000</v>
      </c>
      <c r="I527" s="22" t="n">
        <v>265987.15</v>
      </c>
      <c r="J527" s="19" t="inlineStr">
        <is>
          <t>10 % × 100,000 × split 80%</t>
        </is>
      </c>
    </row>
    <row r="528">
      <c r="A528" s="13" t="n">
        <v>527</v>
      </c>
      <c r="B528" s="14" t="n">
        <v>46436</v>
      </c>
      <c r="C528" s="15" t="n">
        <v>5</v>
      </c>
      <c r="D528" s="25" t="inlineStr">
        <is>
          <t>Payout</t>
        </is>
      </c>
      <c r="E528" s="13" t="inlineStr">
        <is>
          <t>IQ Capital</t>
        </is>
      </c>
      <c r="F528" s="13" t="inlineStr">
        <is>
          <t>#35 Instant-Direct 100k</t>
        </is>
      </c>
      <c r="G528" s="17" t="n">
        <v>100000</v>
      </c>
      <c r="H528" s="17" t="n">
        <v>8000</v>
      </c>
      <c r="I528" s="17" t="n">
        <v>273987.15</v>
      </c>
      <c r="J528" s="13" t="inlineStr">
        <is>
          <t>10 % × 100,000 × split 80%</t>
        </is>
      </c>
    </row>
    <row r="529">
      <c r="A529" s="19" t="n">
        <v>528</v>
      </c>
      <c r="B529" s="20" t="n">
        <v>46436</v>
      </c>
      <c r="C529" s="21" t="n">
        <v>5</v>
      </c>
      <c r="D529" s="25" t="inlineStr">
        <is>
          <t>Payout</t>
        </is>
      </c>
      <c r="E529" s="19" t="inlineStr">
        <is>
          <t>IQ Capital</t>
        </is>
      </c>
      <c r="F529" s="19" t="inlineStr">
        <is>
          <t>#36 Instant-Direct 100k</t>
        </is>
      </c>
      <c r="G529" s="22" t="n">
        <v>100000</v>
      </c>
      <c r="H529" s="22" t="n">
        <v>8000</v>
      </c>
      <c r="I529" s="22" t="n">
        <v>281987.15</v>
      </c>
      <c r="J529" s="19" t="inlineStr">
        <is>
          <t>10 % × 100,000 × split 80%</t>
        </is>
      </c>
    </row>
    <row r="530">
      <c r="A530" s="13" t="n">
        <v>529</v>
      </c>
      <c r="B530" s="14" t="n">
        <v>46436</v>
      </c>
      <c r="C530" s="15" t="n">
        <v>5</v>
      </c>
      <c r="D530" s="25" t="inlineStr">
        <is>
          <t>Payout</t>
        </is>
      </c>
      <c r="E530" s="13" t="inlineStr">
        <is>
          <t>IQ Capital</t>
        </is>
      </c>
      <c r="F530" s="13" t="inlineStr">
        <is>
          <t>#37 Instant-Direct 100k</t>
        </is>
      </c>
      <c r="G530" s="17" t="n">
        <v>100000</v>
      </c>
      <c r="H530" s="17" t="n">
        <v>8000</v>
      </c>
      <c r="I530" s="17" t="n">
        <v>289987.15</v>
      </c>
      <c r="J530" s="13" t="inlineStr">
        <is>
          <t>10 % × 100,000 × split 80%</t>
        </is>
      </c>
    </row>
    <row r="531">
      <c r="A531" s="19" t="n">
        <v>530</v>
      </c>
      <c r="B531" s="20" t="n">
        <v>46436</v>
      </c>
      <c r="C531" s="21" t="n">
        <v>5</v>
      </c>
      <c r="D531" s="25" t="inlineStr">
        <is>
          <t>Payout</t>
        </is>
      </c>
      <c r="E531" s="19" t="inlineStr">
        <is>
          <t>IQ Capital</t>
        </is>
      </c>
      <c r="F531" s="19" t="inlineStr">
        <is>
          <t>#38 Instant-Direct 100k</t>
        </is>
      </c>
      <c r="G531" s="22" t="n">
        <v>100000</v>
      </c>
      <c r="H531" s="22" t="n">
        <v>8000</v>
      </c>
      <c r="I531" s="22" t="n">
        <v>297987.15</v>
      </c>
      <c r="J531" s="19" t="inlineStr">
        <is>
          <t>10 % × 100,000 × split 80%</t>
        </is>
      </c>
    </row>
    <row r="532">
      <c r="A532" s="13" t="n">
        <v>531</v>
      </c>
      <c r="B532" s="14" t="n">
        <v>46436</v>
      </c>
      <c r="C532" s="15" t="n">
        <v>5</v>
      </c>
      <c r="D532" s="25" t="inlineStr">
        <is>
          <t>Payout</t>
        </is>
      </c>
      <c r="E532" s="13" t="inlineStr">
        <is>
          <t>IQ Capital</t>
        </is>
      </c>
      <c r="F532" s="13" t="inlineStr">
        <is>
          <t>#39 Instant-Direct 100k</t>
        </is>
      </c>
      <c r="G532" s="17" t="n">
        <v>100000</v>
      </c>
      <c r="H532" s="17" t="n">
        <v>8000</v>
      </c>
      <c r="I532" s="17" t="n">
        <v>305987.15</v>
      </c>
      <c r="J532" s="13" t="inlineStr">
        <is>
          <t>10 % × 100,000 × split 80%</t>
        </is>
      </c>
    </row>
    <row r="533">
      <c r="A533" s="19" t="n">
        <v>532</v>
      </c>
      <c r="B533" s="20" t="n">
        <v>46436</v>
      </c>
      <c r="C533" s="21" t="n">
        <v>5</v>
      </c>
      <c r="D533" s="25" t="inlineStr">
        <is>
          <t>Payout</t>
        </is>
      </c>
      <c r="E533" s="19" t="inlineStr">
        <is>
          <t>IQ Capital</t>
        </is>
      </c>
      <c r="F533" s="19" t="inlineStr">
        <is>
          <t>#40 Instant-Direct 100k</t>
        </is>
      </c>
      <c r="G533" s="22" t="n">
        <v>100000</v>
      </c>
      <c r="H533" s="22" t="n">
        <v>8000</v>
      </c>
      <c r="I533" s="22" t="n">
        <v>313987.15</v>
      </c>
      <c r="J533" s="19" t="inlineStr">
        <is>
          <t>10 % × 100,000 × split 80%</t>
        </is>
      </c>
    </row>
    <row r="534">
      <c r="A534" s="13" t="n">
        <v>533</v>
      </c>
      <c r="B534" s="14" t="n">
        <v>46436</v>
      </c>
      <c r="C534" s="15" t="n">
        <v>5</v>
      </c>
      <c r="D534" s="25" t="inlineStr">
        <is>
          <t>Payout</t>
        </is>
      </c>
      <c r="E534" s="13" t="inlineStr">
        <is>
          <t>IQ Capital</t>
        </is>
      </c>
      <c r="F534" s="13" t="inlineStr">
        <is>
          <t>#41 Instant-Direct 100k</t>
        </is>
      </c>
      <c r="G534" s="17" t="n">
        <v>100000</v>
      </c>
      <c r="H534" s="17" t="n">
        <v>8000</v>
      </c>
      <c r="I534" s="17" t="n">
        <v>321987.15</v>
      </c>
      <c r="J534" s="13" t="inlineStr">
        <is>
          <t>10 % × 100,000 × split 80%</t>
        </is>
      </c>
    </row>
    <row r="535">
      <c r="A535" s="19" t="n">
        <v>534</v>
      </c>
      <c r="B535" s="20" t="n">
        <v>46436</v>
      </c>
      <c r="C535" s="21" t="n">
        <v>5</v>
      </c>
      <c r="D535" s="25" t="inlineStr">
        <is>
          <t>Payout</t>
        </is>
      </c>
      <c r="E535" s="19" t="inlineStr">
        <is>
          <t>IQ Capital</t>
        </is>
      </c>
      <c r="F535" s="19" t="inlineStr">
        <is>
          <t>#42 Instant-Direct 100k</t>
        </is>
      </c>
      <c r="G535" s="22" t="n">
        <v>100000</v>
      </c>
      <c r="H535" s="22" t="n">
        <v>8000</v>
      </c>
      <c r="I535" s="22" t="n">
        <v>329987.15</v>
      </c>
      <c r="J535" s="19" t="inlineStr">
        <is>
          <t>10 % × 100,000 × split 80%</t>
        </is>
      </c>
    </row>
    <row r="536">
      <c r="A536" s="13" t="n">
        <v>535</v>
      </c>
      <c r="B536" s="14" t="n">
        <v>46436</v>
      </c>
      <c r="C536" s="15" t="n">
        <v>5</v>
      </c>
      <c r="D536" s="25" t="inlineStr">
        <is>
          <t>Payout</t>
        </is>
      </c>
      <c r="E536" s="13" t="inlineStr">
        <is>
          <t>IQ Capital</t>
        </is>
      </c>
      <c r="F536" s="13" t="inlineStr">
        <is>
          <t>#43 Instant-Direct 100k</t>
        </is>
      </c>
      <c r="G536" s="17" t="n">
        <v>100000</v>
      </c>
      <c r="H536" s="17" t="n">
        <v>8000</v>
      </c>
      <c r="I536" s="17" t="n">
        <v>337987.15</v>
      </c>
      <c r="J536" s="13" t="inlineStr">
        <is>
          <t>10 % × 100,000 × split 80%</t>
        </is>
      </c>
    </row>
    <row r="537">
      <c r="A537" s="19" t="n">
        <v>536</v>
      </c>
      <c r="B537" s="20" t="n">
        <v>46436</v>
      </c>
      <c r="C537" s="21" t="n">
        <v>5</v>
      </c>
      <c r="D537" s="25" t="inlineStr">
        <is>
          <t>Payout</t>
        </is>
      </c>
      <c r="E537" s="19" t="inlineStr">
        <is>
          <t>IQ Capital</t>
        </is>
      </c>
      <c r="F537" s="19" t="inlineStr">
        <is>
          <t>#44 Instant-Direct 100k</t>
        </is>
      </c>
      <c r="G537" s="22" t="n">
        <v>100000</v>
      </c>
      <c r="H537" s="22" t="n">
        <v>8000</v>
      </c>
      <c r="I537" s="22" t="n">
        <v>345987.15</v>
      </c>
      <c r="J537" s="19" t="inlineStr">
        <is>
          <t>10 % × 100,000 × split 80%</t>
        </is>
      </c>
    </row>
    <row r="538">
      <c r="A538" s="13" t="n">
        <v>537</v>
      </c>
      <c r="B538" s="14" t="n">
        <v>46436</v>
      </c>
      <c r="C538" s="15" t="n">
        <v>5</v>
      </c>
      <c r="D538" s="25" t="inlineStr">
        <is>
          <t>Payout</t>
        </is>
      </c>
      <c r="E538" s="13" t="inlineStr">
        <is>
          <t>IQ Capital</t>
        </is>
      </c>
      <c r="F538" s="13" t="inlineStr">
        <is>
          <t>#45 Instant-Direct 100k</t>
        </is>
      </c>
      <c r="G538" s="17" t="n">
        <v>100000</v>
      </c>
      <c r="H538" s="17" t="n">
        <v>8000</v>
      </c>
      <c r="I538" s="17" t="n">
        <v>353987.15</v>
      </c>
      <c r="J538" s="13" t="inlineStr">
        <is>
          <t>10 % × 100,000 × split 80%</t>
        </is>
      </c>
    </row>
    <row r="539">
      <c r="A539" s="19" t="n">
        <v>538</v>
      </c>
      <c r="B539" s="20" t="n">
        <v>46436</v>
      </c>
      <c r="C539" s="21" t="n">
        <v>5</v>
      </c>
      <c r="D539" s="25" t="inlineStr">
        <is>
          <t>Payout</t>
        </is>
      </c>
      <c r="E539" s="19" t="inlineStr">
        <is>
          <t>Instant Funding</t>
        </is>
      </c>
      <c r="F539" s="19" t="inlineStr">
        <is>
          <t>#46 Instant-Direct 120k</t>
        </is>
      </c>
      <c r="G539" s="22" t="n">
        <v>120000</v>
      </c>
      <c r="H539" s="22" t="n">
        <v>9600</v>
      </c>
      <c r="I539" s="22" t="n">
        <v>363587.15</v>
      </c>
      <c r="J539" s="19" t="inlineStr">
        <is>
          <t>10 % × 120,000 × split 80%</t>
        </is>
      </c>
    </row>
    <row r="540">
      <c r="A540" s="13" t="n">
        <v>539</v>
      </c>
      <c r="B540" s="14" t="n">
        <v>46436</v>
      </c>
      <c r="C540" s="15" t="n">
        <v>5</v>
      </c>
      <c r="D540" s="25" t="inlineStr">
        <is>
          <t>Payout</t>
        </is>
      </c>
      <c r="E540" s="13" t="inlineStr">
        <is>
          <t>Instant Funding</t>
        </is>
      </c>
      <c r="F540" s="13" t="inlineStr">
        <is>
          <t>#47 Instant-Direct 120k</t>
        </is>
      </c>
      <c r="G540" s="17" t="n">
        <v>120000</v>
      </c>
      <c r="H540" s="17" t="n">
        <v>9600</v>
      </c>
      <c r="I540" s="17" t="n">
        <v>373187.15</v>
      </c>
      <c r="J540" s="13" t="inlineStr">
        <is>
          <t>10 % × 120,000 × split 80%</t>
        </is>
      </c>
    </row>
    <row r="541">
      <c r="A541" s="19" t="n">
        <v>540</v>
      </c>
      <c r="B541" s="20" t="n">
        <v>46436</v>
      </c>
      <c r="C541" s="21" t="n">
        <v>5</v>
      </c>
      <c r="D541" s="25" t="inlineStr">
        <is>
          <t>Payout</t>
        </is>
      </c>
      <c r="E541" s="19" t="inlineStr">
        <is>
          <t>Instant Funding</t>
        </is>
      </c>
      <c r="F541" s="19" t="inlineStr">
        <is>
          <t>#48 Instant-Direct 120k</t>
        </is>
      </c>
      <c r="G541" s="22" t="n">
        <v>120000</v>
      </c>
      <c r="H541" s="22" t="n">
        <v>9600</v>
      </c>
      <c r="I541" s="22" t="n">
        <v>382787.15</v>
      </c>
      <c r="J541" s="19" t="inlineStr">
        <is>
          <t>10 % × 120,000 × split 80%</t>
        </is>
      </c>
    </row>
    <row r="542">
      <c r="A542" s="13" t="n">
        <v>541</v>
      </c>
      <c r="B542" s="14" t="n">
        <v>46436</v>
      </c>
      <c r="C542" s="15" t="n">
        <v>5</v>
      </c>
      <c r="D542" s="25" t="inlineStr">
        <is>
          <t>Payout</t>
        </is>
      </c>
      <c r="E542" s="13" t="inlineStr">
        <is>
          <t>Audacity Capital</t>
        </is>
      </c>
      <c r="F542" s="13" t="inlineStr">
        <is>
          <t>#49 Instant-Direct 50k</t>
        </is>
      </c>
      <c r="G542" s="17" t="n">
        <v>50000</v>
      </c>
      <c r="H542" s="17" t="n">
        <v>4500</v>
      </c>
      <c r="I542" s="17" t="n">
        <v>387287.15</v>
      </c>
      <c r="J542" s="13" t="inlineStr">
        <is>
          <t>10 % × 50,000 × split 90%</t>
        </is>
      </c>
    </row>
    <row r="543">
      <c r="A543" s="19" t="n">
        <v>542</v>
      </c>
      <c r="B543" s="20" t="n">
        <v>46436</v>
      </c>
      <c r="C543" s="21" t="n">
        <v>5</v>
      </c>
      <c r="D543" s="25" t="inlineStr">
        <is>
          <t>Payout</t>
        </is>
      </c>
      <c r="E543" s="19" t="inlineStr">
        <is>
          <t>Crypto Fund Trader</t>
        </is>
      </c>
      <c r="F543" s="19" t="inlineStr">
        <is>
          <t>#50 Instant-Direct 10k</t>
        </is>
      </c>
      <c r="G543" s="22" t="n">
        <v>10000</v>
      </c>
      <c r="H543" s="22" t="n">
        <v>800</v>
      </c>
      <c r="I543" s="22" t="n">
        <v>388087.15</v>
      </c>
      <c r="J543" s="19" t="inlineStr">
        <is>
          <t>10 % × 10,000 × split 80%</t>
        </is>
      </c>
    </row>
    <row r="544">
      <c r="A544" s="13" t="n">
        <v>543</v>
      </c>
      <c r="B544" s="14" t="n">
        <v>46436</v>
      </c>
      <c r="C544" s="15" t="n">
        <v>5</v>
      </c>
      <c r="D544" s="25" t="inlineStr">
        <is>
          <t>Payout</t>
        </is>
      </c>
      <c r="E544" s="13" t="inlineStr">
        <is>
          <t>Instant Funding</t>
        </is>
      </c>
      <c r="F544" s="13" t="inlineStr">
        <is>
          <t>#51 Instant-Direct 120k</t>
        </is>
      </c>
      <c r="G544" s="17" t="n">
        <v>120000</v>
      </c>
      <c r="H544" s="17" t="n">
        <v>9600</v>
      </c>
      <c r="I544" s="17" t="n">
        <v>397687.15</v>
      </c>
      <c r="J544" s="13" t="inlineStr">
        <is>
          <t>10 % × 120,000 × split 80%</t>
        </is>
      </c>
    </row>
    <row r="545">
      <c r="A545" s="19" t="n">
        <v>544</v>
      </c>
      <c r="B545" s="20" t="n">
        <v>46436</v>
      </c>
      <c r="C545" s="21" t="n">
        <v>5</v>
      </c>
      <c r="D545" s="25" t="inlineStr">
        <is>
          <t>Payout</t>
        </is>
      </c>
      <c r="E545" s="19" t="inlineStr">
        <is>
          <t>Instant Funding</t>
        </is>
      </c>
      <c r="F545" s="19" t="inlineStr">
        <is>
          <t>#52 Instant-Direct 120k</t>
        </is>
      </c>
      <c r="G545" s="22" t="n">
        <v>120000</v>
      </c>
      <c r="H545" s="22" t="n">
        <v>9600</v>
      </c>
      <c r="I545" s="22" t="n">
        <v>407287.15</v>
      </c>
      <c r="J545" s="19" t="inlineStr">
        <is>
          <t>10 % × 120,000 × split 80%</t>
        </is>
      </c>
    </row>
    <row r="546">
      <c r="A546" s="13" t="n">
        <v>545</v>
      </c>
      <c r="B546" s="14" t="n">
        <v>46436</v>
      </c>
      <c r="C546" s="15" t="n">
        <v>5</v>
      </c>
      <c r="D546" s="25" t="inlineStr">
        <is>
          <t>Payout</t>
        </is>
      </c>
      <c r="E546" s="13" t="inlineStr">
        <is>
          <t>Instant Funding</t>
        </is>
      </c>
      <c r="F546" s="13" t="inlineStr">
        <is>
          <t>#53 Instant-Direct 120k</t>
        </is>
      </c>
      <c r="G546" s="17" t="n">
        <v>120000</v>
      </c>
      <c r="H546" s="17" t="n">
        <v>9600</v>
      </c>
      <c r="I546" s="17" t="n">
        <v>416887.15</v>
      </c>
      <c r="J546" s="13" t="inlineStr">
        <is>
          <t>10 % × 120,000 × split 80%</t>
        </is>
      </c>
    </row>
    <row r="547">
      <c r="A547" s="19" t="n">
        <v>546</v>
      </c>
      <c r="B547" s="20" t="n">
        <v>46436</v>
      </c>
      <c r="C547" s="21" t="n">
        <v>5</v>
      </c>
      <c r="D547" s="25" t="inlineStr">
        <is>
          <t>Payout</t>
        </is>
      </c>
      <c r="E547" s="19" t="inlineStr">
        <is>
          <t>Instant Funding</t>
        </is>
      </c>
      <c r="F547" s="19" t="inlineStr">
        <is>
          <t>#54 Instant-Direct 120k</t>
        </is>
      </c>
      <c r="G547" s="22" t="n">
        <v>120000</v>
      </c>
      <c r="H547" s="22" t="n">
        <v>9600</v>
      </c>
      <c r="I547" s="22" t="n">
        <v>426487.15</v>
      </c>
      <c r="J547" s="19" t="inlineStr">
        <is>
          <t>10 % × 120,000 × split 80%</t>
        </is>
      </c>
    </row>
    <row r="548">
      <c r="A548" s="13" t="n">
        <v>547</v>
      </c>
      <c r="B548" s="14" t="n">
        <v>46436</v>
      </c>
      <c r="C548" s="15" t="n">
        <v>5</v>
      </c>
      <c r="D548" s="25" t="inlineStr">
        <is>
          <t>Payout</t>
        </is>
      </c>
      <c r="E548" s="13" t="inlineStr">
        <is>
          <t>Instant Funding</t>
        </is>
      </c>
      <c r="F548" s="13" t="inlineStr">
        <is>
          <t>#55 Instant-Direct 120k</t>
        </is>
      </c>
      <c r="G548" s="17" t="n">
        <v>120000</v>
      </c>
      <c r="H548" s="17" t="n">
        <v>9600</v>
      </c>
      <c r="I548" s="17" t="n">
        <v>436087.15</v>
      </c>
      <c r="J548" s="13" t="inlineStr">
        <is>
          <t>10 % × 120,000 × split 80%</t>
        </is>
      </c>
    </row>
    <row r="549">
      <c r="A549" s="19" t="n">
        <v>548</v>
      </c>
      <c r="B549" s="20" t="n">
        <v>46436</v>
      </c>
      <c r="C549" s="21" t="n">
        <v>5</v>
      </c>
      <c r="D549" s="25" t="inlineStr">
        <is>
          <t>Payout</t>
        </is>
      </c>
      <c r="E549" s="19" t="inlineStr">
        <is>
          <t>Kickstart Trading</t>
        </is>
      </c>
      <c r="F549" s="19" t="inlineStr">
        <is>
          <t>#56 Instant-Direct 100k</t>
        </is>
      </c>
      <c r="G549" s="22" t="n">
        <v>100000</v>
      </c>
      <c r="H549" s="22" t="n">
        <v>8000</v>
      </c>
      <c r="I549" s="22" t="n">
        <v>444087.15</v>
      </c>
      <c r="J549" s="19" t="inlineStr">
        <is>
          <t>10 % × 100,000 × split 80%</t>
        </is>
      </c>
    </row>
    <row r="550">
      <c r="A550" s="13" t="n">
        <v>549</v>
      </c>
      <c r="B550" s="14" t="n">
        <v>46436</v>
      </c>
      <c r="C550" s="15" t="n">
        <v>5</v>
      </c>
      <c r="D550" s="25" t="inlineStr">
        <is>
          <t>Payout</t>
        </is>
      </c>
      <c r="E550" s="13" t="inlineStr">
        <is>
          <t>Kickstart Trading</t>
        </is>
      </c>
      <c r="F550" s="13" t="inlineStr">
        <is>
          <t>#57 Instant-Direct 100k</t>
        </is>
      </c>
      <c r="G550" s="17" t="n">
        <v>100000</v>
      </c>
      <c r="H550" s="17" t="n">
        <v>8000</v>
      </c>
      <c r="I550" s="17" t="n">
        <v>452087.15</v>
      </c>
      <c r="J550" s="13" t="inlineStr">
        <is>
          <t>10 % × 100,000 × split 80%</t>
        </is>
      </c>
    </row>
    <row r="551">
      <c r="A551" s="19" t="n">
        <v>550</v>
      </c>
      <c r="B551" s="20" t="n">
        <v>46436</v>
      </c>
      <c r="C551" s="21" t="n">
        <v>5</v>
      </c>
      <c r="D551" s="25" t="inlineStr">
        <is>
          <t>Payout</t>
        </is>
      </c>
      <c r="E551" s="19" t="inlineStr">
        <is>
          <t>Kickstart Trading</t>
        </is>
      </c>
      <c r="F551" s="19" t="inlineStr">
        <is>
          <t>#58 Instant-Direct 100k</t>
        </is>
      </c>
      <c r="G551" s="22" t="n">
        <v>100000</v>
      </c>
      <c r="H551" s="22" t="n">
        <v>8000</v>
      </c>
      <c r="I551" s="22" t="n">
        <v>460087.15</v>
      </c>
      <c r="J551" s="19" t="inlineStr">
        <is>
          <t>10 % × 100,000 × split 80%</t>
        </is>
      </c>
    </row>
    <row r="552">
      <c r="A552" s="13" t="n">
        <v>551</v>
      </c>
      <c r="B552" s="14" t="n">
        <v>46436</v>
      </c>
      <c r="C552" s="15" t="n">
        <v>5</v>
      </c>
      <c r="D552" s="25" t="inlineStr">
        <is>
          <t>Payout</t>
        </is>
      </c>
      <c r="E552" s="13" t="inlineStr">
        <is>
          <t>Kickstart Trading</t>
        </is>
      </c>
      <c r="F552" s="13" t="inlineStr">
        <is>
          <t>#59 Instant-Direct 100k</t>
        </is>
      </c>
      <c r="G552" s="17" t="n">
        <v>100000</v>
      </c>
      <c r="H552" s="17" t="n">
        <v>8000</v>
      </c>
      <c r="I552" s="17" t="n">
        <v>468087.15</v>
      </c>
      <c r="J552" s="13" t="inlineStr">
        <is>
          <t>10 % × 100,000 × split 80%</t>
        </is>
      </c>
    </row>
    <row r="553">
      <c r="A553" s="19" t="n">
        <v>552</v>
      </c>
      <c r="B553" s="20" t="n">
        <v>46436</v>
      </c>
      <c r="C553" s="21" t="n">
        <v>5</v>
      </c>
      <c r="D553" s="25" t="inlineStr">
        <is>
          <t>Payout</t>
        </is>
      </c>
      <c r="E553" s="19" t="inlineStr">
        <is>
          <t>Kickstart Trading</t>
        </is>
      </c>
      <c r="F553" s="19" t="inlineStr">
        <is>
          <t>#60 Instant-Direct 100k</t>
        </is>
      </c>
      <c r="G553" s="22" t="n">
        <v>100000</v>
      </c>
      <c r="H553" s="22" t="n">
        <v>8000</v>
      </c>
      <c r="I553" s="22" t="n">
        <v>476087.15</v>
      </c>
      <c r="J553" s="19" t="inlineStr">
        <is>
          <t>10 % × 100,000 × split 80%</t>
        </is>
      </c>
    </row>
    <row r="554">
      <c r="A554" s="13" t="n">
        <v>553</v>
      </c>
      <c r="B554" s="14" t="n">
        <v>46436</v>
      </c>
      <c r="C554" s="15" t="n">
        <v>5</v>
      </c>
      <c r="D554" s="25" t="inlineStr">
        <is>
          <t>Payout</t>
        </is>
      </c>
      <c r="E554" s="13" t="inlineStr">
        <is>
          <t>Kickstart Trading</t>
        </is>
      </c>
      <c r="F554" s="13" t="inlineStr">
        <is>
          <t>#61 Instant-Direct 100k</t>
        </is>
      </c>
      <c r="G554" s="17" t="n">
        <v>100000</v>
      </c>
      <c r="H554" s="17" t="n">
        <v>8000</v>
      </c>
      <c r="I554" s="17" t="n">
        <v>484087.15</v>
      </c>
      <c r="J554" s="13" t="inlineStr">
        <is>
          <t>10 % × 100,000 × split 80%</t>
        </is>
      </c>
    </row>
    <row r="555">
      <c r="A555" s="19" t="n">
        <v>554</v>
      </c>
      <c r="B555" s="20" t="n">
        <v>46436</v>
      </c>
      <c r="C555" s="21" t="n">
        <v>5</v>
      </c>
      <c r="D555" s="25" t="inlineStr">
        <is>
          <t>Payout</t>
        </is>
      </c>
      <c r="E555" s="19" t="inlineStr">
        <is>
          <t>Kickstart Trading</t>
        </is>
      </c>
      <c r="F555" s="19" t="inlineStr">
        <is>
          <t>#62 Instant-Direct 100k</t>
        </is>
      </c>
      <c r="G555" s="22" t="n">
        <v>100000</v>
      </c>
      <c r="H555" s="22" t="n">
        <v>8000</v>
      </c>
      <c r="I555" s="22" t="n">
        <v>492087.15</v>
      </c>
      <c r="J555" s="19" t="inlineStr">
        <is>
          <t>10 % × 100,000 × split 80%</t>
        </is>
      </c>
    </row>
    <row r="556">
      <c r="A556" s="13" t="n">
        <v>555</v>
      </c>
      <c r="B556" s="14" t="n">
        <v>46436</v>
      </c>
      <c r="C556" s="15" t="n">
        <v>5</v>
      </c>
      <c r="D556" s="25" t="inlineStr">
        <is>
          <t>Payout</t>
        </is>
      </c>
      <c r="E556" s="13" t="inlineStr">
        <is>
          <t>Kickstart Trading</t>
        </is>
      </c>
      <c r="F556" s="13" t="inlineStr">
        <is>
          <t>#63 Instant-Direct 100k</t>
        </is>
      </c>
      <c r="G556" s="17" t="n">
        <v>100000</v>
      </c>
      <c r="H556" s="17" t="n">
        <v>8000</v>
      </c>
      <c r="I556" s="17" t="n">
        <v>500087.15</v>
      </c>
      <c r="J556" s="13" t="inlineStr">
        <is>
          <t>10 % × 100,000 × split 80%</t>
        </is>
      </c>
    </row>
    <row r="557">
      <c r="A557" s="19" t="n">
        <v>556</v>
      </c>
      <c r="B557" s="20" t="n">
        <v>46436</v>
      </c>
      <c r="C557" s="21" t="n">
        <v>5</v>
      </c>
      <c r="D557" s="25" t="inlineStr">
        <is>
          <t>Payout</t>
        </is>
      </c>
      <c r="E557" s="19" t="inlineStr">
        <is>
          <t>Kickstart Trading</t>
        </is>
      </c>
      <c r="F557" s="19" t="inlineStr">
        <is>
          <t>#64 Instant-Direct 100k</t>
        </is>
      </c>
      <c r="G557" s="22" t="n">
        <v>100000</v>
      </c>
      <c r="H557" s="22" t="n">
        <v>8000</v>
      </c>
      <c r="I557" s="22" t="n">
        <v>508087.15</v>
      </c>
      <c r="J557" s="19" t="inlineStr">
        <is>
          <t>10 % × 100,000 × split 80%</t>
        </is>
      </c>
    </row>
    <row r="558">
      <c r="A558" s="13" t="n">
        <v>557</v>
      </c>
      <c r="B558" s="14" t="n">
        <v>46436</v>
      </c>
      <c r="C558" s="15" t="n">
        <v>5</v>
      </c>
      <c r="D558" s="25" t="inlineStr">
        <is>
          <t>Payout</t>
        </is>
      </c>
      <c r="E558" s="13" t="inlineStr">
        <is>
          <t>Kickstart Trading</t>
        </is>
      </c>
      <c r="F558" s="13" t="inlineStr">
        <is>
          <t>#65 Instant-Direct 100k</t>
        </is>
      </c>
      <c r="G558" s="17" t="n">
        <v>100000</v>
      </c>
      <c r="H558" s="17" t="n">
        <v>8000</v>
      </c>
      <c r="I558" s="17" t="n">
        <v>516087.15</v>
      </c>
      <c r="J558" s="13" t="inlineStr">
        <is>
          <t>10 % × 100,000 × split 80%</t>
        </is>
      </c>
    </row>
    <row r="559">
      <c r="A559" s="19" t="n">
        <v>558</v>
      </c>
      <c r="B559" s="20" t="n">
        <v>46436</v>
      </c>
      <c r="C559" s="21" t="n">
        <v>5</v>
      </c>
      <c r="D559" s="25" t="inlineStr">
        <is>
          <t>Payout</t>
        </is>
      </c>
      <c r="E559" s="19" t="inlineStr">
        <is>
          <t>Audacity Capital</t>
        </is>
      </c>
      <c r="F559" s="19" t="inlineStr">
        <is>
          <t>#66 Instant-Direct 50k</t>
        </is>
      </c>
      <c r="G559" s="22" t="n">
        <v>50000</v>
      </c>
      <c r="H559" s="22" t="n">
        <v>4500</v>
      </c>
      <c r="I559" s="22" t="n">
        <v>520587.15</v>
      </c>
      <c r="J559" s="19" t="inlineStr">
        <is>
          <t>10 % × 50,000 × split 90%</t>
        </is>
      </c>
    </row>
    <row r="560">
      <c r="A560" s="13" t="n">
        <v>559</v>
      </c>
      <c r="B560" s="14" t="n">
        <v>46436</v>
      </c>
      <c r="C560" s="15" t="n">
        <v>5</v>
      </c>
      <c r="D560" s="25" t="inlineStr">
        <is>
          <t>Payout</t>
        </is>
      </c>
      <c r="E560" s="13" t="inlineStr">
        <is>
          <t>Audacity Capital</t>
        </is>
      </c>
      <c r="F560" s="13" t="inlineStr">
        <is>
          <t>#67 Instant-Direct 50k</t>
        </is>
      </c>
      <c r="G560" s="17" t="n">
        <v>50000</v>
      </c>
      <c r="H560" s="17" t="n">
        <v>4500</v>
      </c>
      <c r="I560" s="17" t="n">
        <v>525087.15</v>
      </c>
      <c r="J560" s="13" t="inlineStr">
        <is>
          <t>10 % × 50,000 × split 90%</t>
        </is>
      </c>
    </row>
    <row r="561">
      <c r="A561" s="19" t="n">
        <v>560</v>
      </c>
      <c r="B561" s="20" t="n">
        <v>46436</v>
      </c>
      <c r="C561" s="21" t="n">
        <v>5</v>
      </c>
      <c r="D561" s="25" t="inlineStr">
        <is>
          <t>Payout</t>
        </is>
      </c>
      <c r="E561" s="19" t="inlineStr">
        <is>
          <t>Audacity Capital</t>
        </is>
      </c>
      <c r="F561" s="19" t="inlineStr">
        <is>
          <t>#68 Instant-Direct 50k</t>
        </is>
      </c>
      <c r="G561" s="22" t="n">
        <v>50000</v>
      </c>
      <c r="H561" s="22" t="n">
        <v>4500</v>
      </c>
      <c r="I561" s="22" t="n">
        <v>529587.15</v>
      </c>
      <c r="J561" s="19" t="inlineStr">
        <is>
          <t>10 % × 50,000 × split 90%</t>
        </is>
      </c>
    </row>
    <row r="562">
      <c r="A562" s="13" t="n">
        <v>561</v>
      </c>
      <c r="B562" s="14" t="n">
        <v>46436</v>
      </c>
      <c r="C562" s="15" t="n">
        <v>5</v>
      </c>
      <c r="D562" s="25" t="inlineStr">
        <is>
          <t>Payout</t>
        </is>
      </c>
      <c r="E562" s="13" t="inlineStr">
        <is>
          <t>Audacity Capital</t>
        </is>
      </c>
      <c r="F562" s="13" t="inlineStr">
        <is>
          <t>#69 Instant-Direct 50k</t>
        </is>
      </c>
      <c r="G562" s="17" t="n">
        <v>50000</v>
      </c>
      <c r="H562" s="17" t="n">
        <v>4500</v>
      </c>
      <c r="I562" s="17" t="n">
        <v>534087.15</v>
      </c>
      <c r="J562" s="13" t="inlineStr">
        <is>
          <t>10 % × 50,000 × split 90%</t>
        </is>
      </c>
    </row>
    <row r="563">
      <c r="A563" s="19" t="n">
        <v>562</v>
      </c>
      <c r="B563" s="20" t="n">
        <v>46436</v>
      </c>
      <c r="C563" s="21" t="n">
        <v>5</v>
      </c>
      <c r="D563" s="25" t="inlineStr">
        <is>
          <t>Payout</t>
        </is>
      </c>
      <c r="E563" s="19" t="inlineStr">
        <is>
          <t>Audacity Capital</t>
        </is>
      </c>
      <c r="F563" s="19" t="inlineStr">
        <is>
          <t>#70 Instant-Direct 50k</t>
        </is>
      </c>
      <c r="G563" s="22" t="n">
        <v>50000</v>
      </c>
      <c r="H563" s="22" t="n">
        <v>4500</v>
      </c>
      <c r="I563" s="22" t="n">
        <v>538587.15</v>
      </c>
      <c r="J563" s="19" t="inlineStr">
        <is>
          <t>10 % × 50,000 × split 90%</t>
        </is>
      </c>
    </row>
    <row r="564">
      <c r="A564" s="13" t="n">
        <v>563</v>
      </c>
      <c r="B564" s="14" t="n">
        <v>46436</v>
      </c>
      <c r="C564" s="15" t="n">
        <v>5</v>
      </c>
      <c r="D564" s="25" t="inlineStr">
        <is>
          <t>Payout</t>
        </is>
      </c>
      <c r="E564" s="13" t="inlineStr">
        <is>
          <t>Audacity Capital</t>
        </is>
      </c>
      <c r="F564" s="13" t="inlineStr">
        <is>
          <t>#71 Instant-Direct 50k</t>
        </is>
      </c>
      <c r="G564" s="17" t="n">
        <v>50000</v>
      </c>
      <c r="H564" s="17" t="n">
        <v>4500</v>
      </c>
      <c r="I564" s="17" t="n">
        <v>543087.15</v>
      </c>
      <c r="J564" s="13" t="inlineStr">
        <is>
          <t>10 % × 50,000 × split 90%</t>
        </is>
      </c>
    </row>
    <row r="565">
      <c r="A565" s="19" t="n">
        <v>564</v>
      </c>
      <c r="B565" s="20" t="n">
        <v>46436</v>
      </c>
      <c r="C565" s="21" t="n">
        <v>5</v>
      </c>
      <c r="D565" s="25" t="inlineStr">
        <is>
          <t>Payout</t>
        </is>
      </c>
      <c r="E565" s="19" t="inlineStr">
        <is>
          <t>Audacity Capital</t>
        </is>
      </c>
      <c r="F565" s="19" t="inlineStr">
        <is>
          <t>#72 Instant-Direct 50k</t>
        </is>
      </c>
      <c r="G565" s="22" t="n">
        <v>50000</v>
      </c>
      <c r="H565" s="22" t="n">
        <v>4500</v>
      </c>
      <c r="I565" s="22" t="n">
        <v>547587.15</v>
      </c>
      <c r="J565" s="19" t="inlineStr">
        <is>
          <t>10 % × 50,000 × split 90%</t>
        </is>
      </c>
    </row>
    <row r="566">
      <c r="A566" s="13" t="n">
        <v>565</v>
      </c>
      <c r="B566" s="14" t="n">
        <v>46436</v>
      </c>
      <c r="C566" s="15" t="n">
        <v>5</v>
      </c>
      <c r="D566" s="25" t="inlineStr">
        <is>
          <t>Payout</t>
        </is>
      </c>
      <c r="E566" s="13" t="inlineStr">
        <is>
          <t>Audacity Capital</t>
        </is>
      </c>
      <c r="F566" s="13" t="inlineStr">
        <is>
          <t>#73 Instant-Direct 50k</t>
        </is>
      </c>
      <c r="G566" s="17" t="n">
        <v>50000</v>
      </c>
      <c r="H566" s="17" t="n">
        <v>4500</v>
      </c>
      <c r="I566" s="17" t="n">
        <v>552087.15</v>
      </c>
      <c r="J566" s="13" t="inlineStr">
        <is>
          <t>10 % × 50,000 × split 90%</t>
        </is>
      </c>
    </row>
    <row r="567">
      <c r="A567" s="19" t="n">
        <v>566</v>
      </c>
      <c r="B567" s="20" t="n">
        <v>46436</v>
      </c>
      <c r="C567" s="21" t="n">
        <v>5</v>
      </c>
      <c r="D567" s="25" t="inlineStr">
        <is>
          <t>Payout</t>
        </is>
      </c>
      <c r="E567" s="19" t="inlineStr">
        <is>
          <t>Audacity Capital</t>
        </is>
      </c>
      <c r="F567" s="19" t="inlineStr">
        <is>
          <t>#74 Instant-Direct 50k</t>
        </is>
      </c>
      <c r="G567" s="22" t="n">
        <v>50000</v>
      </c>
      <c r="H567" s="22" t="n">
        <v>4500</v>
      </c>
      <c r="I567" s="22" t="n">
        <v>556587.15</v>
      </c>
      <c r="J567" s="19" t="inlineStr">
        <is>
          <t>10 % × 50,000 × split 90%</t>
        </is>
      </c>
    </row>
    <row r="568">
      <c r="A568" s="13" t="n">
        <v>567</v>
      </c>
      <c r="B568" s="14" t="n">
        <v>46436</v>
      </c>
      <c r="C568" s="15" t="n">
        <v>5</v>
      </c>
      <c r="D568" s="25" t="inlineStr">
        <is>
          <t>Payout</t>
        </is>
      </c>
      <c r="E568" s="13" t="inlineStr">
        <is>
          <t>Audacity Capital</t>
        </is>
      </c>
      <c r="F568" s="13" t="inlineStr">
        <is>
          <t>#75 Instant-Direct 50k</t>
        </is>
      </c>
      <c r="G568" s="17" t="n">
        <v>50000</v>
      </c>
      <c r="H568" s="17" t="n">
        <v>4500</v>
      </c>
      <c r="I568" s="17" t="n">
        <v>561087.15</v>
      </c>
      <c r="J568" s="13" t="inlineStr">
        <is>
          <t>10 % × 50,000 × split 90%</t>
        </is>
      </c>
    </row>
    <row r="569">
      <c r="A569" s="19" t="n">
        <v>568</v>
      </c>
      <c r="B569" s="20" t="n">
        <v>46436</v>
      </c>
      <c r="C569" s="21" t="n">
        <v>5</v>
      </c>
      <c r="D569" s="25" t="inlineStr">
        <is>
          <t>Payout</t>
        </is>
      </c>
      <c r="E569" s="19" t="inlineStr">
        <is>
          <t>Audacity Capital</t>
        </is>
      </c>
      <c r="F569" s="19" t="inlineStr">
        <is>
          <t>#76 Instant-Direct 50k</t>
        </is>
      </c>
      <c r="G569" s="22" t="n">
        <v>50000</v>
      </c>
      <c r="H569" s="22" t="n">
        <v>4500</v>
      </c>
      <c r="I569" s="22" t="n">
        <v>565587.15</v>
      </c>
      <c r="J569" s="19" t="inlineStr">
        <is>
          <t>10 % × 50,000 × split 90%</t>
        </is>
      </c>
    </row>
    <row r="570">
      <c r="A570" s="13" t="n">
        <v>569</v>
      </c>
      <c r="B570" s="14" t="n">
        <v>46436</v>
      </c>
      <c r="C570" s="15" t="n">
        <v>5</v>
      </c>
      <c r="D570" s="25" t="inlineStr">
        <is>
          <t>Payout</t>
        </is>
      </c>
      <c r="E570" s="13" t="inlineStr">
        <is>
          <t>Audacity Capital</t>
        </is>
      </c>
      <c r="F570" s="13" t="inlineStr">
        <is>
          <t>#77 Instant-Direct 50k</t>
        </is>
      </c>
      <c r="G570" s="17" t="n">
        <v>50000</v>
      </c>
      <c r="H570" s="17" t="n">
        <v>4500</v>
      </c>
      <c r="I570" s="17" t="n">
        <v>570087.15</v>
      </c>
      <c r="J570" s="13" t="inlineStr">
        <is>
          <t>10 % × 50,000 × split 90%</t>
        </is>
      </c>
    </row>
    <row r="571">
      <c r="A571" s="19" t="n">
        <v>570</v>
      </c>
      <c r="B571" s="20" t="n">
        <v>46436</v>
      </c>
      <c r="C571" s="21" t="n">
        <v>5</v>
      </c>
      <c r="D571" s="25" t="inlineStr">
        <is>
          <t>Payout</t>
        </is>
      </c>
      <c r="E571" s="19" t="inlineStr">
        <is>
          <t>Audacity Capital</t>
        </is>
      </c>
      <c r="F571" s="19" t="inlineStr">
        <is>
          <t>#78 Instant-Direct 50k</t>
        </is>
      </c>
      <c r="G571" s="22" t="n">
        <v>50000</v>
      </c>
      <c r="H571" s="22" t="n">
        <v>4500</v>
      </c>
      <c r="I571" s="22" t="n">
        <v>574587.15</v>
      </c>
      <c r="J571" s="19" t="inlineStr">
        <is>
          <t>10 % × 50,000 × split 90%</t>
        </is>
      </c>
    </row>
    <row r="572">
      <c r="A572" s="13" t="n">
        <v>571</v>
      </c>
      <c r="B572" s="14" t="n">
        <v>46436</v>
      </c>
      <c r="C572" s="15" t="n">
        <v>5</v>
      </c>
      <c r="D572" s="25" t="inlineStr">
        <is>
          <t>Payout</t>
        </is>
      </c>
      <c r="E572" s="13" t="inlineStr">
        <is>
          <t>Fill88</t>
        </is>
      </c>
      <c r="F572" s="13" t="inlineStr">
        <is>
          <t>#79 Instant-Direct 100k</t>
        </is>
      </c>
      <c r="G572" s="17" t="n">
        <v>100000</v>
      </c>
      <c r="H572" s="17" t="n">
        <v>8000</v>
      </c>
      <c r="I572" s="17" t="n">
        <v>582587.15</v>
      </c>
      <c r="J572" s="13" t="inlineStr">
        <is>
          <t>10 % × 100,000 × split 80%</t>
        </is>
      </c>
    </row>
    <row r="573">
      <c r="A573" s="19" t="n">
        <v>572</v>
      </c>
      <c r="B573" s="20" t="n">
        <v>46436</v>
      </c>
      <c r="C573" s="21" t="n">
        <v>5</v>
      </c>
      <c r="D573" s="25" t="inlineStr">
        <is>
          <t>Payout</t>
        </is>
      </c>
      <c r="E573" s="19" t="inlineStr">
        <is>
          <t>Fill88</t>
        </is>
      </c>
      <c r="F573" s="19" t="inlineStr">
        <is>
          <t>#80 Instant-Direct 100k</t>
        </is>
      </c>
      <c r="G573" s="22" t="n">
        <v>100000</v>
      </c>
      <c r="H573" s="22" t="n">
        <v>8000</v>
      </c>
      <c r="I573" s="22" t="n">
        <v>590587.15</v>
      </c>
      <c r="J573" s="19" t="inlineStr">
        <is>
          <t>10 % × 100,000 × split 80%</t>
        </is>
      </c>
    </row>
    <row r="574">
      <c r="A574" s="13" t="n">
        <v>573</v>
      </c>
      <c r="B574" s="14" t="n">
        <v>46436</v>
      </c>
      <c r="C574" s="15" t="n">
        <v>5</v>
      </c>
      <c r="D574" s="25" t="inlineStr">
        <is>
          <t>Payout</t>
        </is>
      </c>
      <c r="E574" s="13" t="inlineStr">
        <is>
          <t>Fill88</t>
        </is>
      </c>
      <c r="F574" s="13" t="inlineStr">
        <is>
          <t>#81 Instant-Direct 100k</t>
        </is>
      </c>
      <c r="G574" s="17" t="n">
        <v>100000</v>
      </c>
      <c r="H574" s="17" t="n">
        <v>8000</v>
      </c>
      <c r="I574" s="17" t="n">
        <v>598587.15</v>
      </c>
      <c r="J574" s="13" t="inlineStr">
        <is>
          <t>10 % × 100,000 × split 80%</t>
        </is>
      </c>
    </row>
    <row r="575">
      <c r="A575" s="19" t="n">
        <v>574</v>
      </c>
      <c r="B575" s="20" t="n">
        <v>46436</v>
      </c>
      <c r="C575" s="21" t="n">
        <v>5</v>
      </c>
      <c r="D575" s="25" t="inlineStr">
        <is>
          <t>Payout</t>
        </is>
      </c>
      <c r="E575" s="19" t="inlineStr">
        <is>
          <t>Fill88</t>
        </is>
      </c>
      <c r="F575" s="19" t="inlineStr">
        <is>
          <t>#82 Instant-Direct 100k</t>
        </is>
      </c>
      <c r="G575" s="22" t="n">
        <v>100000</v>
      </c>
      <c r="H575" s="22" t="n">
        <v>8000</v>
      </c>
      <c r="I575" s="22" t="n">
        <v>606587.15</v>
      </c>
      <c r="J575" s="19" t="inlineStr">
        <is>
          <t>10 % × 100,000 × split 80%</t>
        </is>
      </c>
    </row>
    <row r="576">
      <c r="A576" s="13" t="n">
        <v>575</v>
      </c>
      <c r="B576" s="14" t="n">
        <v>46436</v>
      </c>
      <c r="C576" s="15" t="n">
        <v>5</v>
      </c>
      <c r="D576" s="25" t="inlineStr">
        <is>
          <t>Payout</t>
        </is>
      </c>
      <c r="E576" s="13" t="inlineStr">
        <is>
          <t>Fill88</t>
        </is>
      </c>
      <c r="F576" s="13" t="inlineStr">
        <is>
          <t>#83 Instant-Direct 100k</t>
        </is>
      </c>
      <c r="G576" s="17" t="n">
        <v>100000</v>
      </c>
      <c r="H576" s="17" t="n">
        <v>8000</v>
      </c>
      <c r="I576" s="17" t="n">
        <v>614587.15</v>
      </c>
      <c r="J576" s="13" t="inlineStr">
        <is>
          <t>10 % × 100,000 × split 80%</t>
        </is>
      </c>
    </row>
    <row r="577">
      <c r="A577" s="19" t="n">
        <v>576</v>
      </c>
      <c r="B577" s="20" t="n">
        <v>46436</v>
      </c>
      <c r="C577" s="21" t="n">
        <v>5</v>
      </c>
      <c r="D577" s="25" t="inlineStr">
        <is>
          <t>Payout</t>
        </is>
      </c>
      <c r="E577" s="19" t="inlineStr">
        <is>
          <t>Fill88</t>
        </is>
      </c>
      <c r="F577" s="19" t="inlineStr">
        <is>
          <t>#84 Instant-Direct 100k</t>
        </is>
      </c>
      <c r="G577" s="22" t="n">
        <v>100000</v>
      </c>
      <c r="H577" s="22" t="n">
        <v>8000</v>
      </c>
      <c r="I577" s="22" t="n">
        <v>622587.15</v>
      </c>
      <c r="J577" s="19" t="inlineStr">
        <is>
          <t>10 % × 100,000 × split 80%</t>
        </is>
      </c>
    </row>
    <row r="578">
      <c r="A578" s="13" t="n">
        <v>577</v>
      </c>
      <c r="B578" s="14" t="n">
        <v>46436</v>
      </c>
      <c r="C578" s="15" t="n">
        <v>5</v>
      </c>
      <c r="D578" s="25" t="inlineStr">
        <is>
          <t>Payout</t>
        </is>
      </c>
      <c r="E578" s="13" t="inlineStr">
        <is>
          <t>Finotive Funding</t>
        </is>
      </c>
      <c r="F578" s="13" t="inlineStr">
        <is>
          <t>#85 Instant-Direct 100k</t>
        </is>
      </c>
      <c r="G578" s="17" t="n">
        <v>100000</v>
      </c>
      <c r="H578" s="17" t="n">
        <v>7500</v>
      </c>
      <c r="I578" s="17" t="n">
        <v>630087.15</v>
      </c>
      <c r="J578" s="13" t="inlineStr">
        <is>
          <t>10 % × 100,000 × split 75%</t>
        </is>
      </c>
    </row>
    <row r="579">
      <c r="A579" s="19" t="n">
        <v>578</v>
      </c>
      <c r="B579" s="20" t="n">
        <v>46436</v>
      </c>
      <c r="C579" s="21" t="n">
        <v>5</v>
      </c>
      <c r="D579" s="25" t="inlineStr">
        <is>
          <t>Payout</t>
        </is>
      </c>
      <c r="E579" s="19" t="inlineStr">
        <is>
          <t>Finotive Funding</t>
        </is>
      </c>
      <c r="F579" s="19" t="inlineStr">
        <is>
          <t>#86 Instant-Direct 100k</t>
        </is>
      </c>
      <c r="G579" s="22" t="n">
        <v>100000</v>
      </c>
      <c r="H579" s="22" t="n">
        <v>7500</v>
      </c>
      <c r="I579" s="22" t="n">
        <v>637587.15</v>
      </c>
      <c r="J579" s="19" t="inlineStr">
        <is>
          <t>10 % × 100,000 × split 75%</t>
        </is>
      </c>
    </row>
    <row r="580">
      <c r="A580" s="13" t="n">
        <v>579</v>
      </c>
      <c r="B580" s="14" t="n">
        <v>46436</v>
      </c>
      <c r="C580" s="15" t="n">
        <v>5</v>
      </c>
      <c r="D580" s="25" t="inlineStr">
        <is>
          <t>Payout</t>
        </is>
      </c>
      <c r="E580" s="13" t="inlineStr">
        <is>
          <t>Finotive Funding</t>
        </is>
      </c>
      <c r="F580" s="13" t="inlineStr">
        <is>
          <t>#87 Instant-Direct 100k</t>
        </is>
      </c>
      <c r="G580" s="17" t="n">
        <v>100000</v>
      </c>
      <c r="H580" s="17" t="n">
        <v>7500</v>
      </c>
      <c r="I580" s="17" t="n">
        <v>645087.15</v>
      </c>
      <c r="J580" s="13" t="inlineStr">
        <is>
          <t>10 % × 100,000 × split 75%</t>
        </is>
      </c>
    </row>
    <row r="581">
      <c r="A581" s="19" t="n">
        <v>580</v>
      </c>
      <c r="B581" s="20" t="n">
        <v>46436</v>
      </c>
      <c r="C581" s="21" t="n">
        <v>5</v>
      </c>
      <c r="D581" s="25" t="inlineStr">
        <is>
          <t>Payout</t>
        </is>
      </c>
      <c r="E581" s="19" t="inlineStr">
        <is>
          <t>Finotive Funding</t>
        </is>
      </c>
      <c r="F581" s="19" t="inlineStr">
        <is>
          <t>#88 Instant-Direct 100k</t>
        </is>
      </c>
      <c r="G581" s="22" t="n">
        <v>100000</v>
      </c>
      <c r="H581" s="22" t="n">
        <v>7500</v>
      </c>
      <c r="I581" s="22" t="n">
        <v>652587.15</v>
      </c>
      <c r="J581" s="19" t="inlineStr">
        <is>
          <t>10 % × 100,000 × split 75%</t>
        </is>
      </c>
    </row>
    <row r="582">
      <c r="A582" s="13" t="n">
        <v>581</v>
      </c>
      <c r="B582" s="14" t="n">
        <v>46436</v>
      </c>
      <c r="C582" s="15" t="n">
        <v>5</v>
      </c>
      <c r="D582" s="25" t="inlineStr">
        <is>
          <t>Payout</t>
        </is>
      </c>
      <c r="E582" s="13" t="inlineStr">
        <is>
          <t>Finotive Funding</t>
        </is>
      </c>
      <c r="F582" s="13" t="inlineStr">
        <is>
          <t>#89 Instant-Direct 100k</t>
        </is>
      </c>
      <c r="G582" s="17" t="n">
        <v>100000</v>
      </c>
      <c r="H582" s="17" t="n">
        <v>7500</v>
      </c>
      <c r="I582" s="17" t="n">
        <v>660087.15</v>
      </c>
      <c r="J582" s="13" t="inlineStr">
        <is>
          <t>10 % × 100,000 × split 75%</t>
        </is>
      </c>
    </row>
    <row r="583">
      <c r="A583" s="19" t="n">
        <v>582</v>
      </c>
      <c r="B583" s="20" t="n">
        <v>46436</v>
      </c>
      <c r="C583" s="21" t="n">
        <v>5</v>
      </c>
      <c r="D583" s="25" t="inlineStr">
        <is>
          <t>Payout</t>
        </is>
      </c>
      <c r="E583" s="19" t="inlineStr">
        <is>
          <t>Finotive Funding</t>
        </is>
      </c>
      <c r="F583" s="19" t="inlineStr">
        <is>
          <t>#90 Instant-Direct 100k</t>
        </is>
      </c>
      <c r="G583" s="22" t="n">
        <v>100000</v>
      </c>
      <c r="H583" s="22" t="n">
        <v>7500</v>
      </c>
      <c r="I583" s="22" t="n">
        <v>667587.15</v>
      </c>
      <c r="J583" s="19" t="inlineStr">
        <is>
          <t>10 % × 100,000 × split 75%</t>
        </is>
      </c>
    </row>
    <row r="584">
      <c r="A584" s="13" t="n">
        <v>583</v>
      </c>
      <c r="B584" s="14" t="n">
        <v>46436</v>
      </c>
      <c r="C584" s="15" t="n">
        <v>5</v>
      </c>
      <c r="D584" s="25" t="inlineStr">
        <is>
          <t>Payout</t>
        </is>
      </c>
      <c r="E584" s="13" t="inlineStr">
        <is>
          <t>FNC Funding</t>
        </is>
      </c>
      <c r="F584" s="13" t="inlineStr">
        <is>
          <t>#91 Instant-Direct 100k</t>
        </is>
      </c>
      <c r="G584" s="17" t="n">
        <v>100000</v>
      </c>
      <c r="H584" s="17" t="n">
        <v>7500</v>
      </c>
      <c r="I584" s="17" t="n">
        <v>675087.15</v>
      </c>
      <c r="J584" s="13" t="inlineStr">
        <is>
          <t>10 % × 100,000 × split 75%</t>
        </is>
      </c>
    </row>
    <row r="585">
      <c r="A585" s="19" t="n">
        <v>584</v>
      </c>
      <c r="B585" s="20" t="n">
        <v>46436</v>
      </c>
      <c r="C585" s="21" t="n">
        <v>5</v>
      </c>
      <c r="D585" s="25" t="inlineStr">
        <is>
          <t>Payout</t>
        </is>
      </c>
      <c r="E585" s="19" t="inlineStr">
        <is>
          <t>FNC Funding</t>
        </is>
      </c>
      <c r="F585" s="19" t="inlineStr">
        <is>
          <t>#92 Instant-Direct 100k</t>
        </is>
      </c>
      <c r="G585" s="22" t="n">
        <v>100000</v>
      </c>
      <c r="H585" s="22" t="n">
        <v>7500</v>
      </c>
      <c r="I585" s="22" t="n">
        <v>682587.15</v>
      </c>
      <c r="J585" s="19" t="inlineStr">
        <is>
          <t>10 % × 100,000 × split 75%</t>
        </is>
      </c>
    </row>
    <row r="586">
      <c r="A586" s="13" t="n">
        <v>585</v>
      </c>
      <c r="B586" s="14" t="n">
        <v>46436</v>
      </c>
      <c r="C586" s="15" t="n">
        <v>5</v>
      </c>
      <c r="D586" s="25" t="inlineStr">
        <is>
          <t>Payout</t>
        </is>
      </c>
      <c r="E586" s="13" t="inlineStr">
        <is>
          <t>FNC Funding</t>
        </is>
      </c>
      <c r="F586" s="13" t="inlineStr">
        <is>
          <t>#93 Instant-Direct 100k</t>
        </is>
      </c>
      <c r="G586" s="17" t="n">
        <v>100000</v>
      </c>
      <c r="H586" s="17" t="n">
        <v>7500</v>
      </c>
      <c r="I586" s="17" t="n">
        <v>690087.15</v>
      </c>
      <c r="J586" s="13" t="inlineStr">
        <is>
          <t>10 % × 100,000 × split 75%</t>
        </is>
      </c>
    </row>
    <row r="587">
      <c r="A587" s="19" t="n">
        <v>586</v>
      </c>
      <c r="B587" s="20" t="n">
        <v>46436</v>
      </c>
      <c r="C587" s="21" t="n">
        <v>5</v>
      </c>
      <c r="D587" s="25" t="inlineStr">
        <is>
          <t>Payout</t>
        </is>
      </c>
      <c r="E587" s="19" t="inlineStr">
        <is>
          <t>FNC Funding</t>
        </is>
      </c>
      <c r="F587" s="19" t="inlineStr">
        <is>
          <t>#94 Instant-Direct 100k</t>
        </is>
      </c>
      <c r="G587" s="22" t="n">
        <v>100000</v>
      </c>
      <c r="H587" s="22" t="n">
        <v>7500</v>
      </c>
      <c r="I587" s="22" t="n">
        <v>697587.15</v>
      </c>
      <c r="J587" s="19" t="inlineStr">
        <is>
          <t>10 % × 100,000 × split 75%</t>
        </is>
      </c>
    </row>
    <row r="588">
      <c r="A588" s="13" t="n">
        <v>587</v>
      </c>
      <c r="B588" s="14" t="n">
        <v>46436</v>
      </c>
      <c r="C588" s="15" t="n">
        <v>5</v>
      </c>
      <c r="D588" s="25" t="inlineStr">
        <is>
          <t>Payout</t>
        </is>
      </c>
      <c r="E588" s="13" t="inlineStr">
        <is>
          <t>FNC Funding</t>
        </is>
      </c>
      <c r="F588" s="13" t="inlineStr">
        <is>
          <t>#95 Instant-Direct 100k</t>
        </is>
      </c>
      <c r="G588" s="17" t="n">
        <v>100000</v>
      </c>
      <c r="H588" s="17" t="n">
        <v>7500</v>
      </c>
      <c r="I588" s="17" t="n">
        <v>705087.15</v>
      </c>
      <c r="J588" s="13" t="inlineStr">
        <is>
          <t>10 % × 100,000 × split 75%</t>
        </is>
      </c>
    </row>
    <row r="589">
      <c r="A589" s="19" t="n">
        <v>588</v>
      </c>
      <c r="B589" s="20" t="n">
        <v>46436</v>
      </c>
      <c r="C589" s="21" t="n">
        <v>5</v>
      </c>
      <c r="D589" s="25" t="inlineStr">
        <is>
          <t>Payout</t>
        </is>
      </c>
      <c r="E589" s="19" t="inlineStr">
        <is>
          <t>Funding Traders</t>
        </is>
      </c>
      <c r="F589" s="19" t="inlineStr">
        <is>
          <t>#96 Instant-Direct 400k</t>
        </is>
      </c>
      <c r="G589" s="22" t="n">
        <v>400000</v>
      </c>
      <c r="H589" s="22" t="n">
        <v>40000</v>
      </c>
      <c r="I589" s="22" t="n">
        <v>745087.15</v>
      </c>
      <c r="J589" s="19" t="inlineStr">
        <is>
          <t>10 % × 400,000 × split 100%</t>
        </is>
      </c>
    </row>
    <row r="590">
      <c r="A590" s="13" t="n">
        <v>589</v>
      </c>
      <c r="B590" s="14" t="n">
        <v>46436</v>
      </c>
      <c r="C590" s="15" t="n">
        <v>5</v>
      </c>
      <c r="D590" s="25" t="inlineStr">
        <is>
          <t>Payout</t>
        </is>
      </c>
      <c r="E590" s="13" t="inlineStr">
        <is>
          <t>Ifunds</t>
        </is>
      </c>
      <c r="F590" s="13" t="inlineStr">
        <is>
          <t>#97 Instant-Direct 500k</t>
        </is>
      </c>
      <c r="G590" s="17" t="n">
        <v>500000</v>
      </c>
      <c r="H590" s="17" t="n">
        <v>40000</v>
      </c>
      <c r="I590" s="17" t="n">
        <v>785087.15</v>
      </c>
      <c r="J590" s="13" t="inlineStr">
        <is>
          <t>10 % × 500,000 × split 80%</t>
        </is>
      </c>
    </row>
    <row r="591">
      <c r="A591" s="19" t="n">
        <v>590</v>
      </c>
      <c r="B591" s="20" t="n">
        <v>46436</v>
      </c>
      <c r="C591" s="21" t="n">
        <v>5</v>
      </c>
      <c r="D591" s="25" t="inlineStr">
        <is>
          <t>Payout</t>
        </is>
      </c>
      <c r="E591" s="19" t="inlineStr">
        <is>
          <t>Alpine Funded</t>
        </is>
      </c>
      <c r="F591" s="19" t="inlineStr">
        <is>
          <t>#98 Instant-Direct 200k</t>
        </is>
      </c>
      <c r="G591" s="22" t="n">
        <v>200000</v>
      </c>
      <c r="H591" s="22" t="n">
        <v>20000</v>
      </c>
      <c r="I591" s="22" t="n">
        <v>805087.15</v>
      </c>
      <c r="J591" s="19" t="inlineStr">
        <is>
          <t>10 % × 200,000 × split 100%</t>
        </is>
      </c>
    </row>
    <row r="592">
      <c r="A592" s="13" t="n">
        <v>591</v>
      </c>
      <c r="B592" s="14" t="n">
        <v>46436</v>
      </c>
      <c r="C592" s="15" t="n">
        <v>5</v>
      </c>
      <c r="D592" s="25" t="inlineStr">
        <is>
          <t>Payout</t>
        </is>
      </c>
      <c r="E592" s="13" t="inlineStr">
        <is>
          <t>Alpine Funded</t>
        </is>
      </c>
      <c r="F592" s="13" t="inlineStr">
        <is>
          <t>#99 Instant-Direct 200k</t>
        </is>
      </c>
      <c r="G592" s="17" t="n">
        <v>200000</v>
      </c>
      <c r="H592" s="17" t="n">
        <v>20000</v>
      </c>
      <c r="I592" s="17" t="n">
        <v>825087.15</v>
      </c>
      <c r="J592" s="13" t="inlineStr">
        <is>
          <t>10 % × 200,000 × split 100%</t>
        </is>
      </c>
    </row>
    <row r="593">
      <c r="A593" s="19" t="n">
        <v>592</v>
      </c>
      <c r="B593" s="20" t="n">
        <v>46436</v>
      </c>
      <c r="C593" s="21" t="n">
        <v>5</v>
      </c>
      <c r="D593" s="25" t="inlineStr">
        <is>
          <t>Payout</t>
        </is>
      </c>
      <c r="E593" s="19" t="inlineStr">
        <is>
          <t>AquaFunded</t>
        </is>
      </c>
      <c r="F593" s="19" t="inlineStr">
        <is>
          <t>#100 Instant-Direct 400k</t>
        </is>
      </c>
      <c r="G593" s="22" t="n">
        <v>400000</v>
      </c>
      <c r="H593" s="22" t="n">
        <v>36000</v>
      </c>
      <c r="I593" s="22" t="n">
        <v>861087.15</v>
      </c>
      <c r="J593" s="19" t="inlineStr">
        <is>
          <t>10 % × 400,000 × split 90%</t>
        </is>
      </c>
    </row>
    <row r="594">
      <c r="A594" s="13" t="n">
        <v>593</v>
      </c>
      <c r="B594" s="14" t="n">
        <v>46436</v>
      </c>
      <c r="C594" s="15" t="n">
        <v>5</v>
      </c>
      <c r="D594" s="25" t="inlineStr">
        <is>
          <t>Payout</t>
        </is>
      </c>
      <c r="E594" s="13" t="inlineStr">
        <is>
          <t>Atlas Funded</t>
        </is>
      </c>
      <c r="F594" s="13" t="inlineStr">
        <is>
          <t>#101 Instant-Direct 300k</t>
        </is>
      </c>
      <c r="G594" s="17" t="n">
        <v>300000</v>
      </c>
      <c r="H594" s="17" t="n">
        <v>30000</v>
      </c>
      <c r="I594" s="17" t="n">
        <v>891087.15</v>
      </c>
      <c r="J594" s="13" t="inlineStr">
        <is>
          <t>10 % × 300,000 × split 100%</t>
        </is>
      </c>
    </row>
    <row r="595">
      <c r="A595" s="19" t="n">
        <v>594</v>
      </c>
      <c r="B595" s="20" t="n">
        <v>46436</v>
      </c>
      <c r="C595" s="21" t="n">
        <v>5</v>
      </c>
      <c r="D595" s="25" t="inlineStr">
        <is>
          <t>Payout</t>
        </is>
      </c>
      <c r="E595" s="19" t="inlineStr">
        <is>
          <t>Atmos Funded</t>
        </is>
      </c>
      <c r="F595" s="19" t="inlineStr">
        <is>
          <t>#102 Instant-Direct 100k</t>
        </is>
      </c>
      <c r="G595" s="22" t="n">
        <v>100000</v>
      </c>
      <c r="H595" s="22" t="n">
        <v>9000</v>
      </c>
      <c r="I595" s="22" t="n">
        <v>900087.15</v>
      </c>
      <c r="J595" s="19" t="inlineStr">
        <is>
          <t>10 % × 100,000 × split 90%</t>
        </is>
      </c>
    </row>
    <row r="596">
      <c r="A596" s="13" t="n">
        <v>595</v>
      </c>
      <c r="B596" s="14" t="n">
        <v>46436</v>
      </c>
      <c r="C596" s="15" t="n">
        <v>5</v>
      </c>
      <c r="D596" s="25" t="inlineStr">
        <is>
          <t>Payout</t>
        </is>
      </c>
      <c r="E596" s="13" t="inlineStr">
        <is>
          <t>Atmos Funded</t>
        </is>
      </c>
      <c r="F596" s="13" t="inlineStr">
        <is>
          <t>#103 Instant-Direct 100k</t>
        </is>
      </c>
      <c r="G596" s="17" t="n">
        <v>100000</v>
      </c>
      <c r="H596" s="17" t="n">
        <v>9000</v>
      </c>
      <c r="I596" s="17" t="n">
        <v>909087.15</v>
      </c>
      <c r="J596" s="13" t="inlineStr">
        <is>
          <t>10 % × 100,000 × split 90%</t>
        </is>
      </c>
    </row>
    <row r="597">
      <c r="A597" s="19" t="n">
        <v>596</v>
      </c>
      <c r="B597" s="20" t="n">
        <v>46436</v>
      </c>
      <c r="C597" s="21" t="n">
        <v>5</v>
      </c>
      <c r="D597" s="25" t="inlineStr">
        <is>
          <t>Payout</t>
        </is>
      </c>
      <c r="E597" s="19" t="inlineStr">
        <is>
          <t>Atmos Funded</t>
        </is>
      </c>
      <c r="F597" s="19" t="inlineStr">
        <is>
          <t>#104 Instant-Direct 100k</t>
        </is>
      </c>
      <c r="G597" s="22" t="n">
        <v>100000</v>
      </c>
      <c r="H597" s="22" t="n">
        <v>9000</v>
      </c>
      <c r="I597" s="22" t="n">
        <v>918087.15</v>
      </c>
      <c r="J597" s="19" t="inlineStr">
        <is>
          <t>10 % × 100,000 × split 90%</t>
        </is>
      </c>
    </row>
    <row r="598">
      <c r="A598" s="13" t="n">
        <v>597</v>
      </c>
      <c r="B598" s="14" t="n">
        <v>46436</v>
      </c>
      <c r="C598" s="15" t="n">
        <v>5</v>
      </c>
      <c r="D598" s="25" t="inlineStr">
        <is>
          <t>Payout</t>
        </is>
      </c>
      <c r="E598" s="13" t="inlineStr">
        <is>
          <t>Atmos Funded</t>
        </is>
      </c>
      <c r="F598" s="13" t="inlineStr">
        <is>
          <t>#105 Instant-Direct 100k</t>
        </is>
      </c>
      <c r="G598" s="17" t="n">
        <v>100000</v>
      </c>
      <c r="H598" s="17" t="n">
        <v>9000</v>
      </c>
      <c r="I598" s="17" t="n">
        <v>927087.15</v>
      </c>
      <c r="J598" s="13" t="inlineStr">
        <is>
          <t>10 % × 100,000 × split 90%</t>
        </is>
      </c>
    </row>
    <row r="599">
      <c r="A599" s="19" t="n">
        <v>598</v>
      </c>
      <c r="B599" s="20" t="n">
        <v>46436</v>
      </c>
      <c r="C599" s="21" t="n">
        <v>5</v>
      </c>
      <c r="D599" s="25" t="inlineStr">
        <is>
          <t>Payout</t>
        </is>
      </c>
      <c r="E599" s="19" t="inlineStr">
        <is>
          <t>Blue Guardian</t>
        </is>
      </c>
      <c r="F599" s="19" t="inlineStr">
        <is>
          <t>#106 Instant-Direct 400k</t>
        </is>
      </c>
      <c r="G599" s="22" t="n">
        <v>400000</v>
      </c>
      <c r="H599" s="22" t="n">
        <v>32000</v>
      </c>
      <c r="I599" s="22" t="n">
        <v>959087.15</v>
      </c>
      <c r="J599" s="19" t="inlineStr">
        <is>
          <t>10 % × 400,000 × split 80%</t>
        </is>
      </c>
    </row>
    <row r="600">
      <c r="A600" s="13" t="n">
        <v>599</v>
      </c>
      <c r="B600" s="14" t="n">
        <v>46436</v>
      </c>
      <c r="C600" s="15" t="n">
        <v>5</v>
      </c>
      <c r="D600" s="25" t="inlineStr">
        <is>
          <t>Payout</t>
        </is>
      </c>
      <c r="E600" s="13" t="inlineStr">
        <is>
          <t>FundedElite</t>
        </is>
      </c>
      <c r="F600" s="13" t="inlineStr">
        <is>
          <t>#107 Instant-Direct 100k</t>
        </is>
      </c>
      <c r="G600" s="17" t="n">
        <v>100000</v>
      </c>
      <c r="H600" s="17" t="n">
        <v>9500</v>
      </c>
      <c r="I600" s="17" t="n">
        <v>968587.15</v>
      </c>
      <c r="J600" s="13" t="inlineStr">
        <is>
          <t>10 % × 100,000 × split 95%</t>
        </is>
      </c>
    </row>
    <row r="601">
      <c r="A601" s="19" t="n">
        <v>600</v>
      </c>
      <c r="B601" s="20" t="n">
        <v>46436</v>
      </c>
      <c r="C601" s="21" t="n">
        <v>5</v>
      </c>
      <c r="D601" s="25" t="inlineStr">
        <is>
          <t>Payout</t>
        </is>
      </c>
      <c r="E601" s="19" t="inlineStr">
        <is>
          <t>FundedElite</t>
        </is>
      </c>
      <c r="F601" s="19" t="inlineStr">
        <is>
          <t>#108 Instant-Direct 100k</t>
        </is>
      </c>
      <c r="G601" s="22" t="n">
        <v>100000</v>
      </c>
      <c r="H601" s="22" t="n">
        <v>9500</v>
      </c>
      <c r="I601" s="22" t="n">
        <v>978087.15</v>
      </c>
      <c r="J601" s="19" t="inlineStr">
        <is>
          <t>10 % × 100,000 × split 95%</t>
        </is>
      </c>
    </row>
    <row r="602">
      <c r="A602" s="13" t="n">
        <v>601</v>
      </c>
      <c r="B602" s="14" t="n">
        <v>46436</v>
      </c>
      <c r="C602" s="15" t="n">
        <v>5</v>
      </c>
      <c r="D602" s="25" t="inlineStr">
        <is>
          <t>Payout</t>
        </is>
      </c>
      <c r="E602" s="13" t="inlineStr">
        <is>
          <t>FundedElite</t>
        </is>
      </c>
      <c r="F602" s="13" t="inlineStr">
        <is>
          <t>#109 Instant-Direct 100k</t>
        </is>
      </c>
      <c r="G602" s="17" t="n">
        <v>100000</v>
      </c>
      <c r="H602" s="17" t="n">
        <v>9500</v>
      </c>
      <c r="I602" s="17" t="n">
        <v>987587.15</v>
      </c>
      <c r="J602" s="13" t="inlineStr">
        <is>
          <t>10 % × 100,000 × split 95%</t>
        </is>
      </c>
    </row>
    <row r="603">
      <c r="A603" s="19" t="n">
        <v>602</v>
      </c>
      <c r="B603" s="20" t="n">
        <v>46436</v>
      </c>
      <c r="C603" s="21" t="n">
        <v>5</v>
      </c>
      <c r="D603" s="25" t="inlineStr">
        <is>
          <t>Payout</t>
        </is>
      </c>
      <c r="E603" s="19" t="inlineStr">
        <is>
          <t>FundedElite</t>
        </is>
      </c>
      <c r="F603" s="19" t="inlineStr">
        <is>
          <t>#110 Instant-Direct 100k</t>
        </is>
      </c>
      <c r="G603" s="22" t="n">
        <v>100000</v>
      </c>
      <c r="H603" s="22" t="n">
        <v>9500</v>
      </c>
      <c r="I603" s="22" t="n">
        <v>997087.15</v>
      </c>
      <c r="J603" s="19" t="inlineStr">
        <is>
          <t>10 % × 100,000 × split 95%</t>
        </is>
      </c>
    </row>
    <row r="604">
      <c r="A604" s="13" t="n">
        <v>603</v>
      </c>
      <c r="B604" s="14" t="n">
        <v>46436</v>
      </c>
      <c r="C604" s="15" t="n">
        <v>5</v>
      </c>
      <c r="D604" s="25" t="inlineStr">
        <is>
          <t>Payout</t>
        </is>
      </c>
      <c r="E604" s="13" t="inlineStr">
        <is>
          <t>Funding Pips</t>
        </is>
      </c>
      <c r="F604" s="13" t="inlineStr">
        <is>
          <t>#111 Instant-Direct 200k</t>
        </is>
      </c>
      <c r="G604" s="17" t="n">
        <v>200000</v>
      </c>
      <c r="H604" s="17" t="n">
        <v>20000</v>
      </c>
      <c r="I604" s="17" t="n">
        <v>1017087.15</v>
      </c>
      <c r="J604" s="13" t="inlineStr">
        <is>
          <t>10 % × 200,000 × split 100%</t>
        </is>
      </c>
    </row>
    <row r="605">
      <c r="A605" s="19" t="n">
        <v>604</v>
      </c>
      <c r="B605" s="20" t="n">
        <v>46436</v>
      </c>
      <c r="C605" s="21" t="n">
        <v>5</v>
      </c>
      <c r="D605" s="25" t="inlineStr">
        <is>
          <t>Payout</t>
        </is>
      </c>
      <c r="E605" s="19" t="inlineStr">
        <is>
          <t>Funding Pips</t>
        </is>
      </c>
      <c r="F605" s="19" t="inlineStr">
        <is>
          <t>#112 Instant-Direct 200k</t>
        </is>
      </c>
      <c r="G605" s="22" t="n">
        <v>200000</v>
      </c>
      <c r="H605" s="22" t="n">
        <v>20000</v>
      </c>
      <c r="I605" s="22" t="n">
        <v>1037087.15</v>
      </c>
      <c r="J605" s="19" t="inlineStr">
        <is>
          <t>10 % × 200,000 × split 100%</t>
        </is>
      </c>
    </row>
    <row r="606">
      <c r="A606" s="13" t="n">
        <v>605</v>
      </c>
      <c r="B606" s="14" t="n">
        <v>46436</v>
      </c>
      <c r="C606" s="15" t="n">
        <v>5</v>
      </c>
      <c r="D606" s="25" t="inlineStr">
        <is>
          <t>Payout</t>
        </is>
      </c>
      <c r="E606" s="13" t="inlineStr">
        <is>
          <t>Global Forex Funds</t>
        </is>
      </c>
      <c r="F606" s="13" t="inlineStr">
        <is>
          <t>#113 Instant-Direct 100k</t>
        </is>
      </c>
      <c r="G606" s="17" t="n">
        <v>100000</v>
      </c>
      <c r="H606" s="17" t="n">
        <v>9000</v>
      </c>
      <c r="I606" s="17" t="n">
        <v>1046087.15</v>
      </c>
      <c r="J606" s="13" t="inlineStr">
        <is>
          <t>10 % × 100,000 × split 90%</t>
        </is>
      </c>
    </row>
    <row r="607">
      <c r="A607" s="19" t="n">
        <v>606</v>
      </c>
      <c r="B607" s="20" t="n">
        <v>46436</v>
      </c>
      <c r="C607" s="21" t="n">
        <v>5</v>
      </c>
      <c r="D607" s="25" t="inlineStr">
        <is>
          <t>Payout</t>
        </is>
      </c>
      <c r="E607" s="19" t="inlineStr">
        <is>
          <t>Goat Funded Trader</t>
        </is>
      </c>
      <c r="F607" s="19" t="inlineStr">
        <is>
          <t>#114 Instant-Direct 100k</t>
        </is>
      </c>
      <c r="G607" s="22" t="n">
        <v>100000</v>
      </c>
      <c r="H607" s="22" t="n">
        <v>10000</v>
      </c>
      <c r="I607" s="22" t="n">
        <v>1056087.15</v>
      </c>
      <c r="J607" s="19" t="inlineStr">
        <is>
          <t>10 % × 100,000 × split 100%</t>
        </is>
      </c>
    </row>
    <row r="608">
      <c r="A608" s="13" t="n">
        <v>607</v>
      </c>
      <c r="B608" s="14" t="n">
        <v>46436</v>
      </c>
      <c r="C608" s="15" t="n">
        <v>5</v>
      </c>
      <c r="D608" s="25" t="inlineStr">
        <is>
          <t>Payout</t>
        </is>
      </c>
      <c r="E608" s="13" t="inlineStr">
        <is>
          <t>Goat Funded Trader</t>
        </is>
      </c>
      <c r="F608" s="13" t="inlineStr">
        <is>
          <t>#115 Instant-Direct 100k</t>
        </is>
      </c>
      <c r="G608" s="17" t="n">
        <v>100000</v>
      </c>
      <c r="H608" s="17" t="n">
        <v>10000</v>
      </c>
      <c r="I608" s="17" t="n">
        <v>1066087.15</v>
      </c>
      <c r="J608" s="13" t="inlineStr">
        <is>
          <t>10 % × 100,000 × split 100%</t>
        </is>
      </c>
    </row>
    <row r="609">
      <c r="A609" s="19" t="n">
        <v>608</v>
      </c>
      <c r="B609" s="20" t="n">
        <v>46436</v>
      </c>
      <c r="C609" s="21" t="n">
        <v>5</v>
      </c>
      <c r="D609" s="25" t="inlineStr">
        <is>
          <t>Payout</t>
        </is>
      </c>
      <c r="E609" s="19" t="inlineStr">
        <is>
          <t>Goat Funded Trader</t>
        </is>
      </c>
      <c r="F609" s="19" t="inlineStr">
        <is>
          <t>#116 Instant-Direct 100k</t>
        </is>
      </c>
      <c r="G609" s="22" t="n">
        <v>100000</v>
      </c>
      <c r="H609" s="22" t="n">
        <v>10000</v>
      </c>
      <c r="I609" s="22" t="n">
        <v>1076087.15</v>
      </c>
      <c r="J609" s="19" t="inlineStr">
        <is>
          <t>10 % × 100,000 × split 100%</t>
        </is>
      </c>
    </row>
    <row r="610">
      <c r="A610" s="13" t="n">
        <v>609</v>
      </c>
      <c r="B610" s="14" t="n">
        <v>46436</v>
      </c>
      <c r="C610" s="15" t="n">
        <v>5</v>
      </c>
      <c r="D610" s="25" t="inlineStr">
        <is>
          <t>Payout</t>
        </is>
      </c>
      <c r="E610" s="13" t="inlineStr">
        <is>
          <t>Goat Funded Trader</t>
        </is>
      </c>
      <c r="F610" s="13" t="inlineStr">
        <is>
          <t>#117 Instant-Direct 100k</t>
        </is>
      </c>
      <c r="G610" s="17" t="n">
        <v>100000</v>
      </c>
      <c r="H610" s="17" t="n">
        <v>10000</v>
      </c>
      <c r="I610" s="17" t="n">
        <v>1086087.15</v>
      </c>
      <c r="J610" s="13" t="inlineStr">
        <is>
          <t>10 % × 100,000 × split 100%</t>
        </is>
      </c>
    </row>
    <row r="611">
      <c r="A611" s="19" t="n">
        <v>610</v>
      </c>
      <c r="B611" s="20" t="n">
        <v>46436</v>
      </c>
      <c r="C611" s="21" t="n">
        <v>5</v>
      </c>
      <c r="D611" s="25" t="inlineStr">
        <is>
          <t>Payout</t>
        </is>
      </c>
      <c r="E611" s="19" t="inlineStr">
        <is>
          <t>FundedVerse</t>
        </is>
      </c>
      <c r="F611" s="19" t="inlineStr">
        <is>
          <t>#118 Instant-Direct 50k</t>
        </is>
      </c>
      <c r="G611" s="22" t="n">
        <v>50000</v>
      </c>
      <c r="H611" s="22" t="n">
        <v>4000</v>
      </c>
      <c r="I611" s="22" t="n">
        <v>1090087.15</v>
      </c>
      <c r="J611" s="19" t="inlineStr">
        <is>
          <t>10 % × 50,000 × split 80%</t>
        </is>
      </c>
    </row>
    <row r="612">
      <c r="A612" s="13" t="n">
        <v>611</v>
      </c>
      <c r="B612" s="14" t="n">
        <v>46436</v>
      </c>
      <c r="C612" s="15" t="n">
        <v>5</v>
      </c>
      <c r="D612" s="25" t="inlineStr">
        <is>
          <t>Payout</t>
        </is>
      </c>
      <c r="E612" s="13" t="inlineStr">
        <is>
          <t>FundedVerse</t>
        </is>
      </c>
      <c r="F612" s="13" t="inlineStr">
        <is>
          <t>#119 Instant-Direct 50k</t>
        </is>
      </c>
      <c r="G612" s="17" t="n">
        <v>50000</v>
      </c>
      <c r="H612" s="17" t="n">
        <v>4000</v>
      </c>
      <c r="I612" s="17" t="n">
        <v>1094087.15</v>
      </c>
      <c r="J612" s="13" t="inlineStr">
        <is>
          <t>10 % × 50,000 × split 80%</t>
        </is>
      </c>
    </row>
    <row r="613">
      <c r="A613" s="19" t="n">
        <v>612</v>
      </c>
      <c r="B613" s="20" t="n">
        <v>46436</v>
      </c>
      <c r="C613" s="21" t="n">
        <v>5</v>
      </c>
      <c r="D613" s="25" t="inlineStr">
        <is>
          <t>Payout</t>
        </is>
      </c>
      <c r="E613" s="19" t="inlineStr">
        <is>
          <t>FundedVerse</t>
        </is>
      </c>
      <c r="F613" s="19" t="inlineStr">
        <is>
          <t>#120 Instant-Direct 50k</t>
        </is>
      </c>
      <c r="G613" s="22" t="n">
        <v>50000</v>
      </c>
      <c r="H613" s="22" t="n">
        <v>4000</v>
      </c>
      <c r="I613" s="22" t="n">
        <v>1098087.15</v>
      </c>
      <c r="J613" s="19" t="inlineStr">
        <is>
          <t>10 % × 50,000 × split 80%</t>
        </is>
      </c>
    </row>
    <row r="614">
      <c r="A614" s="13" t="n">
        <v>613</v>
      </c>
      <c r="B614" s="14" t="n">
        <v>46436</v>
      </c>
      <c r="C614" s="15" t="n">
        <v>5</v>
      </c>
      <c r="D614" s="25" t="inlineStr">
        <is>
          <t>Payout</t>
        </is>
      </c>
      <c r="E614" s="13" t="inlineStr">
        <is>
          <t>FundedVerse</t>
        </is>
      </c>
      <c r="F614" s="13" t="inlineStr">
        <is>
          <t>#121 Instant-Direct 50k</t>
        </is>
      </c>
      <c r="G614" s="17" t="n">
        <v>50000</v>
      </c>
      <c r="H614" s="17" t="n">
        <v>4000</v>
      </c>
      <c r="I614" s="17" t="n">
        <v>1102087.15</v>
      </c>
      <c r="J614" s="13" t="inlineStr">
        <is>
          <t>10 % × 50,000 × split 80%</t>
        </is>
      </c>
    </row>
    <row r="615">
      <c r="A615" s="19" t="n">
        <v>614</v>
      </c>
      <c r="B615" s="20" t="n">
        <v>46436</v>
      </c>
      <c r="C615" s="21" t="n">
        <v>5</v>
      </c>
      <c r="D615" s="25" t="inlineStr">
        <is>
          <t>Payout</t>
        </is>
      </c>
      <c r="E615" s="19" t="inlineStr">
        <is>
          <t>FundedVerse</t>
        </is>
      </c>
      <c r="F615" s="19" t="inlineStr">
        <is>
          <t>#122 Instant-Direct 50k</t>
        </is>
      </c>
      <c r="G615" s="22" t="n">
        <v>50000</v>
      </c>
      <c r="H615" s="22" t="n">
        <v>4000</v>
      </c>
      <c r="I615" s="22" t="n">
        <v>1106087.15</v>
      </c>
      <c r="J615" s="19" t="inlineStr">
        <is>
          <t>10 % × 50,000 × split 80%</t>
        </is>
      </c>
    </row>
    <row r="616">
      <c r="A616" s="13" t="n">
        <v>615</v>
      </c>
      <c r="B616" s="14" t="n">
        <v>46436</v>
      </c>
      <c r="C616" s="15" t="n">
        <v>5</v>
      </c>
      <c r="D616" s="25" t="inlineStr">
        <is>
          <t>Payout</t>
        </is>
      </c>
      <c r="E616" s="13" t="inlineStr">
        <is>
          <t>FundedVerse</t>
        </is>
      </c>
      <c r="F616" s="13" t="inlineStr">
        <is>
          <t>#123 Instant-Direct 50k</t>
        </is>
      </c>
      <c r="G616" s="17" t="n">
        <v>50000</v>
      </c>
      <c r="H616" s="17" t="n">
        <v>4000</v>
      </c>
      <c r="I616" s="17" t="n">
        <v>1110087.15</v>
      </c>
      <c r="J616" s="13" t="inlineStr">
        <is>
          <t>10 % × 50,000 × split 80%</t>
        </is>
      </c>
    </row>
    <row r="617">
      <c r="A617" s="19" t="n">
        <v>616</v>
      </c>
      <c r="B617" s="20" t="n">
        <v>46436</v>
      </c>
      <c r="C617" s="21" t="n">
        <v>5</v>
      </c>
      <c r="D617" s="25" t="inlineStr">
        <is>
          <t>Payout</t>
        </is>
      </c>
      <c r="E617" s="19" t="inlineStr">
        <is>
          <t>Lark Funding</t>
        </is>
      </c>
      <c r="F617" s="19" t="inlineStr">
        <is>
          <t>#124 Instant-Direct 100k</t>
        </is>
      </c>
      <c r="G617" s="22" t="n">
        <v>100000</v>
      </c>
      <c r="H617" s="22" t="n">
        <v>8000</v>
      </c>
      <c r="I617" s="22" t="n">
        <v>1118087.15</v>
      </c>
      <c r="J617" s="19" t="inlineStr">
        <is>
          <t>10 % × 100,000 × split 80%</t>
        </is>
      </c>
    </row>
    <row r="618">
      <c r="A618" s="13" t="n">
        <v>617</v>
      </c>
      <c r="B618" s="14" t="n">
        <v>46436</v>
      </c>
      <c r="C618" s="15" t="n">
        <v>5</v>
      </c>
      <c r="D618" s="25" t="inlineStr">
        <is>
          <t>Payout</t>
        </is>
      </c>
      <c r="E618" s="13" t="inlineStr">
        <is>
          <t>Lark Funding</t>
        </is>
      </c>
      <c r="F618" s="13" t="inlineStr">
        <is>
          <t>#125 Instant-Direct 100k</t>
        </is>
      </c>
      <c r="G618" s="17" t="n">
        <v>100000</v>
      </c>
      <c r="H618" s="17" t="n">
        <v>8000</v>
      </c>
      <c r="I618" s="17" t="n">
        <v>1126087.15</v>
      </c>
      <c r="J618" s="13" t="inlineStr">
        <is>
          <t>10 % × 100,000 × split 80%</t>
        </is>
      </c>
    </row>
    <row r="619">
      <c r="A619" s="19" t="n">
        <v>618</v>
      </c>
      <c r="B619" s="20" t="n">
        <v>46436</v>
      </c>
      <c r="C619" s="21" t="n">
        <v>5</v>
      </c>
      <c r="D619" s="25" t="inlineStr">
        <is>
          <t>Payout</t>
        </is>
      </c>
      <c r="E619" s="19" t="inlineStr">
        <is>
          <t>Lark Funding</t>
        </is>
      </c>
      <c r="F619" s="19" t="inlineStr">
        <is>
          <t>#126 Instant-Direct 100k</t>
        </is>
      </c>
      <c r="G619" s="22" t="n">
        <v>100000</v>
      </c>
      <c r="H619" s="22" t="n">
        <v>8000</v>
      </c>
      <c r="I619" s="22" t="n">
        <v>1134087.15</v>
      </c>
      <c r="J619" s="19" t="inlineStr">
        <is>
          <t>10 % × 100,000 × split 80%</t>
        </is>
      </c>
    </row>
    <row r="620">
      <c r="A620" s="13" t="n">
        <v>619</v>
      </c>
      <c r="B620" s="14" t="n">
        <v>46436</v>
      </c>
      <c r="C620" s="15" t="n">
        <v>5</v>
      </c>
      <c r="D620" s="25" t="inlineStr">
        <is>
          <t>Payout</t>
        </is>
      </c>
      <c r="E620" s="13" t="inlineStr">
        <is>
          <t>Mockapital</t>
        </is>
      </c>
      <c r="F620" s="13" t="inlineStr">
        <is>
          <t>#127 Instant-Direct 50k</t>
        </is>
      </c>
      <c r="G620" s="17" t="n">
        <v>50000</v>
      </c>
      <c r="H620" s="17" t="n">
        <v>4000</v>
      </c>
      <c r="I620" s="17" t="n">
        <v>1138087.15</v>
      </c>
      <c r="J620" s="13" t="inlineStr">
        <is>
          <t>10 % × 50,000 × split 80%</t>
        </is>
      </c>
    </row>
    <row r="621">
      <c r="A621" s="19" t="n">
        <v>620</v>
      </c>
      <c r="B621" s="20" t="n">
        <v>46436</v>
      </c>
      <c r="C621" s="21" t="n">
        <v>5</v>
      </c>
      <c r="D621" s="25" t="inlineStr">
        <is>
          <t>Payout</t>
        </is>
      </c>
      <c r="E621" s="19" t="inlineStr">
        <is>
          <t>Mockapital</t>
        </is>
      </c>
      <c r="F621" s="19" t="inlineStr">
        <is>
          <t>#128 Instant-Direct 50k</t>
        </is>
      </c>
      <c r="G621" s="22" t="n">
        <v>50000</v>
      </c>
      <c r="H621" s="22" t="n">
        <v>4000</v>
      </c>
      <c r="I621" s="22" t="n">
        <v>1142087.15</v>
      </c>
      <c r="J621" s="19" t="inlineStr">
        <is>
          <t>10 % × 50,000 × split 80%</t>
        </is>
      </c>
    </row>
    <row r="622">
      <c r="A622" s="13" t="n">
        <v>621</v>
      </c>
      <c r="B622" s="14" t="n">
        <v>46436</v>
      </c>
      <c r="C622" s="15" t="n">
        <v>5</v>
      </c>
      <c r="D622" s="25" t="inlineStr">
        <is>
          <t>Payout</t>
        </is>
      </c>
      <c r="E622" s="13" t="inlineStr">
        <is>
          <t>Mockapital</t>
        </is>
      </c>
      <c r="F622" s="13" t="inlineStr">
        <is>
          <t>#129 Instant-Direct 50k</t>
        </is>
      </c>
      <c r="G622" s="17" t="n">
        <v>50000</v>
      </c>
      <c r="H622" s="17" t="n">
        <v>4000</v>
      </c>
      <c r="I622" s="17" t="n">
        <v>1146087.15</v>
      </c>
      <c r="J622" s="13" t="inlineStr">
        <is>
          <t>10 % × 50,000 × split 80%</t>
        </is>
      </c>
    </row>
    <row r="623">
      <c r="A623" s="19" t="n">
        <v>622</v>
      </c>
      <c r="B623" s="20" t="n">
        <v>46436</v>
      </c>
      <c r="C623" s="21" t="n">
        <v>5</v>
      </c>
      <c r="D623" s="25" t="inlineStr">
        <is>
          <t>Payout</t>
        </is>
      </c>
      <c r="E623" s="19" t="inlineStr">
        <is>
          <t>Mockapital</t>
        </is>
      </c>
      <c r="F623" s="19" t="inlineStr">
        <is>
          <t>#130 Instant-Direct 50k</t>
        </is>
      </c>
      <c r="G623" s="22" t="n">
        <v>50000</v>
      </c>
      <c r="H623" s="22" t="n">
        <v>4000</v>
      </c>
      <c r="I623" s="22" t="n">
        <v>1150087.15</v>
      </c>
      <c r="J623" s="19" t="inlineStr">
        <is>
          <t>10 % × 50,000 × split 80%</t>
        </is>
      </c>
    </row>
    <row r="624">
      <c r="A624" s="13" t="n">
        <v>623</v>
      </c>
      <c r="B624" s="14" t="n">
        <v>46436</v>
      </c>
      <c r="C624" s="15" t="n">
        <v>5</v>
      </c>
      <c r="D624" s="25" t="inlineStr">
        <is>
          <t>Payout</t>
        </is>
      </c>
      <c r="E624" s="13" t="inlineStr">
        <is>
          <t>Mockapital</t>
        </is>
      </c>
      <c r="F624" s="13" t="inlineStr">
        <is>
          <t>#131 Instant-Direct 50k</t>
        </is>
      </c>
      <c r="G624" s="17" t="n">
        <v>50000</v>
      </c>
      <c r="H624" s="17" t="n">
        <v>4000</v>
      </c>
      <c r="I624" s="17" t="n">
        <v>1154087.15</v>
      </c>
      <c r="J624" s="13" t="inlineStr">
        <is>
          <t>10 % × 50,000 × split 80%</t>
        </is>
      </c>
    </row>
    <row r="625">
      <c r="A625" s="19" t="n">
        <v>624</v>
      </c>
      <c r="B625" s="20" t="n">
        <v>46436</v>
      </c>
      <c r="C625" s="21" t="n">
        <v>5</v>
      </c>
      <c r="D625" s="25" t="inlineStr">
        <is>
          <t>Payout</t>
        </is>
      </c>
      <c r="E625" s="19" t="inlineStr">
        <is>
          <t>Mockapital</t>
        </is>
      </c>
      <c r="F625" s="19" t="inlineStr">
        <is>
          <t>#132 Instant-Direct 50k</t>
        </is>
      </c>
      <c r="G625" s="22" t="n">
        <v>50000</v>
      </c>
      <c r="H625" s="22" t="n">
        <v>4000</v>
      </c>
      <c r="I625" s="22" t="n">
        <v>1158087.15</v>
      </c>
      <c r="J625" s="19" t="inlineStr">
        <is>
          <t>10 % × 50,000 × split 80%</t>
        </is>
      </c>
    </row>
    <row r="626">
      <c r="A626" s="13" t="n">
        <v>625</v>
      </c>
      <c r="B626" s="14" t="n">
        <v>46436</v>
      </c>
      <c r="C626" s="15" t="n">
        <v>5</v>
      </c>
      <c r="D626" s="25" t="inlineStr">
        <is>
          <t>Payout</t>
        </is>
      </c>
      <c r="E626" s="13" t="inlineStr">
        <is>
          <t>Myfundedcapital</t>
        </is>
      </c>
      <c r="F626" s="13" t="inlineStr">
        <is>
          <t>#133 Instant-Direct 80k</t>
        </is>
      </c>
      <c r="G626" s="17" t="n">
        <v>80000</v>
      </c>
      <c r="H626" s="17" t="n">
        <v>6400</v>
      </c>
      <c r="I626" s="17" t="n">
        <v>1164487.15</v>
      </c>
      <c r="J626" s="13" t="inlineStr">
        <is>
          <t>10 % × 80,000 × split 80%</t>
        </is>
      </c>
    </row>
    <row r="627">
      <c r="A627" s="19" t="n">
        <v>626</v>
      </c>
      <c r="B627" s="20" t="n">
        <v>46436</v>
      </c>
      <c r="C627" s="21" t="n">
        <v>5</v>
      </c>
      <c r="D627" s="25" t="inlineStr">
        <is>
          <t>Payout</t>
        </is>
      </c>
      <c r="E627" s="19" t="inlineStr">
        <is>
          <t>Myfundedcapital</t>
        </is>
      </c>
      <c r="F627" s="19" t="inlineStr">
        <is>
          <t>#134 Instant-Direct 80k</t>
        </is>
      </c>
      <c r="G627" s="22" t="n">
        <v>80000</v>
      </c>
      <c r="H627" s="22" t="n">
        <v>6400</v>
      </c>
      <c r="I627" s="22" t="n">
        <v>1170887.15</v>
      </c>
      <c r="J627" s="19" t="inlineStr">
        <is>
          <t>10 % × 80,000 × split 80%</t>
        </is>
      </c>
    </row>
    <row r="628">
      <c r="A628" s="13" t="n">
        <v>627</v>
      </c>
      <c r="B628" s="14" t="n">
        <v>46436</v>
      </c>
      <c r="C628" s="15" t="n">
        <v>5</v>
      </c>
      <c r="D628" s="25" t="inlineStr">
        <is>
          <t>Payout</t>
        </is>
      </c>
      <c r="E628" s="13" t="inlineStr">
        <is>
          <t>Myfundedcapital</t>
        </is>
      </c>
      <c r="F628" s="13" t="inlineStr">
        <is>
          <t>#135 Instant-Direct 80k</t>
        </is>
      </c>
      <c r="G628" s="17" t="n">
        <v>80000</v>
      </c>
      <c r="H628" s="17" t="n">
        <v>6400</v>
      </c>
      <c r="I628" s="17" t="n">
        <v>1177287.15</v>
      </c>
      <c r="J628" s="13" t="inlineStr">
        <is>
          <t>10 % × 80,000 × split 80%</t>
        </is>
      </c>
    </row>
    <row r="629">
      <c r="A629" s="19" t="n">
        <v>628</v>
      </c>
      <c r="B629" s="20" t="n">
        <v>46436</v>
      </c>
      <c r="C629" s="21" t="n">
        <v>5</v>
      </c>
      <c r="D629" s="25" t="inlineStr">
        <is>
          <t>Payout</t>
        </is>
      </c>
      <c r="E629" s="19" t="inlineStr">
        <is>
          <t>City Traders Imperium</t>
        </is>
      </c>
      <c r="F629" s="19" t="inlineStr">
        <is>
          <t>#136 Instant-Direct 80k</t>
        </is>
      </c>
      <c r="G629" s="22" t="n">
        <v>80000</v>
      </c>
      <c r="H629" s="22" t="n">
        <v>7200</v>
      </c>
      <c r="I629" s="22" t="n">
        <v>1184487.15</v>
      </c>
      <c r="J629" s="19" t="inlineStr">
        <is>
          <t>10 % × 80,000 × split 90%</t>
        </is>
      </c>
    </row>
    <row r="630">
      <c r="A630" s="13" t="n">
        <v>629</v>
      </c>
      <c r="B630" s="14" t="n">
        <v>46436</v>
      </c>
      <c r="C630" s="15" t="n">
        <v>5</v>
      </c>
      <c r="D630" s="25" t="inlineStr">
        <is>
          <t>Payout</t>
        </is>
      </c>
      <c r="E630" s="13" t="inlineStr">
        <is>
          <t>City Traders Imperium</t>
        </is>
      </c>
      <c r="F630" s="13" t="inlineStr">
        <is>
          <t>#137 Instant-Direct 80k</t>
        </is>
      </c>
      <c r="G630" s="17" t="n">
        <v>80000</v>
      </c>
      <c r="H630" s="17" t="n">
        <v>7200</v>
      </c>
      <c r="I630" s="17" t="n">
        <v>1191687.15</v>
      </c>
      <c r="J630" s="13" t="inlineStr">
        <is>
          <t>10 % × 80,000 × split 90%</t>
        </is>
      </c>
    </row>
    <row r="631">
      <c r="A631" s="19" t="n">
        <v>630</v>
      </c>
      <c r="B631" s="20" t="n">
        <v>46436</v>
      </c>
      <c r="C631" s="21" t="n">
        <v>5</v>
      </c>
      <c r="D631" s="25" t="inlineStr">
        <is>
          <t>Payout</t>
        </is>
      </c>
      <c r="E631" s="19" t="inlineStr">
        <is>
          <t>FTUK</t>
        </is>
      </c>
      <c r="F631" s="19" t="inlineStr">
        <is>
          <t>#138 Instant-Direct 100k</t>
        </is>
      </c>
      <c r="G631" s="22" t="n">
        <v>100000</v>
      </c>
      <c r="H631" s="22" t="n">
        <v>8000</v>
      </c>
      <c r="I631" s="22" t="n">
        <v>1199687.15</v>
      </c>
      <c r="J631" s="19" t="inlineStr">
        <is>
          <t>10 % × 100,000 × split 80%</t>
        </is>
      </c>
    </row>
    <row r="632">
      <c r="A632" s="13" t="n">
        <v>631</v>
      </c>
      <c r="B632" s="14" t="n">
        <v>46436</v>
      </c>
      <c r="C632" s="15" t="n">
        <v>5</v>
      </c>
      <c r="D632" s="25" t="inlineStr">
        <is>
          <t>Payout</t>
        </is>
      </c>
      <c r="E632" s="13" t="inlineStr">
        <is>
          <t>Funded Friday</t>
        </is>
      </c>
      <c r="F632" s="13" t="inlineStr">
        <is>
          <t>#139 Instant-Direct 200k</t>
        </is>
      </c>
      <c r="G632" s="17" t="n">
        <v>200000</v>
      </c>
      <c r="H632" s="17" t="n">
        <v>16000</v>
      </c>
      <c r="I632" s="17" t="n">
        <v>1215687.15</v>
      </c>
      <c r="J632" s="13" t="inlineStr">
        <is>
          <t>10 % × 200,000 × split 80%</t>
        </is>
      </c>
    </row>
    <row r="633">
      <c r="A633" s="19" t="n">
        <v>632</v>
      </c>
      <c r="B633" s="20" t="n">
        <v>46436</v>
      </c>
      <c r="C633" s="21" t="n">
        <v>5</v>
      </c>
      <c r="D633" s="25" t="inlineStr">
        <is>
          <t>Payout</t>
        </is>
      </c>
      <c r="E633" s="19" t="inlineStr">
        <is>
          <t>Funded Trading Plus</t>
        </is>
      </c>
      <c r="F633" s="19" t="inlineStr">
        <is>
          <t>#140 Instant-Direct 100k</t>
        </is>
      </c>
      <c r="G633" s="22" t="n">
        <v>100000</v>
      </c>
      <c r="H633" s="22" t="n">
        <v>8000</v>
      </c>
      <c r="I633" s="22" t="n">
        <v>1223687.15</v>
      </c>
      <c r="J633" s="19" t="inlineStr">
        <is>
          <t>10 % × 100,000 × split 80%</t>
        </is>
      </c>
    </row>
    <row r="634">
      <c r="A634" s="13" t="n">
        <v>633</v>
      </c>
      <c r="B634" s="14" t="n">
        <v>46436</v>
      </c>
      <c r="C634" s="15" t="n">
        <v>5</v>
      </c>
      <c r="D634" s="25" t="inlineStr">
        <is>
          <t>Payout</t>
        </is>
      </c>
      <c r="E634" s="13" t="inlineStr">
        <is>
          <t>Funding Dynasty</t>
        </is>
      </c>
      <c r="F634" s="13" t="inlineStr">
        <is>
          <t>#141 Instant-Direct 200k</t>
        </is>
      </c>
      <c r="G634" s="17" t="n">
        <v>200000</v>
      </c>
      <c r="H634" s="17" t="n">
        <v>16000</v>
      </c>
      <c r="I634" s="17" t="n">
        <v>1239687.15</v>
      </c>
      <c r="J634" s="13" t="inlineStr">
        <is>
          <t>10 % × 200,000 × split 80%</t>
        </is>
      </c>
    </row>
    <row r="635">
      <c r="A635" s="19" t="n">
        <v>634</v>
      </c>
      <c r="B635" s="20" t="n">
        <v>46436</v>
      </c>
      <c r="C635" s="21" t="n">
        <v>5</v>
      </c>
      <c r="D635" s="25" t="inlineStr">
        <is>
          <t>Payout</t>
        </is>
      </c>
      <c r="E635" s="19" t="inlineStr">
        <is>
          <t>Funding Frontier</t>
        </is>
      </c>
      <c r="F635" s="19" t="inlineStr">
        <is>
          <t>#142 Instant-Direct 50k</t>
        </is>
      </c>
      <c r="G635" s="22" t="n">
        <v>50000</v>
      </c>
      <c r="H635" s="22" t="n">
        <v>4000</v>
      </c>
      <c r="I635" s="22" t="n">
        <v>1243687.15</v>
      </c>
      <c r="J635" s="19" t="inlineStr">
        <is>
          <t>10 % × 50,000 × split 80%</t>
        </is>
      </c>
    </row>
    <row r="636">
      <c r="A636" s="13" t="n">
        <v>635</v>
      </c>
      <c r="B636" s="14" t="n">
        <v>46436</v>
      </c>
      <c r="C636" s="15" t="n">
        <v>5</v>
      </c>
      <c r="D636" s="25" t="inlineStr">
        <is>
          <t>Payout</t>
        </is>
      </c>
      <c r="E636" s="13" t="inlineStr">
        <is>
          <t>FundYourFX</t>
        </is>
      </c>
      <c r="F636" s="13" t="inlineStr">
        <is>
          <t>#143 Instant-Direct 200k</t>
        </is>
      </c>
      <c r="G636" s="17" t="n">
        <v>200000</v>
      </c>
      <c r="H636" s="17" t="n">
        <v>19000</v>
      </c>
      <c r="I636" s="17" t="n">
        <v>1262687.15</v>
      </c>
      <c r="J636" s="13" t="inlineStr">
        <is>
          <t>10 % × 200,000 × split 95%</t>
        </is>
      </c>
    </row>
    <row r="637">
      <c r="A637" s="19" t="n">
        <v>636</v>
      </c>
      <c r="B637" s="20" t="n">
        <v>46436</v>
      </c>
      <c r="C637" s="21" t="n">
        <v>5</v>
      </c>
      <c r="D637" s="25" t="inlineStr">
        <is>
          <t>Payout</t>
        </is>
      </c>
      <c r="E637" s="19" t="inlineStr">
        <is>
          <t>Hex Funded</t>
        </is>
      </c>
      <c r="F637" s="19" t="inlineStr">
        <is>
          <t>#144 Instant-Direct 100k</t>
        </is>
      </c>
      <c r="G637" s="22" t="n">
        <v>100000</v>
      </c>
      <c r="H637" s="22" t="n">
        <v>9000</v>
      </c>
      <c r="I637" s="22" t="n">
        <v>1271687.15</v>
      </c>
      <c r="J637" s="19" t="inlineStr">
        <is>
          <t>10 % × 100,000 × split 90%</t>
        </is>
      </c>
    </row>
    <row r="638">
      <c r="A638" s="13" t="n">
        <v>637</v>
      </c>
      <c r="B638" s="14" t="n">
        <v>46436</v>
      </c>
      <c r="C638" s="15" t="n">
        <v>5</v>
      </c>
      <c r="D638" s="25" t="inlineStr">
        <is>
          <t>Payout</t>
        </is>
      </c>
      <c r="E638" s="13" t="inlineStr">
        <is>
          <t>FundingRock</t>
        </is>
      </c>
      <c r="F638" s="13" t="inlineStr">
        <is>
          <t>#145 Instant-Direct 100k</t>
        </is>
      </c>
      <c r="G638" s="17" t="n">
        <v>100000</v>
      </c>
      <c r="H638" s="17" t="n">
        <v>8000</v>
      </c>
      <c r="I638" s="17" t="n">
        <v>1279687.15</v>
      </c>
      <c r="J638" s="13" t="inlineStr">
        <is>
          <t>10 % × 100,000 × split 80%</t>
        </is>
      </c>
    </row>
    <row r="639">
      <c r="A639" s="19" t="n">
        <v>638</v>
      </c>
      <c r="B639" s="20" t="n">
        <v>46436</v>
      </c>
      <c r="C639" s="21" t="n">
        <v>5</v>
      </c>
      <c r="D639" s="25" t="inlineStr">
        <is>
          <t>Payout</t>
        </is>
      </c>
      <c r="E639" s="19" t="inlineStr">
        <is>
          <t>LegionFunding</t>
        </is>
      </c>
      <c r="F639" s="19" t="inlineStr">
        <is>
          <t>#146 Instant-Direct 100k</t>
        </is>
      </c>
      <c r="G639" s="22" t="n">
        <v>100000</v>
      </c>
      <c r="H639" s="22" t="n">
        <v>8000</v>
      </c>
      <c r="I639" s="22" t="n">
        <v>1287687.15</v>
      </c>
      <c r="J639" s="19" t="inlineStr">
        <is>
          <t>10 % × 100,000 × split 80%</t>
        </is>
      </c>
    </row>
    <row r="640">
      <c r="A640" s="13" t="n">
        <v>639</v>
      </c>
      <c r="B640" s="14" t="n">
        <v>46436</v>
      </c>
      <c r="C640" s="15" t="n">
        <v>5</v>
      </c>
      <c r="D640" s="25" t="inlineStr">
        <is>
          <t>Payout</t>
        </is>
      </c>
      <c r="E640" s="13" t="inlineStr">
        <is>
          <t>MasterFunders</t>
        </is>
      </c>
      <c r="F640" s="13" t="inlineStr">
        <is>
          <t>#147 Instant-Direct 100k</t>
        </is>
      </c>
      <c r="G640" s="17" t="n">
        <v>100000</v>
      </c>
      <c r="H640" s="17" t="n">
        <v>8000</v>
      </c>
      <c r="I640" s="17" t="n">
        <v>1295687.15</v>
      </c>
      <c r="J640" s="13" t="inlineStr">
        <is>
          <t>10 % × 100,000 × split 80%</t>
        </is>
      </c>
    </row>
    <row r="641">
      <c r="A641" s="19" t="n">
        <v>640</v>
      </c>
      <c r="B641" s="20" t="n">
        <v>46436</v>
      </c>
      <c r="C641" s="21" t="n">
        <v>5</v>
      </c>
      <c r="D641" s="25" t="inlineStr">
        <is>
          <t>Payout</t>
        </is>
      </c>
      <c r="E641" s="19" t="inlineStr">
        <is>
          <t>BloomFunded</t>
        </is>
      </c>
      <c r="F641" s="19" t="inlineStr">
        <is>
          <t>#148 Instant-Direct 50k</t>
        </is>
      </c>
      <c r="G641" s="22" t="n">
        <v>50000</v>
      </c>
      <c r="H641" s="22" t="n">
        <v>4500</v>
      </c>
      <c r="I641" s="22" t="n">
        <v>1300187.15</v>
      </c>
      <c r="J641" s="19" t="inlineStr">
        <is>
          <t>10 % × 50,000 × split 90%</t>
        </is>
      </c>
    </row>
    <row r="642">
      <c r="A642" s="13" t="n">
        <v>641</v>
      </c>
      <c r="B642" s="14" t="n">
        <v>46436</v>
      </c>
      <c r="C642" s="15" t="n">
        <v>5</v>
      </c>
      <c r="D642" s="26" t="inlineStr">
        <is>
          <t>Achat challenge</t>
        </is>
      </c>
      <c r="E642" s="13" t="inlineStr">
        <is>
          <t>LifeUp Trading</t>
        </is>
      </c>
      <c r="F642" s="13" t="inlineStr">
        <is>
          <t>#232 1 Step 150k</t>
        </is>
      </c>
      <c r="G642" s="17" t="n">
        <v>150000</v>
      </c>
      <c r="H642" s="17" t="n">
        <v>-320000</v>
      </c>
      <c r="I642" s="17" t="n">
        <v>980187.15</v>
      </c>
      <c r="J642" s="13" t="inlineStr">
        <is>
          <t>Groupe B – rang 50 – financement prévu le 18/03/2027 (objectif objectif par défaut (non renseigné))</t>
        </is>
      </c>
    </row>
    <row r="643">
      <c r="A643" s="19" t="n">
        <v>642</v>
      </c>
      <c r="B643" s="20" t="n">
        <v>46436</v>
      </c>
      <c r="C643" s="21" t="n">
        <v>5</v>
      </c>
      <c r="D643" s="26" t="inlineStr">
        <is>
          <t>Achat challenge</t>
        </is>
      </c>
      <c r="E643" s="19" t="inlineStr">
        <is>
          <t>LifeUp Trading</t>
        </is>
      </c>
      <c r="F643" s="19" t="inlineStr">
        <is>
          <t>#233 1 Step 150k</t>
        </is>
      </c>
      <c r="G643" s="22" t="n">
        <v>150000</v>
      </c>
      <c r="H643" s="22" t="n">
        <v>-320000</v>
      </c>
      <c r="I643" s="22" t="n">
        <v>660187.15</v>
      </c>
      <c r="J643" s="19" t="inlineStr">
        <is>
          <t>Groupe B – rang 50 – financement prévu le 18/03/2027 (objectif objectif par défaut (non renseigné))</t>
        </is>
      </c>
    </row>
    <row r="644">
      <c r="A644" s="13" t="n">
        <v>643</v>
      </c>
      <c r="B644" s="14" t="n">
        <v>46436</v>
      </c>
      <c r="C644" s="15" t="n">
        <v>5</v>
      </c>
      <c r="D644" s="26" t="inlineStr">
        <is>
          <t>Achat challenge</t>
        </is>
      </c>
      <c r="E644" s="13" t="inlineStr">
        <is>
          <t>LifeUp Trading</t>
        </is>
      </c>
      <c r="F644" s="13" t="inlineStr">
        <is>
          <t>#234 1 Step 150k</t>
        </is>
      </c>
      <c r="G644" s="17" t="n">
        <v>150000</v>
      </c>
      <c r="H644" s="17" t="n">
        <v>-320000</v>
      </c>
      <c r="I644" s="17" t="n">
        <v>340187.15</v>
      </c>
      <c r="J644" s="13" t="inlineStr">
        <is>
          <t>Groupe B – rang 50 – financement prévu le 18/03/2027 (objectif objectif par défaut (non renseigné))</t>
        </is>
      </c>
    </row>
    <row r="645">
      <c r="A645" s="19" t="n">
        <v>644</v>
      </c>
      <c r="B645" s="20" t="n">
        <v>46436</v>
      </c>
      <c r="C645" s="21" t="n">
        <v>5</v>
      </c>
      <c r="D645" s="26" t="inlineStr">
        <is>
          <t>Achat challenge</t>
        </is>
      </c>
      <c r="E645" s="19" t="inlineStr">
        <is>
          <t>LifeUp Trading</t>
        </is>
      </c>
      <c r="F645" s="19" t="inlineStr">
        <is>
          <t>#235 1 Step 150k</t>
        </is>
      </c>
      <c r="G645" s="22" t="n">
        <v>150000</v>
      </c>
      <c r="H645" s="22" t="n">
        <v>-320000</v>
      </c>
      <c r="I645" s="22" t="n">
        <v>20187.15</v>
      </c>
      <c r="J645" s="19" t="inlineStr">
        <is>
          <t>Groupe B – rang 50 – financement prévu le 18/03/2027 (objectif objectif par défaut (non renseigné))</t>
        </is>
      </c>
    </row>
    <row r="646">
      <c r="A646" s="13" t="n">
        <v>645</v>
      </c>
      <c r="B646" s="14" t="n">
        <v>46436</v>
      </c>
      <c r="C646" s="15" t="n">
        <v>5</v>
      </c>
      <c r="D646" s="26" t="inlineStr">
        <is>
          <t>Achat challenge</t>
        </is>
      </c>
      <c r="E646" s="13" t="inlineStr">
        <is>
          <t>Fundora</t>
        </is>
      </c>
      <c r="F646" s="13" t="inlineStr">
        <is>
          <t>#236 2 Step 400k</t>
        </is>
      </c>
      <c r="G646" s="17" t="n">
        <v>400000</v>
      </c>
      <c r="H646" s="17" t="n">
        <v>-2133</v>
      </c>
      <c r="I646" s="17" t="n">
        <v>18054.15</v>
      </c>
      <c r="J646" s="13" t="inlineStr">
        <is>
          <t>Groupe B – rang 66 – financement prévu le 01/04/2027 (objectif objectif par défaut (non renseigné))</t>
        </is>
      </c>
    </row>
    <row r="647">
      <c r="A647" s="19" t="n">
        <v>646</v>
      </c>
      <c r="B647" s="20" t="n">
        <v>46436</v>
      </c>
      <c r="C647" s="21" t="n">
        <v>5</v>
      </c>
      <c r="D647" s="26" t="inlineStr">
        <is>
          <t>Achat challenge</t>
        </is>
      </c>
      <c r="E647" s="19" t="inlineStr">
        <is>
          <t>Get Crypto Funded</t>
        </is>
      </c>
      <c r="F647" s="19" t="inlineStr">
        <is>
          <t>#237 3 Step 200k</t>
        </is>
      </c>
      <c r="G647" s="22" t="n">
        <v>200000</v>
      </c>
      <c r="H647" s="22" t="n">
        <v>-899</v>
      </c>
      <c r="I647" s="22" t="n">
        <v>17155.15</v>
      </c>
      <c r="J647" s="19" t="inlineStr">
        <is>
          <t>Groupe B – rang 67 – financement prévu le 15/04/2027 (objectif 6%-6%-6%)</t>
        </is>
      </c>
    </row>
    <row r="648">
      <c r="A648" s="13" t="n">
        <v>647</v>
      </c>
      <c r="B648" s="14" t="n">
        <v>46436</v>
      </c>
      <c r="C648" s="15" t="n">
        <v>5</v>
      </c>
      <c r="D648" s="26" t="inlineStr">
        <is>
          <t>Achat challenge</t>
        </is>
      </c>
      <c r="E648" s="13" t="inlineStr">
        <is>
          <t>Get Crypto Funded</t>
        </is>
      </c>
      <c r="F648" s="13" t="inlineStr">
        <is>
          <t>#238 3 Step 200k</t>
        </is>
      </c>
      <c r="G648" s="17" t="n">
        <v>200000</v>
      </c>
      <c r="H648" s="17" t="n">
        <v>-899</v>
      </c>
      <c r="I648" s="17" t="n">
        <v>16256.15</v>
      </c>
      <c r="J648" s="13" t="inlineStr">
        <is>
          <t>Groupe B – rang 67 – financement prévu le 15/04/2027 (objectif 6%-6%-6%)</t>
        </is>
      </c>
    </row>
    <row r="649">
      <c r="A649" s="19" t="n">
        <v>648</v>
      </c>
      <c r="B649" s="20" t="n">
        <v>46436</v>
      </c>
      <c r="C649" s="21" t="n">
        <v>5</v>
      </c>
      <c r="D649" s="26" t="inlineStr">
        <is>
          <t>Achat challenge</t>
        </is>
      </c>
      <c r="E649" s="19" t="inlineStr">
        <is>
          <t>Get Funded Now</t>
        </is>
      </c>
      <c r="F649" s="19" t="inlineStr">
        <is>
          <t>#239 1 Step 200k</t>
        </is>
      </c>
      <c r="G649" s="22" t="n">
        <v>200000</v>
      </c>
      <c r="H649" s="22" t="n">
        <v>-1345</v>
      </c>
      <c r="I649" s="22" t="n">
        <v>14911.15</v>
      </c>
      <c r="J649" s="19" t="inlineStr">
        <is>
          <t>Groupe B – rang 68 – financement prévu le 18/03/2027 (objectif 10%)</t>
        </is>
      </c>
    </row>
    <row r="650">
      <c r="A650" s="13" t="n">
        <v>649</v>
      </c>
      <c r="B650" s="14" t="n">
        <v>46436</v>
      </c>
      <c r="C650" s="15" t="n">
        <v>5</v>
      </c>
      <c r="D650" s="26" t="inlineStr">
        <is>
          <t>Achat challenge</t>
        </is>
      </c>
      <c r="E650" s="13" t="inlineStr">
        <is>
          <t>Get Funded Now</t>
        </is>
      </c>
      <c r="F650" s="13" t="inlineStr">
        <is>
          <t>#240 1 Step 200k</t>
        </is>
      </c>
      <c r="G650" s="17" t="n">
        <v>200000</v>
      </c>
      <c r="H650" s="17" t="n">
        <v>-1345</v>
      </c>
      <c r="I650" s="17" t="n">
        <v>13566.15</v>
      </c>
      <c r="J650" s="13" t="inlineStr">
        <is>
          <t>Groupe B – rang 68 – financement prévu le 18/03/2027 (objectif 10%)</t>
        </is>
      </c>
    </row>
    <row r="651">
      <c r="A651" s="19" t="n">
        <v>650</v>
      </c>
      <c r="B651" s="20" t="n">
        <v>46436</v>
      </c>
      <c r="C651" s="21" t="n">
        <v>5</v>
      </c>
      <c r="D651" s="26" t="inlineStr">
        <is>
          <t>Achat challenge</t>
        </is>
      </c>
      <c r="E651" s="19" t="inlineStr">
        <is>
          <t>Hantec Trader</t>
        </is>
      </c>
      <c r="F651" s="19" t="inlineStr">
        <is>
          <t>#241 3 Step 200k</t>
        </is>
      </c>
      <c r="G651" s="22" t="n">
        <v>200000</v>
      </c>
      <c r="H651" s="22" t="n">
        <v>-499</v>
      </c>
      <c r="I651" s="22" t="n">
        <v>13067.15</v>
      </c>
      <c r="J651" s="19" t="inlineStr">
        <is>
          <t>Groupe B – rang 69 – financement prévu le 15/04/2027 (objectif 6% (+5 % par phase non renseignée))</t>
        </is>
      </c>
    </row>
    <row r="652">
      <c r="A652" s="13" t="n">
        <v>651</v>
      </c>
      <c r="B652" s="14" t="n">
        <v>46436</v>
      </c>
      <c r="C652" s="15" t="n">
        <v>5</v>
      </c>
      <c r="D652" s="26" t="inlineStr">
        <is>
          <t>Achat challenge</t>
        </is>
      </c>
      <c r="E652" s="13" t="inlineStr">
        <is>
          <t>Lion Heart Funding</t>
        </is>
      </c>
      <c r="F652" s="13" t="inlineStr">
        <is>
          <t>#242 2 Step 400k</t>
        </is>
      </c>
      <c r="G652" s="17" t="n">
        <v>400000</v>
      </c>
      <c r="H652" s="17" t="n">
        <v>-1959</v>
      </c>
      <c r="I652" s="17" t="n">
        <v>11108.15</v>
      </c>
      <c r="J652" s="13" t="inlineStr">
        <is>
          <t>Groupe B – rang 70 – financement prévu le 01/04/2027 (objectif 8%-5%)</t>
        </is>
      </c>
    </row>
    <row r="653">
      <c r="A653" s="19" t="n">
        <v>652</v>
      </c>
      <c r="B653" s="20" t="n">
        <v>46436</v>
      </c>
      <c r="C653" s="21" t="n">
        <v>5</v>
      </c>
      <c r="D653" s="26" t="inlineStr">
        <is>
          <t>Achat challenge</t>
        </is>
      </c>
      <c r="E653" s="19" t="inlineStr">
        <is>
          <t>FX2 Funding</t>
        </is>
      </c>
      <c r="F653" s="19" t="inlineStr">
        <is>
          <t>#243 2 Step 100k</t>
        </is>
      </c>
      <c r="G653" s="22" t="n">
        <v>100000</v>
      </c>
      <c r="H653" s="22" t="n">
        <v>-550</v>
      </c>
      <c r="I653" s="22" t="n">
        <v>10558.15</v>
      </c>
      <c r="J653" s="19" t="inlineStr">
        <is>
          <t>Groupe B – rang 71 – financement prévu le 01/04/2027 (objectif 8% - 5%)</t>
        </is>
      </c>
    </row>
    <row r="654">
      <c r="A654" s="13" t="n">
        <v>653</v>
      </c>
      <c r="B654" s="14" t="n">
        <v>46436</v>
      </c>
      <c r="C654" s="15" t="n">
        <v>5</v>
      </c>
      <c r="D654" s="26" t="inlineStr">
        <is>
          <t>Achat challenge</t>
        </is>
      </c>
      <c r="E654" s="13" t="inlineStr">
        <is>
          <t>FX2 Funding</t>
        </is>
      </c>
      <c r="F654" s="13" t="inlineStr">
        <is>
          <t>#244 2 Step 100k</t>
        </is>
      </c>
      <c r="G654" s="17" t="n">
        <v>100000</v>
      </c>
      <c r="H654" s="17" t="n">
        <v>-550</v>
      </c>
      <c r="I654" s="17" t="n">
        <v>10008.15</v>
      </c>
      <c r="J654" s="13" t="inlineStr">
        <is>
          <t>Groupe B – rang 71 – financement prévu le 01/04/2027 (objectif 8% - 5%)</t>
        </is>
      </c>
    </row>
    <row r="655">
      <c r="A655" s="19" t="n">
        <v>654</v>
      </c>
      <c r="B655" s="20" t="n">
        <v>46436</v>
      </c>
      <c r="C655" s="21" t="n">
        <v>5</v>
      </c>
      <c r="D655" s="26" t="inlineStr">
        <is>
          <t>Achat challenge</t>
        </is>
      </c>
      <c r="E655" s="19" t="inlineStr">
        <is>
          <t>FX2 Funding</t>
        </is>
      </c>
      <c r="F655" s="19" t="inlineStr">
        <is>
          <t>#245 2 Step 100k</t>
        </is>
      </c>
      <c r="G655" s="22" t="n">
        <v>100000</v>
      </c>
      <c r="H655" s="22" t="n">
        <v>-550</v>
      </c>
      <c r="I655" s="22" t="n">
        <v>9458.15</v>
      </c>
      <c r="J655" s="19" t="inlineStr">
        <is>
          <t>Groupe B – rang 71 – financement prévu le 01/04/2027 (objectif 8% - 5%)</t>
        </is>
      </c>
    </row>
    <row r="656">
      <c r="A656" s="13" t="n">
        <v>655</v>
      </c>
      <c r="B656" s="14" t="n">
        <v>46436</v>
      </c>
      <c r="C656" s="15" t="n">
        <v>5</v>
      </c>
      <c r="D656" s="26" t="inlineStr">
        <is>
          <t>Achat challenge</t>
        </is>
      </c>
      <c r="E656" s="13" t="inlineStr">
        <is>
          <t>FOREXIVE</t>
        </is>
      </c>
      <c r="F656" s="13" t="inlineStr">
        <is>
          <t>#246 2 Step 200k</t>
        </is>
      </c>
      <c r="G656" s="17" t="n">
        <v>200000</v>
      </c>
      <c r="H656" s="17" t="n">
        <v>-999</v>
      </c>
      <c r="I656" s="17" t="n">
        <v>8459.15</v>
      </c>
      <c r="J656" s="13" t="inlineStr">
        <is>
          <t>Groupe B – rang 72 – financement prévu le 18/03/2027 (objectif 4% (+5 % par phase non renseignée))</t>
        </is>
      </c>
    </row>
    <row r="657">
      <c r="A657" s="19" t="n">
        <v>656</v>
      </c>
      <c r="B657" s="20" t="n">
        <v>46436</v>
      </c>
      <c r="C657" s="21" t="n">
        <v>5</v>
      </c>
      <c r="D657" s="26" t="inlineStr">
        <is>
          <t>Achat challenge</t>
        </is>
      </c>
      <c r="E657" s="19" t="inlineStr">
        <is>
          <t>AIFO</t>
        </is>
      </c>
      <c r="F657" s="19" t="inlineStr">
        <is>
          <t>#247 2 Step 200k</t>
        </is>
      </c>
      <c r="G657" s="22" t="n">
        <v>200000</v>
      </c>
      <c r="H657" s="22" t="n">
        <v>-849</v>
      </c>
      <c r="I657" s="22" t="n">
        <v>7610.15</v>
      </c>
      <c r="J657" s="19" t="inlineStr">
        <is>
          <t>Groupe B – rang 73 – financement prévu le 01/04/2027 (objectif objectif par défaut (non renseigné))</t>
        </is>
      </c>
    </row>
    <row r="658">
      <c r="A658" s="13" t="n">
        <v>657</v>
      </c>
      <c r="B658" s="14" t="n">
        <v>46436</v>
      </c>
      <c r="C658" s="15" t="n">
        <v>5</v>
      </c>
      <c r="D658" s="26" t="inlineStr">
        <is>
          <t>Achat challenge</t>
        </is>
      </c>
      <c r="E658" s="13" t="inlineStr">
        <is>
          <t>BEM Funding</t>
        </is>
      </c>
      <c r="F658" s="13" t="inlineStr">
        <is>
          <t>#248 2 Step 100k</t>
        </is>
      </c>
      <c r="G658" s="17" t="n">
        <v>100000</v>
      </c>
      <c r="H658" s="17" t="n">
        <v>-519</v>
      </c>
      <c r="I658" s="17" t="n">
        <v>7091.15</v>
      </c>
      <c r="J658" s="13" t="inlineStr">
        <is>
          <t>Groupe B – rang 74 – financement prévu le 01/04/2027 (objectif 9%-4.5%)</t>
        </is>
      </c>
    </row>
    <row r="659">
      <c r="A659" s="19" t="n">
        <v>658</v>
      </c>
      <c r="B659" s="20" t="n">
        <v>46436</v>
      </c>
      <c r="C659" s="21" t="n">
        <v>5</v>
      </c>
      <c r="D659" s="26" t="inlineStr">
        <is>
          <t>Achat challenge</t>
        </is>
      </c>
      <c r="E659" s="19" t="inlineStr">
        <is>
          <t>Breakout</t>
        </is>
      </c>
      <c r="F659" s="19" t="inlineStr">
        <is>
          <t>#249 1 Step 200k</t>
        </is>
      </c>
      <c r="G659" s="22" t="n">
        <v>200000</v>
      </c>
      <c r="H659" s="22" t="n">
        <v>-1090</v>
      </c>
      <c r="I659" s="22" t="n">
        <v>6001.15</v>
      </c>
      <c r="J659" s="19" t="inlineStr">
        <is>
          <t>Groupe B – rang 75 – financement prévu le 18/03/2027 (objectif objectif par défaut (non renseigné))</t>
        </is>
      </c>
    </row>
    <row r="660">
      <c r="A660" s="13" t="n">
        <v>659</v>
      </c>
      <c r="B660" s="14" t="n">
        <v>46436</v>
      </c>
      <c r="C660" s="15" t="n">
        <v>5</v>
      </c>
      <c r="D660" s="26" t="inlineStr">
        <is>
          <t>Achat challenge</t>
        </is>
      </c>
      <c r="E660" s="13" t="inlineStr">
        <is>
          <t>BullRush</t>
        </is>
      </c>
      <c r="F660" s="13" t="inlineStr">
        <is>
          <t>#250 2 Step 200k</t>
        </is>
      </c>
      <c r="G660" s="17" t="n">
        <v>200000</v>
      </c>
      <c r="H660" s="17" t="n">
        <v>-800</v>
      </c>
      <c r="I660" s="17" t="n">
        <v>5201.15</v>
      </c>
      <c r="J660" s="13" t="inlineStr">
        <is>
          <t>Groupe B – rang 76 – financement prévu le 01/04/2027 (objectif 10%-5%)</t>
        </is>
      </c>
    </row>
    <row r="661">
      <c r="A661" s="19" t="n">
        <v>660</v>
      </c>
      <c r="B661" s="20" t="n">
        <v>46436</v>
      </c>
      <c r="C661" s="21" t="n">
        <v>5</v>
      </c>
      <c r="D661" s="26" t="inlineStr">
        <is>
          <t>Achat challenge</t>
        </is>
      </c>
      <c r="E661" s="19" t="inlineStr">
        <is>
          <t>Exclusive Funded Programme</t>
        </is>
      </c>
      <c r="F661" s="19" t="inlineStr">
        <is>
          <t>#251 2 Step 200k</t>
        </is>
      </c>
      <c r="G661" s="22" t="n">
        <v>200000</v>
      </c>
      <c r="H661" s="22" t="n">
        <v>-999</v>
      </c>
      <c r="I661" s="22" t="n">
        <v>4202.15</v>
      </c>
      <c r="J661" s="19" t="inlineStr">
        <is>
          <t>Groupe B – rang 77 – financement prévu le 01/04/2027 (objectif 7%-5%)</t>
        </is>
      </c>
    </row>
    <row r="662">
      <c r="A662" s="13" t="n">
        <v>661</v>
      </c>
      <c r="B662" s="14" t="n">
        <v>46436</v>
      </c>
      <c r="C662" s="15" t="n">
        <v>5</v>
      </c>
      <c r="D662" s="26" t="inlineStr">
        <is>
          <t>Achat challenge</t>
        </is>
      </c>
      <c r="E662" s="13" t="inlineStr">
        <is>
          <t>FunderPro</t>
        </is>
      </c>
      <c r="F662" s="13" t="inlineStr">
        <is>
          <t>#252 1 Step 200k</t>
        </is>
      </c>
      <c r="G662" s="17" t="n">
        <v>200000</v>
      </c>
      <c r="H662" s="17" t="n">
        <v>-989</v>
      </c>
      <c r="I662" s="17" t="n">
        <v>3213.15</v>
      </c>
      <c r="J662" s="13" t="inlineStr">
        <is>
          <t>Groupe B – rang 78 – financement prévu le 01/04/2027 (objectif 14%)</t>
        </is>
      </c>
    </row>
    <row r="663">
      <c r="A663" s="19" t="n">
        <v>662</v>
      </c>
      <c r="B663" s="20" t="n">
        <v>46436</v>
      </c>
      <c r="C663" s="21" t="n">
        <v>5</v>
      </c>
      <c r="D663" s="26" t="inlineStr">
        <is>
          <t>Achat challenge</t>
        </is>
      </c>
      <c r="E663" s="19" t="inlineStr">
        <is>
          <t>Funding Your Trades</t>
        </is>
      </c>
      <c r="F663" s="19" t="inlineStr">
        <is>
          <t>#253 2 Step 100k</t>
        </is>
      </c>
      <c r="G663" s="22" t="n">
        <v>100000</v>
      </c>
      <c r="H663" s="22" t="n">
        <v>-459</v>
      </c>
      <c r="I663" s="22" t="n">
        <v>2754.15</v>
      </c>
      <c r="J663" s="19" t="inlineStr">
        <is>
          <t>Groupe B – rang 79 – financement prévu le 01/04/2027 (objectif 10% (+5 % par phase non renseignée))</t>
        </is>
      </c>
    </row>
    <row r="664">
      <c r="A664" s="13" t="n">
        <v>663</v>
      </c>
      <c r="B664" s="14" t="n">
        <v>46436</v>
      </c>
      <c r="C664" s="15" t="n">
        <v>5</v>
      </c>
      <c r="D664" s="26" t="inlineStr">
        <is>
          <t>Achat challenge</t>
        </is>
      </c>
      <c r="E664" s="13" t="inlineStr">
        <is>
          <t>HyroTrader</t>
        </is>
      </c>
      <c r="F664" s="13" t="inlineStr">
        <is>
          <t>#254 1 Step 200k</t>
        </is>
      </c>
      <c r="G664" s="17" t="n">
        <v>200000</v>
      </c>
      <c r="H664" s="17" t="n">
        <v>-969</v>
      </c>
      <c r="I664" s="17" t="n">
        <v>1785.15</v>
      </c>
      <c r="J664" s="13" t="inlineStr">
        <is>
          <t>Groupe B – rang 80 – financement prévu le 18/03/2027 (objectif 10%)</t>
        </is>
      </c>
    </row>
    <row r="665">
      <c r="A665" s="19" t="n">
        <v>664</v>
      </c>
      <c r="B665" s="20" t="n">
        <v>46436</v>
      </c>
      <c r="C665" s="21" t="n">
        <v>5</v>
      </c>
      <c r="D665" s="26" t="inlineStr">
        <is>
          <t>Achat challenge</t>
        </is>
      </c>
      <c r="E665" s="19" t="inlineStr">
        <is>
          <t>Mubite</t>
        </is>
      </c>
      <c r="F665" s="19" t="inlineStr">
        <is>
          <t>#255 2 Step 200k</t>
        </is>
      </c>
      <c r="G665" s="22" t="n">
        <v>200000</v>
      </c>
      <c r="H665" s="22" t="n">
        <v>-1099</v>
      </c>
      <c r="I665" s="22" t="n">
        <v>686.15</v>
      </c>
      <c r="J665" s="19" t="inlineStr">
        <is>
          <t>Groupe B – rang 81 – financement prévu le 01/04/2027 (objectif 10%-5%)</t>
        </is>
      </c>
    </row>
    <row r="666">
      <c r="A666" s="13" t="n">
        <v>665</v>
      </c>
      <c r="B666" s="14" t="n">
        <v>46436</v>
      </c>
      <c r="C666" s="15" t="n">
        <v>5</v>
      </c>
      <c r="D666" s="26" t="inlineStr">
        <is>
          <t>Achat challenge</t>
        </is>
      </c>
      <c r="E666" s="13" t="inlineStr">
        <is>
          <t>Tradersyard</t>
        </is>
      </c>
      <c r="F666" s="13" t="inlineStr">
        <is>
          <t>#256 1 Step 150k</t>
        </is>
      </c>
      <c r="G666" s="17" t="n">
        <v>150000</v>
      </c>
      <c r="H666" s="17" t="n">
        <v>-339</v>
      </c>
      <c r="I666" s="17" t="n">
        <v>347.15</v>
      </c>
      <c r="J666" s="13" t="inlineStr">
        <is>
          <t>Groupe B – rang 82 – financement prévu le 18/03/2027 (objectif objectif par défaut (non renseigné))</t>
        </is>
      </c>
    </row>
    <row r="667">
      <c r="A667" s="19" t="n">
        <v>666</v>
      </c>
      <c r="B667" s="20" t="n">
        <v>46450</v>
      </c>
      <c r="C667" s="21" t="n">
        <v>5.5</v>
      </c>
      <c r="D667" s="24" t="inlineStr">
        <is>
          <t>Financement</t>
        </is>
      </c>
      <c r="E667" s="19" t="inlineStr">
        <is>
          <t>BestProp4U</t>
        </is>
      </c>
      <c r="F667" s="19" t="inlineStr">
        <is>
          <t>#149 2 Step 400k</t>
        </is>
      </c>
      <c r="G667" s="22" t="n">
        <v>400000</v>
      </c>
      <c r="H667" s="22" t="n">
        <v>0</v>
      </c>
      <c r="I667" s="22" t="n">
        <v>347.15</v>
      </c>
      <c r="J667" s="19" t="inlineStr">
        <is>
          <t>Évaluation réussie (8% - 5%) – 1er payout le 01/04/2027</t>
        </is>
      </c>
    </row>
    <row r="668">
      <c r="A668" s="13" t="n">
        <v>667</v>
      </c>
      <c r="B668" s="14" t="n">
        <v>46450</v>
      </c>
      <c r="C668" s="15" t="n">
        <v>5.5</v>
      </c>
      <c r="D668" s="24" t="inlineStr">
        <is>
          <t>Financement</t>
        </is>
      </c>
      <c r="E668" s="13" t="inlineStr">
        <is>
          <t>BestProp4U</t>
        </is>
      </c>
      <c r="F668" s="13" t="inlineStr">
        <is>
          <t>#150 2 Step 400k</t>
        </is>
      </c>
      <c r="G668" s="17" t="n">
        <v>400000</v>
      </c>
      <c r="H668" s="17" t="n">
        <v>0</v>
      </c>
      <c r="I668" s="17" t="n">
        <v>347.15</v>
      </c>
      <c r="J668" s="13" t="inlineStr">
        <is>
          <t>Évaluation réussie (8% - 5%) – 1er payout le 01/04/2027</t>
        </is>
      </c>
    </row>
    <row r="669">
      <c r="A669" s="19" t="n">
        <v>668</v>
      </c>
      <c r="B669" s="20" t="n">
        <v>46450</v>
      </c>
      <c r="C669" s="21" t="n">
        <v>5.5</v>
      </c>
      <c r="D669" s="24" t="inlineStr">
        <is>
          <t>Financement</t>
        </is>
      </c>
      <c r="E669" s="19" t="inlineStr">
        <is>
          <t>Blink Funding</t>
        </is>
      </c>
      <c r="F669" s="19" t="inlineStr">
        <is>
          <t>#151 3 Step 500k</t>
        </is>
      </c>
      <c r="G669" s="22" t="n">
        <v>500000</v>
      </c>
      <c r="H669" s="22" t="n">
        <v>0</v>
      </c>
      <c r="I669" s="22" t="n">
        <v>347.15</v>
      </c>
      <c r="J669" s="19" t="inlineStr">
        <is>
          <t>Évaluation réussie (5%-5%-5%) – 1er payout le 01/04/2027</t>
        </is>
      </c>
    </row>
    <row r="670">
      <c r="A670" s="13" t="n">
        <v>669</v>
      </c>
      <c r="B670" s="14" t="n">
        <v>46450</v>
      </c>
      <c r="C670" s="15" t="n">
        <v>5.5</v>
      </c>
      <c r="D670" s="24" t="inlineStr">
        <is>
          <t>Financement</t>
        </is>
      </c>
      <c r="E670" s="13" t="inlineStr">
        <is>
          <t>Blink Funding</t>
        </is>
      </c>
      <c r="F670" s="13" t="inlineStr">
        <is>
          <t>#152 3 Step 500k</t>
        </is>
      </c>
      <c r="G670" s="17" t="n">
        <v>500000</v>
      </c>
      <c r="H670" s="17" t="n">
        <v>0</v>
      </c>
      <c r="I670" s="17" t="n">
        <v>347.15</v>
      </c>
      <c r="J670" s="13" t="inlineStr">
        <is>
          <t>Évaluation réussie (5%-5%-5%) – 1er payout le 01/04/2027</t>
        </is>
      </c>
    </row>
    <row r="671">
      <c r="A671" s="19" t="n">
        <v>670</v>
      </c>
      <c r="B671" s="20" t="n">
        <v>46450</v>
      </c>
      <c r="C671" s="21" t="n">
        <v>5.5</v>
      </c>
      <c r="D671" s="24" t="inlineStr">
        <is>
          <t>Financement</t>
        </is>
      </c>
      <c r="E671" s="19" t="inlineStr">
        <is>
          <t>Investiqa</t>
        </is>
      </c>
      <c r="F671" s="19" t="inlineStr">
        <is>
          <t>#162 2 Step 500k</t>
        </is>
      </c>
      <c r="G671" s="22" t="n">
        <v>500000</v>
      </c>
      <c r="H671" s="22" t="n">
        <v>0</v>
      </c>
      <c r="I671" s="22" t="n">
        <v>347.15</v>
      </c>
      <c r="J671" s="19" t="inlineStr">
        <is>
          <t>Évaluation réussie (10% - 5%) – 1er payout le 01/04/2027</t>
        </is>
      </c>
    </row>
    <row r="672">
      <c r="A672" s="13" t="n">
        <v>671</v>
      </c>
      <c r="B672" s="14" t="n">
        <v>46450</v>
      </c>
      <c r="C672" s="15" t="n">
        <v>5.5</v>
      </c>
      <c r="D672" s="24" t="inlineStr">
        <is>
          <t>Financement</t>
        </is>
      </c>
      <c r="E672" s="13" t="inlineStr">
        <is>
          <t>Investiqa</t>
        </is>
      </c>
      <c r="F672" s="13" t="inlineStr">
        <is>
          <t>#163 2 Step 500k</t>
        </is>
      </c>
      <c r="G672" s="17" t="n">
        <v>500000</v>
      </c>
      <c r="H672" s="17" t="n">
        <v>0</v>
      </c>
      <c r="I672" s="17" t="n">
        <v>347.15</v>
      </c>
      <c r="J672" s="13" t="inlineStr">
        <is>
          <t>Évaluation réussie (10% - 5%) – 1er payout le 01/04/2027</t>
        </is>
      </c>
    </row>
    <row r="673">
      <c r="A673" s="19" t="n">
        <v>672</v>
      </c>
      <c r="B673" s="20" t="n">
        <v>46450</v>
      </c>
      <c r="C673" s="21" t="n">
        <v>5.5</v>
      </c>
      <c r="D673" s="24" t="inlineStr">
        <is>
          <t>Financement</t>
        </is>
      </c>
      <c r="E673" s="19" t="inlineStr">
        <is>
          <t>FXIFY</t>
        </is>
      </c>
      <c r="F673" s="19" t="inlineStr">
        <is>
          <t>#166 3 Step 400k</t>
        </is>
      </c>
      <c r="G673" s="22" t="n">
        <v>400000</v>
      </c>
      <c r="H673" s="22" t="n">
        <v>0</v>
      </c>
      <c r="I673" s="22" t="n">
        <v>347.15</v>
      </c>
      <c r="J673" s="19" t="inlineStr">
        <is>
          <t>Évaluation réussie (5%-5%-5%) – 1er payout le 01/04/2027</t>
        </is>
      </c>
    </row>
    <row r="674">
      <c r="A674" s="13" t="n">
        <v>673</v>
      </c>
      <c r="B674" s="14" t="n">
        <v>46450</v>
      </c>
      <c r="C674" s="15" t="n">
        <v>5.5</v>
      </c>
      <c r="D674" s="24" t="inlineStr">
        <is>
          <t>Financement</t>
        </is>
      </c>
      <c r="E674" s="13" t="inlineStr">
        <is>
          <t>FXIFY</t>
        </is>
      </c>
      <c r="F674" s="13" t="inlineStr">
        <is>
          <t>#167 3 Step 400k</t>
        </is>
      </c>
      <c r="G674" s="17" t="n">
        <v>400000</v>
      </c>
      <c r="H674" s="17" t="n">
        <v>0</v>
      </c>
      <c r="I674" s="17" t="n">
        <v>347.15</v>
      </c>
      <c r="J674" s="13" t="inlineStr">
        <is>
          <t>Évaluation réussie (5%-5%-5%) – 1er payout le 01/04/2027</t>
        </is>
      </c>
    </row>
    <row r="675">
      <c r="A675" s="19" t="n">
        <v>674</v>
      </c>
      <c r="B675" s="20" t="n">
        <v>46450</v>
      </c>
      <c r="C675" s="21" t="n">
        <v>5.5</v>
      </c>
      <c r="D675" s="24" t="inlineStr">
        <is>
          <t>Financement</t>
        </is>
      </c>
      <c r="E675" s="19" t="inlineStr">
        <is>
          <t>Funded Squad</t>
        </is>
      </c>
      <c r="F675" s="19" t="inlineStr">
        <is>
          <t>#168 2 Step 200k</t>
        </is>
      </c>
      <c r="G675" s="22" t="n">
        <v>200000</v>
      </c>
      <c r="H675" s="22" t="n">
        <v>0</v>
      </c>
      <c r="I675" s="22" t="n">
        <v>347.15</v>
      </c>
      <c r="J675" s="19" t="inlineStr">
        <is>
          <t>Évaluation réussie (6% (+5 % par phase non renseignée)) – 1er payout le 01/04/2027</t>
        </is>
      </c>
    </row>
    <row r="676">
      <c r="A676" s="13" t="n">
        <v>675</v>
      </c>
      <c r="B676" s="14" t="n">
        <v>46450</v>
      </c>
      <c r="C676" s="15" t="n">
        <v>5.5</v>
      </c>
      <c r="D676" s="24" t="inlineStr">
        <is>
          <t>Financement</t>
        </is>
      </c>
      <c r="E676" s="13" t="inlineStr">
        <is>
          <t>Funded Squad</t>
        </is>
      </c>
      <c r="F676" s="13" t="inlineStr">
        <is>
          <t>#169 2 Step 200k</t>
        </is>
      </c>
      <c r="G676" s="17" t="n">
        <v>200000</v>
      </c>
      <c r="H676" s="17" t="n">
        <v>0</v>
      </c>
      <c r="I676" s="17" t="n">
        <v>347.15</v>
      </c>
      <c r="J676" s="13" t="inlineStr">
        <is>
          <t>Évaluation réussie (6% (+5 % par phase non renseignée)) – 1er payout le 01/04/2027</t>
        </is>
      </c>
    </row>
    <row r="677">
      <c r="A677" s="19" t="n">
        <v>676</v>
      </c>
      <c r="B677" s="20" t="n">
        <v>46450</v>
      </c>
      <c r="C677" s="21" t="n">
        <v>5.5</v>
      </c>
      <c r="D677" s="24" t="inlineStr">
        <is>
          <t>Financement</t>
        </is>
      </c>
      <c r="E677" s="19" t="inlineStr">
        <is>
          <t>Funded Squad</t>
        </is>
      </c>
      <c r="F677" s="19" t="inlineStr">
        <is>
          <t>#170 2 Step 200k</t>
        </is>
      </c>
      <c r="G677" s="22" t="n">
        <v>200000</v>
      </c>
      <c r="H677" s="22" t="n">
        <v>0</v>
      </c>
      <c r="I677" s="22" t="n">
        <v>347.15</v>
      </c>
      <c r="J677" s="19" t="inlineStr">
        <is>
          <t>Évaluation réussie (6% (+5 % par phase non renseignée)) – 1er payout le 01/04/2027</t>
        </is>
      </c>
    </row>
    <row r="678">
      <c r="A678" s="13" t="n">
        <v>677</v>
      </c>
      <c r="B678" s="14" t="n">
        <v>46450</v>
      </c>
      <c r="C678" s="15" t="n">
        <v>5.5</v>
      </c>
      <c r="D678" s="24" t="inlineStr">
        <is>
          <t>Financement</t>
        </is>
      </c>
      <c r="E678" s="13" t="inlineStr">
        <is>
          <t>Funded Squad</t>
        </is>
      </c>
      <c r="F678" s="13" t="inlineStr">
        <is>
          <t>#171 2 Step 200k</t>
        </is>
      </c>
      <c r="G678" s="17" t="n">
        <v>200000</v>
      </c>
      <c r="H678" s="17" t="n">
        <v>0</v>
      </c>
      <c r="I678" s="17" t="n">
        <v>347.15</v>
      </c>
      <c r="J678" s="13" t="inlineStr">
        <is>
          <t>Évaluation réussie (6% (+5 % par phase non renseignée)) – 1er payout le 01/04/2027</t>
        </is>
      </c>
    </row>
    <row r="679">
      <c r="A679" s="19" t="n">
        <v>678</v>
      </c>
      <c r="B679" s="20" t="n">
        <v>46450</v>
      </c>
      <c r="C679" s="21" t="n">
        <v>5.5</v>
      </c>
      <c r="D679" s="24" t="inlineStr">
        <is>
          <t>Financement</t>
        </is>
      </c>
      <c r="E679" s="19" t="inlineStr">
        <is>
          <t>Fintokei</t>
        </is>
      </c>
      <c r="F679" s="19" t="inlineStr">
        <is>
          <t>#189 3 Step 100k</t>
        </is>
      </c>
      <c r="G679" s="22" t="n">
        <v>100000</v>
      </c>
      <c r="H679" s="22" t="n">
        <v>0</v>
      </c>
      <c r="I679" s="22" t="n">
        <v>347.15</v>
      </c>
      <c r="J679" s="19" t="inlineStr">
        <is>
          <t>Évaluation réussie (2%-3%-6%) – 1er payout le 01/04/2027</t>
        </is>
      </c>
    </row>
    <row r="680">
      <c r="A680" s="13" t="n">
        <v>679</v>
      </c>
      <c r="B680" s="14" t="n">
        <v>46450</v>
      </c>
      <c r="C680" s="15" t="n">
        <v>5.5</v>
      </c>
      <c r="D680" s="24" t="inlineStr">
        <is>
          <t>Financement</t>
        </is>
      </c>
      <c r="E680" s="13" t="inlineStr">
        <is>
          <t>Fintokei</t>
        </is>
      </c>
      <c r="F680" s="13" t="inlineStr">
        <is>
          <t>#190 3 Step 100k</t>
        </is>
      </c>
      <c r="G680" s="17" t="n">
        <v>100000</v>
      </c>
      <c r="H680" s="17" t="n">
        <v>0</v>
      </c>
      <c r="I680" s="17" t="n">
        <v>347.15</v>
      </c>
      <c r="J680" s="13" t="inlineStr">
        <is>
          <t>Évaluation réussie (2%-3%-6%) – 1er payout le 01/04/2027</t>
        </is>
      </c>
    </row>
    <row r="681">
      <c r="A681" s="19" t="n">
        <v>680</v>
      </c>
      <c r="B681" s="20" t="n">
        <v>46450</v>
      </c>
      <c r="C681" s="21" t="n">
        <v>5.5</v>
      </c>
      <c r="D681" s="24" t="inlineStr">
        <is>
          <t>Financement</t>
        </is>
      </c>
      <c r="E681" s="19" t="inlineStr">
        <is>
          <t>Fintokei</t>
        </is>
      </c>
      <c r="F681" s="19" t="inlineStr">
        <is>
          <t>#191 3 Step 100k</t>
        </is>
      </c>
      <c r="G681" s="22" t="n">
        <v>100000</v>
      </c>
      <c r="H681" s="22" t="n">
        <v>0</v>
      </c>
      <c r="I681" s="22" t="n">
        <v>347.15</v>
      </c>
      <c r="J681" s="19" t="inlineStr">
        <is>
          <t>Évaluation réussie (2%-3%-6%) – 1er payout le 01/04/2027</t>
        </is>
      </c>
    </row>
    <row r="682">
      <c r="A682" s="13" t="n">
        <v>681</v>
      </c>
      <c r="B682" s="14" t="n">
        <v>46450</v>
      </c>
      <c r="C682" s="15" t="n">
        <v>5.5</v>
      </c>
      <c r="D682" s="24" t="inlineStr">
        <is>
          <t>Financement</t>
        </is>
      </c>
      <c r="E682" s="13" t="inlineStr">
        <is>
          <t>Fintokei</t>
        </is>
      </c>
      <c r="F682" s="13" t="inlineStr">
        <is>
          <t>#192 3 Step 100k</t>
        </is>
      </c>
      <c r="G682" s="17" t="n">
        <v>100000</v>
      </c>
      <c r="H682" s="17" t="n">
        <v>0</v>
      </c>
      <c r="I682" s="17" t="n">
        <v>347.15</v>
      </c>
      <c r="J682" s="13" t="inlineStr">
        <is>
          <t>Évaluation réussie (2%-3%-6%) – 1er payout le 01/04/2027</t>
        </is>
      </c>
    </row>
    <row r="683">
      <c r="A683" s="19" t="n">
        <v>682</v>
      </c>
      <c r="B683" s="20" t="n">
        <v>46450</v>
      </c>
      <c r="C683" s="21" t="n">
        <v>5.5</v>
      </c>
      <c r="D683" s="24" t="inlineStr">
        <is>
          <t>Financement</t>
        </is>
      </c>
      <c r="E683" s="19" t="inlineStr">
        <is>
          <t>Fintokei</t>
        </is>
      </c>
      <c r="F683" s="19" t="inlineStr">
        <is>
          <t>#193 3 Step 100k</t>
        </is>
      </c>
      <c r="G683" s="22" t="n">
        <v>100000</v>
      </c>
      <c r="H683" s="22" t="n">
        <v>0</v>
      </c>
      <c r="I683" s="22" t="n">
        <v>347.15</v>
      </c>
      <c r="J683" s="19" t="inlineStr">
        <is>
          <t>Évaluation réussie (2%-3%-6%) – 1er payout le 01/04/2027</t>
        </is>
      </c>
    </row>
    <row r="684">
      <c r="A684" s="13" t="n">
        <v>683</v>
      </c>
      <c r="B684" s="14" t="n">
        <v>46450</v>
      </c>
      <c r="C684" s="15" t="n">
        <v>5.5</v>
      </c>
      <c r="D684" s="24" t="inlineStr">
        <is>
          <t>Financement</t>
        </is>
      </c>
      <c r="E684" s="13" t="inlineStr">
        <is>
          <t>Fintokei</t>
        </is>
      </c>
      <c r="F684" s="13" t="inlineStr">
        <is>
          <t>#194 3 Step 100k</t>
        </is>
      </c>
      <c r="G684" s="17" t="n">
        <v>100000</v>
      </c>
      <c r="H684" s="17" t="n">
        <v>0</v>
      </c>
      <c r="I684" s="17" t="n">
        <v>347.15</v>
      </c>
      <c r="J684" s="13" t="inlineStr">
        <is>
          <t>Évaluation réussie (2%-3%-6%) – 1er payout le 01/04/2027</t>
        </is>
      </c>
    </row>
    <row r="685">
      <c r="A685" s="19" t="n">
        <v>684</v>
      </c>
      <c r="B685" s="20" t="n">
        <v>46450</v>
      </c>
      <c r="C685" s="21" t="n">
        <v>5.5</v>
      </c>
      <c r="D685" s="24" t="inlineStr">
        <is>
          <t>Financement</t>
        </is>
      </c>
      <c r="E685" s="19" t="inlineStr">
        <is>
          <t>Fintokei</t>
        </is>
      </c>
      <c r="F685" s="19" t="inlineStr">
        <is>
          <t>#195 3 Step 100k</t>
        </is>
      </c>
      <c r="G685" s="22" t="n">
        <v>100000</v>
      </c>
      <c r="H685" s="22" t="n">
        <v>0</v>
      </c>
      <c r="I685" s="22" t="n">
        <v>347.15</v>
      </c>
      <c r="J685" s="19" t="inlineStr">
        <is>
          <t>Évaluation réussie (2%-3%-6%) – 1er payout le 01/04/2027</t>
        </is>
      </c>
    </row>
    <row r="686">
      <c r="A686" s="13" t="n">
        <v>685</v>
      </c>
      <c r="B686" s="14" t="n">
        <v>46450</v>
      </c>
      <c r="C686" s="15" t="n">
        <v>5.5</v>
      </c>
      <c r="D686" s="24" t="inlineStr">
        <is>
          <t>Financement</t>
        </is>
      </c>
      <c r="E686" s="13" t="inlineStr">
        <is>
          <t>DNA Funded</t>
        </is>
      </c>
      <c r="F686" s="13" t="inlineStr">
        <is>
          <t>#196 2 Step 200k</t>
        </is>
      </c>
      <c r="G686" s="17" t="n">
        <v>200000</v>
      </c>
      <c r="H686" s="17" t="n">
        <v>0</v>
      </c>
      <c r="I686" s="17" t="n">
        <v>347.15</v>
      </c>
      <c r="J686" s="13" t="inlineStr">
        <is>
          <t>Évaluation réussie (8% - 5%) – 1er payout le 01/04/2027</t>
        </is>
      </c>
    </row>
    <row r="687">
      <c r="A687" s="19" t="n">
        <v>686</v>
      </c>
      <c r="B687" s="20" t="n">
        <v>46450</v>
      </c>
      <c r="C687" s="21" t="n">
        <v>5.5</v>
      </c>
      <c r="D687" s="24" t="inlineStr">
        <is>
          <t>Financement</t>
        </is>
      </c>
      <c r="E687" s="19" t="inlineStr">
        <is>
          <t>DNA Funded</t>
        </is>
      </c>
      <c r="F687" s="19" t="inlineStr">
        <is>
          <t>#197 2 Step 200k</t>
        </is>
      </c>
      <c r="G687" s="22" t="n">
        <v>200000</v>
      </c>
      <c r="H687" s="22" t="n">
        <v>0</v>
      </c>
      <c r="I687" s="22" t="n">
        <v>347.15</v>
      </c>
      <c r="J687" s="19" t="inlineStr">
        <is>
          <t>Évaluation réussie (8% - 5%) – 1er payout le 01/04/2027</t>
        </is>
      </c>
    </row>
    <row r="688">
      <c r="A688" s="13" t="n">
        <v>687</v>
      </c>
      <c r="B688" s="14" t="n">
        <v>46450</v>
      </c>
      <c r="C688" s="15" t="n">
        <v>5.5</v>
      </c>
      <c r="D688" s="24" t="inlineStr">
        <is>
          <t>Financement</t>
        </is>
      </c>
      <c r="E688" s="13" t="inlineStr">
        <is>
          <t>DNA Funded</t>
        </is>
      </c>
      <c r="F688" s="13" t="inlineStr">
        <is>
          <t>#198 2 Step 200k</t>
        </is>
      </c>
      <c r="G688" s="17" t="n">
        <v>200000</v>
      </c>
      <c r="H688" s="17" t="n">
        <v>0</v>
      </c>
      <c r="I688" s="17" t="n">
        <v>347.15</v>
      </c>
      <c r="J688" s="13" t="inlineStr">
        <is>
          <t>Évaluation réussie (8% - 5%) – 1er payout le 01/04/2027</t>
        </is>
      </c>
    </row>
    <row r="689">
      <c r="A689" s="19" t="n">
        <v>688</v>
      </c>
      <c r="B689" s="20" t="n">
        <v>46450</v>
      </c>
      <c r="C689" s="21" t="n">
        <v>5.5</v>
      </c>
      <c r="D689" s="24" t="inlineStr">
        <is>
          <t>Financement</t>
        </is>
      </c>
      <c r="E689" s="19" t="inlineStr">
        <is>
          <t>Eightcap Challenges</t>
        </is>
      </c>
      <c r="F689" s="19" t="inlineStr">
        <is>
          <t>#199 2 Step 200k</t>
        </is>
      </c>
      <c r="G689" s="22" t="n">
        <v>200000</v>
      </c>
      <c r="H689" s="22" t="n">
        <v>0</v>
      </c>
      <c r="I689" s="22" t="n">
        <v>347.15</v>
      </c>
      <c r="J689" s="19" t="inlineStr">
        <is>
          <t>Évaluation réussie (10% (+5 % par phase non renseignée)) – 1er payout le 01/04/2027</t>
        </is>
      </c>
    </row>
    <row r="690">
      <c r="A690" s="13" t="n">
        <v>689</v>
      </c>
      <c r="B690" s="14" t="n">
        <v>46450</v>
      </c>
      <c r="C690" s="15" t="n">
        <v>5.5</v>
      </c>
      <c r="D690" s="24" t="inlineStr">
        <is>
          <t>Financement</t>
        </is>
      </c>
      <c r="E690" s="13" t="inlineStr">
        <is>
          <t>Eightcap Challenges</t>
        </is>
      </c>
      <c r="F690" s="13" t="inlineStr">
        <is>
          <t>#200 2 Step 200k</t>
        </is>
      </c>
      <c r="G690" s="17" t="n">
        <v>200000</v>
      </c>
      <c r="H690" s="17" t="n">
        <v>0</v>
      </c>
      <c r="I690" s="17" t="n">
        <v>347.15</v>
      </c>
      <c r="J690" s="13" t="inlineStr">
        <is>
          <t>Évaluation réussie (10% (+5 % par phase non renseignée)) – 1er payout le 01/04/2027</t>
        </is>
      </c>
    </row>
    <row r="691">
      <c r="A691" s="19" t="n">
        <v>690</v>
      </c>
      <c r="B691" s="20" t="n">
        <v>46450</v>
      </c>
      <c r="C691" s="21" t="n">
        <v>5.5</v>
      </c>
      <c r="D691" s="24" t="inlineStr">
        <is>
          <t>Financement</t>
        </is>
      </c>
      <c r="E691" s="19" t="inlineStr">
        <is>
          <t>Eightcap Challenges</t>
        </is>
      </c>
      <c r="F691" s="19" t="inlineStr">
        <is>
          <t>#201 2 Step 200k</t>
        </is>
      </c>
      <c r="G691" s="22" t="n">
        <v>200000</v>
      </c>
      <c r="H691" s="22" t="n">
        <v>0</v>
      </c>
      <c r="I691" s="22" t="n">
        <v>347.15</v>
      </c>
      <c r="J691" s="19" t="inlineStr">
        <is>
          <t>Évaluation réussie (10% (+5 % par phase non renseignée)) – 1er payout le 01/04/2027</t>
        </is>
      </c>
    </row>
    <row r="692">
      <c r="A692" s="13" t="n">
        <v>691</v>
      </c>
      <c r="B692" s="14" t="n">
        <v>46450</v>
      </c>
      <c r="C692" s="15" t="n">
        <v>5.5</v>
      </c>
      <c r="D692" s="24" t="inlineStr">
        <is>
          <t>Financement</t>
        </is>
      </c>
      <c r="E692" s="13" t="inlineStr">
        <is>
          <t>E8 Markets</t>
        </is>
      </c>
      <c r="F692" s="13" t="inlineStr">
        <is>
          <t>#203 2 Step 150k</t>
        </is>
      </c>
      <c r="G692" s="17" t="n">
        <v>150000</v>
      </c>
      <c r="H692" s="17" t="n">
        <v>0</v>
      </c>
      <c r="I692" s="17" t="n">
        <v>347.15</v>
      </c>
      <c r="J692" s="13" t="inlineStr">
        <is>
          <t>Évaluation réussie (6% (+5 % par phase non renseignée)) – 1er payout le 01/04/2027</t>
        </is>
      </c>
    </row>
    <row r="693">
      <c r="A693" s="19" t="n">
        <v>692</v>
      </c>
      <c r="B693" s="20" t="n">
        <v>46450</v>
      </c>
      <c r="C693" s="21" t="n">
        <v>5.5</v>
      </c>
      <c r="D693" s="24" t="inlineStr">
        <is>
          <t>Financement</t>
        </is>
      </c>
      <c r="E693" s="19" t="inlineStr">
        <is>
          <t>E8 Markets</t>
        </is>
      </c>
      <c r="F693" s="19" t="inlineStr">
        <is>
          <t>#204 2 Step 150k</t>
        </is>
      </c>
      <c r="G693" s="22" t="n">
        <v>150000</v>
      </c>
      <c r="H693" s="22" t="n">
        <v>0</v>
      </c>
      <c r="I693" s="22" t="n">
        <v>347.15</v>
      </c>
      <c r="J693" s="19" t="inlineStr">
        <is>
          <t>Évaluation réussie (6% (+5 % par phase non renseignée)) – 1er payout le 01/04/2027</t>
        </is>
      </c>
    </row>
    <row r="694">
      <c r="A694" s="13" t="n">
        <v>693</v>
      </c>
      <c r="B694" s="14" t="n">
        <v>46450</v>
      </c>
      <c r="C694" s="15" t="n">
        <v>5.5</v>
      </c>
      <c r="D694" s="24" t="inlineStr">
        <is>
          <t>Financement</t>
        </is>
      </c>
      <c r="E694" s="13" t="inlineStr">
        <is>
          <t>E8 Markets</t>
        </is>
      </c>
      <c r="F694" s="13" t="inlineStr">
        <is>
          <t>#205 2 Step 150k</t>
        </is>
      </c>
      <c r="G694" s="17" t="n">
        <v>150000</v>
      </c>
      <c r="H694" s="17" t="n">
        <v>0</v>
      </c>
      <c r="I694" s="17" t="n">
        <v>347.15</v>
      </c>
      <c r="J694" s="13" t="inlineStr">
        <is>
          <t>Évaluation réussie (6% (+5 % par phase non renseignée)) – 1er payout le 01/04/2027</t>
        </is>
      </c>
    </row>
    <row r="695">
      <c r="A695" s="19" t="n">
        <v>694</v>
      </c>
      <c r="B695" s="20" t="n">
        <v>46450</v>
      </c>
      <c r="C695" s="21" t="n">
        <v>5.5</v>
      </c>
      <c r="D695" s="24" t="inlineStr">
        <is>
          <t>Financement</t>
        </is>
      </c>
      <c r="E695" s="19" t="inlineStr">
        <is>
          <t>IC Funded</t>
        </is>
      </c>
      <c r="F695" s="19" t="inlineStr">
        <is>
          <t>#209 2 Step 500k</t>
        </is>
      </c>
      <c r="G695" s="22" t="n">
        <v>500000</v>
      </c>
      <c r="H695" s="22" t="n">
        <v>0</v>
      </c>
      <c r="I695" s="22" t="n">
        <v>347.15</v>
      </c>
      <c r="J695" s="19" t="inlineStr">
        <is>
          <t>Évaluation réussie (10%-5%) – 1er payout le 01/04/2027</t>
        </is>
      </c>
    </row>
    <row r="696">
      <c r="A696" s="13" t="n">
        <v>695</v>
      </c>
      <c r="B696" s="14" t="n">
        <v>46450</v>
      </c>
      <c r="C696" s="15" t="n">
        <v>5.5</v>
      </c>
      <c r="D696" s="24" t="inlineStr">
        <is>
          <t>Financement</t>
        </is>
      </c>
      <c r="E696" s="13" t="inlineStr">
        <is>
          <t>Blueberry Futures</t>
        </is>
      </c>
      <c r="F696" s="13" t="inlineStr">
        <is>
          <t>#210 1 Step 150k</t>
        </is>
      </c>
      <c r="G696" s="17" t="n">
        <v>150000</v>
      </c>
      <c r="H696" s="17" t="n">
        <v>0</v>
      </c>
      <c r="I696" s="17" t="n">
        <v>347.15</v>
      </c>
      <c r="J696" s="13" t="inlineStr">
        <is>
          <t>Évaluation réussie (6% – 6.7%) – 1er payout le 01/04/2027</t>
        </is>
      </c>
    </row>
    <row r="697">
      <c r="A697" s="19" t="n">
        <v>696</v>
      </c>
      <c r="B697" s="20" t="n">
        <v>46450</v>
      </c>
      <c r="C697" s="21" t="n">
        <v>5.5</v>
      </c>
      <c r="D697" s="24" t="inlineStr">
        <is>
          <t>Financement</t>
        </is>
      </c>
      <c r="E697" s="19" t="inlineStr">
        <is>
          <t>Blueberry Futures</t>
        </is>
      </c>
      <c r="F697" s="19" t="inlineStr">
        <is>
          <t>#211 1 Step 150k</t>
        </is>
      </c>
      <c r="G697" s="22" t="n">
        <v>150000</v>
      </c>
      <c r="H697" s="22" t="n">
        <v>0</v>
      </c>
      <c r="I697" s="22" t="n">
        <v>347.15</v>
      </c>
      <c r="J697" s="19" t="inlineStr">
        <is>
          <t>Évaluation réussie (6% – 6.7%) – 1er payout le 01/04/2027</t>
        </is>
      </c>
    </row>
    <row r="698">
      <c r="A698" s="13" t="n">
        <v>697</v>
      </c>
      <c r="B698" s="14" t="n">
        <v>46450</v>
      </c>
      <c r="C698" s="15" t="n">
        <v>5.5</v>
      </c>
      <c r="D698" s="24" t="inlineStr">
        <is>
          <t>Financement</t>
        </is>
      </c>
      <c r="E698" s="13" t="inlineStr">
        <is>
          <t>Blueberry Futures</t>
        </is>
      </c>
      <c r="F698" s="13" t="inlineStr">
        <is>
          <t>#212 1 Step 150k</t>
        </is>
      </c>
      <c r="G698" s="17" t="n">
        <v>150000</v>
      </c>
      <c r="H698" s="17" t="n">
        <v>0</v>
      </c>
      <c r="I698" s="17" t="n">
        <v>347.15</v>
      </c>
      <c r="J698" s="13" t="inlineStr">
        <is>
          <t>Évaluation réussie (6% – 6.7%) – 1er payout le 01/04/2027</t>
        </is>
      </c>
    </row>
    <row r="699">
      <c r="A699" s="19" t="n">
        <v>698</v>
      </c>
      <c r="B699" s="20" t="n">
        <v>46450</v>
      </c>
      <c r="C699" s="21" t="n">
        <v>5.5</v>
      </c>
      <c r="D699" s="24" t="inlineStr">
        <is>
          <t>Financement</t>
        </is>
      </c>
      <c r="E699" s="19" t="inlineStr">
        <is>
          <t>Direct Funded Trader</t>
        </is>
      </c>
      <c r="F699" s="19" t="inlineStr">
        <is>
          <t>#225 2 Step 200k</t>
        </is>
      </c>
      <c r="G699" s="22" t="n">
        <v>200000</v>
      </c>
      <c r="H699" s="22" t="n">
        <v>0</v>
      </c>
      <c r="I699" s="22" t="n">
        <v>347.15</v>
      </c>
      <c r="J699" s="19" t="inlineStr">
        <is>
          <t>Évaluation réussie (8%-5%) – 1er payout le 01/04/2027</t>
        </is>
      </c>
    </row>
    <row r="700">
      <c r="A700" s="13" t="n">
        <v>699</v>
      </c>
      <c r="B700" s="14" t="n">
        <v>46450</v>
      </c>
      <c r="C700" s="15" t="n">
        <v>5.5</v>
      </c>
      <c r="D700" s="24" t="inlineStr">
        <is>
          <t>Financement</t>
        </is>
      </c>
      <c r="E700" s="13" t="inlineStr">
        <is>
          <t>Direct Funded Trader</t>
        </is>
      </c>
      <c r="F700" s="13" t="inlineStr">
        <is>
          <t>#226 2 Step 200k</t>
        </is>
      </c>
      <c r="G700" s="17" t="n">
        <v>200000</v>
      </c>
      <c r="H700" s="17" t="n">
        <v>0</v>
      </c>
      <c r="I700" s="17" t="n">
        <v>347.15</v>
      </c>
      <c r="J700" s="13" t="inlineStr">
        <is>
          <t>Évaluation réussie (8%-5%) – 1er payout le 01/04/2027</t>
        </is>
      </c>
    </row>
    <row r="701">
      <c r="A701" s="19" t="n">
        <v>700</v>
      </c>
      <c r="B701" s="20" t="n">
        <v>46464</v>
      </c>
      <c r="C701" s="21" t="n">
        <v>6</v>
      </c>
      <c r="D701" s="24" t="inlineStr">
        <is>
          <t>Financement</t>
        </is>
      </c>
      <c r="E701" s="19" t="inlineStr">
        <is>
          <t>Hantec Trader</t>
        </is>
      </c>
      <c r="F701" s="19" t="inlineStr">
        <is>
          <t>#231 3 Step 200k</t>
        </is>
      </c>
      <c r="G701" s="22" t="n">
        <v>200000</v>
      </c>
      <c r="H701" s="22" t="n">
        <v>0</v>
      </c>
      <c r="I701" s="22" t="n">
        <v>347.15</v>
      </c>
      <c r="J701" s="19" t="inlineStr">
        <is>
          <t>Évaluation réussie (6% (+5 % par phase non renseignée)) – 1er payout le 15/04/2027</t>
        </is>
      </c>
    </row>
    <row r="702">
      <c r="A702" s="13" t="n">
        <v>701</v>
      </c>
      <c r="B702" s="14" t="n">
        <v>46464</v>
      </c>
      <c r="C702" s="15" t="n">
        <v>6</v>
      </c>
      <c r="D702" s="24" t="inlineStr">
        <is>
          <t>Financement</t>
        </is>
      </c>
      <c r="E702" s="13" t="inlineStr">
        <is>
          <t>LifeUp Trading</t>
        </is>
      </c>
      <c r="F702" s="13" t="inlineStr">
        <is>
          <t>#232 1 Step 150k</t>
        </is>
      </c>
      <c r="G702" s="17" t="n">
        <v>150000</v>
      </c>
      <c r="H702" s="17" t="n">
        <v>0</v>
      </c>
      <c r="I702" s="17" t="n">
        <v>347.15</v>
      </c>
      <c r="J702" s="13" t="inlineStr">
        <is>
          <t>Évaluation réussie (objectif par défaut (non renseigné)) – 1er payout le 15/04/2027</t>
        </is>
      </c>
    </row>
    <row r="703">
      <c r="A703" s="19" t="n">
        <v>702</v>
      </c>
      <c r="B703" s="20" t="n">
        <v>46464</v>
      </c>
      <c r="C703" s="21" t="n">
        <v>6</v>
      </c>
      <c r="D703" s="24" t="inlineStr">
        <is>
          <t>Financement</t>
        </is>
      </c>
      <c r="E703" s="19" t="inlineStr">
        <is>
          <t>LifeUp Trading</t>
        </is>
      </c>
      <c r="F703" s="19" t="inlineStr">
        <is>
          <t>#233 1 Step 150k</t>
        </is>
      </c>
      <c r="G703" s="22" t="n">
        <v>150000</v>
      </c>
      <c r="H703" s="22" t="n">
        <v>0</v>
      </c>
      <c r="I703" s="22" t="n">
        <v>347.15</v>
      </c>
      <c r="J703" s="19" t="inlineStr">
        <is>
          <t>Évaluation réussie (objectif par défaut (non renseigné)) – 1er payout le 15/04/2027</t>
        </is>
      </c>
    </row>
    <row r="704">
      <c r="A704" s="13" t="n">
        <v>703</v>
      </c>
      <c r="B704" s="14" t="n">
        <v>46464</v>
      </c>
      <c r="C704" s="15" t="n">
        <v>6</v>
      </c>
      <c r="D704" s="24" t="inlineStr">
        <is>
          <t>Financement</t>
        </is>
      </c>
      <c r="E704" s="13" t="inlineStr">
        <is>
          <t>LifeUp Trading</t>
        </is>
      </c>
      <c r="F704" s="13" t="inlineStr">
        <is>
          <t>#234 1 Step 150k</t>
        </is>
      </c>
      <c r="G704" s="17" t="n">
        <v>150000</v>
      </c>
      <c r="H704" s="17" t="n">
        <v>0</v>
      </c>
      <c r="I704" s="17" t="n">
        <v>347.15</v>
      </c>
      <c r="J704" s="13" t="inlineStr">
        <is>
          <t>Évaluation réussie (objectif par défaut (non renseigné)) – 1er payout le 15/04/2027</t>
        </is>
      </c>
    </row>
    <row r="705">
      <c r="A705" s="19" t="n">
        <v>704</v>
      </c>
      <c r="B705" s="20" t="n">
        <v>46464</v>
      </c>
      <c r="C705" s="21" t="n">
        <v>6</v>
      </c>
      <c r="D705" s="24" t="inlineStr">
        <is>
          <t>Financement</t>
        </is>
      </c>
      <c r="E705" s="19" t="inlineStr">
        <is>
          <t>LifeUp Trading</t>
        </is>
      </c>
      <c r="F705" s="19" t="inlineStr">
        <is>
          <t>#235 1 Step 150k</t>
        </is>
      </c>
      <c r="G705" s="22" t="n">
        <v>150000</v>
      </c>
      <c r="H705" s="22" t="n">
        <v>0</v>
      </c>
      <c r="I705" s="22" t="n">
        <v>347.15</v>
      </c>
      <c r="J705" s="19" t="inlineStr">
        <is>
          <t>Évaluation réussie (objectif par défaut (non renseigné)) – 1er payout le 15/04/2027</t>
        </is>
      </c>
    </row>
    <row r="706">
      <c r="A706" s="13" t="n">
        <v>705</v>
      </c>
      <c r="B706" s="14" t="n">
        <v>46464</v>
      </c>
      <c r="C706" s="15" t="n">
        <v>6</v>
      </c>
      <c r="D706" s="24" t="inlineStr">
        <is>
          <t>Financement</t>
        </is>
      </c>
      <c r="E706" s="13" t="inlineStr">
        <is>
          <t>Get Funded Now</t>
        </is>
      </c>
      <c r="F706" s="13" t="inlineStr">
        <is>
          <t>#239 1 Step 200k</t>
        </is>
      </c>
      <c r="G706" s="17" t="n">
        <v>200000</v>
      </c>
      <c r="H706" s="17" t="n">
        <v>0</v>
      </c>
      <c r="I706" s="17" t="n">
        <v>347.15</v>
      </c>
      <c r="J706" s="13" t="inlineStr">
        <is>
          <t>Évaluation réussie (10%) – 1er payout le 15/04/2027</t>
        </is>
      </c>
    </row>
    <row r="707">
      <c r="A707" s="19" t="n">
        <v>706</v>
      </c>
      <c r="B707" s="20" t="n">
        <v>46464</v>
      </c>
      <c r="C707" s="21" t="n">
        <v>6</v>
      </c>
      <c r="D707" s="24" t="inlineStr">
        <is>
          <t>Financement</t>
        </is>
      </c>
      <c r="E707" s="19" t="inlineStr">
        <is>
          <t>Get Funded Now</t>
        </is>
      </c>
      <c r="F707" s="19" t="inlineStr">
        <is>
          <t>#240 1 Step 200k</t>
        </is>
      </c>
      <c r="G707" s="22" t="n">
        <v>200000</v>
      </c>
      <c r="H707" s="22" t="n">
        <v>0</v>
      </c>
      <c r="I707" s="22" t="n">
        <v>347.15</v>
      </c>
      <c r="J707" s="19" t="inlineStr">
        <is>
          <t>Évaluation réussie (10%) – 1er payout le 15/04/2027</t>
        </is>
      </c>
    </row>
    <row r="708">
      <c r="A708" s="13" t="n">
        <v>707</v>
      </c>
      <c r="B708" s="14" t="n">
        <v>46464</v>
      </c>
      <c r="C708" s="15" t="n">
        <v>6</v>
      </c>
      <c r="D708" s="24" t="inlineStr">
        <is>
          <t>Financement</t>
        </is>
      </c>
      <c r="E708" s="13" t="inlineStr">
        <is>
          <t>FOREXIVE</t>
        </is>
      </c>
      <c r="F708" s="13" t="inlineStr">
        <is>
          <t>#246 2 Step 200k</t>
        </is>
      </c>
      <c r="G708" s="17" t="n">
        <v>200000</v>
      </c>
      <c r="H708" s="17" t="n">
        <v>0</v>
      </c>
      <c r="I708" s="17" t="n">
        <v>347.15</v>
      </c>
      <c r="J708" s="13" t="inlineStr">
        <is>
          <t>Évaluation réussie (4% (+5 % par phase non renseignée)) – 1er payout le 15/04/2027</t>
        </is>
      </c>
    </row>
    <row r="709">
      <c r="A709" s="19" t="n">
        <v>708</v>
      </c>
      <c r="B709" s="20" t="n">
        <v>46464</v>
      </c>
      <c r="C709" s="21" t="n">
        <v>6</v>
      </c>
      <c r="D709" s="24" t="inlineStr">
        <is>
          <t>Financement</t>
        </is>
      </c>
      <c r="E709" s="19" t="inlineStr">
        <is>
          <t>Breakout</t>
        </is>
      </c>
      <c r="F709" s="19" t="inlineStr">
        <is>
          <t>#249 1 Step 200k</t>
        </is>
      </c>
      <c r="G709" s="22" t="n">
        <v>200000</v>
      </c>
      <c r="H709" s="22" t="n">
        <v>0</v>
      </c>
      <c r="I709" s="22" t="n">
        <v>347.15</v>
      </c>
      <c r="J709" s="19" t="inlineStr">
        <is>
          <t>Évaluation réussie (objectif par défaut (non renseigné)) – 1er payout le 15/04/2027</t>
        </is>
      </c>
    </row>
    <row r="710">
      <c r="A710" s="13" t="n">
        <v>709</v>
      </c>
      <c r="B710" s="14" t="n">
        <v>46464</v>
      </c>
      <c r="C710" s="15" t="n">
        <v>6</v>
      </c>
      <c r="D710" s="24" t="inlineStr">
        <is>
          <t>Financement</t>
        </is>
      </c>
      <c r="E710" s="13" t="inlineStr">
        <is>
          <t>HyroTrader</t>
        </is>
      </c>
      <c r="F710" s="13" t="inlineStr">
        <is>
          <t>#254 1 Step 200k</t>
        </is>
      </c>
      <c r="G710" s="17" t="n">
        <v>200000</v>
      </c>
      <c r="H710" s="17" t="n">
        <v>0</v>
      </c>
      <c r="I710" s="17" t="n">
        <v>347.15</v>
      </c>
      <c r="J710" s="13" t="inlineStr">
        <is>
          <t>Évaluation réussie (10%) – 1er payout le 15/04/2027</t>
        </is>
      </c>
    </row>
    <row r="711">
      <c r="A711" s="19" t="n">
        <v>710</v>
      </c>
      <c r="B711" s="20" t="n">
        <v>46464</v>
      </c>
      <c r="C711" s="21" t="n">
        <v>6</v>
      </c>
      <c r="D711" s="24" t="inlineStr">
        <is>
          <t>Financement</t>
        </is>
      </c>
      <c r="E711" s="19" t="inlineStr">
        <is>
          <t>Tradersyard</t>
        </is>
      </c>
      <c r="F711" s="19" t="inlineStr">
        <is>
          <t>#256 1 Step 150k</t>
        </is>
      </c>
      <c r="G711" s="22" t="n">
        <v>150000</v>
      </c>
      <c r="H711" s="22" t="n">
        <v>0</v>
      </c>
      <c r="I711" s="22" t="n">
        <v>347.15</v>
      </c>
      <c r="J711" s="19" t="inlineStr">
        <is>
          <t>Évaluation réussie (objectif par défaut (non renseigné)) – 1er payout le 15/04/2027</t>
        </is>
      </c>
    </row>
    <row r="712">
      <c r="A712" s="13" t="n">
        <v>711</v>
      </c>
      <c r="B712" s="14" t="n">
        <v>46464</v>
      </c>
      <c r="C712" s="15" t="n">
        <v>6</v>
      </c>
      <c r="D712" s="25" t="inlineStr">
        <is>
          <t>Payout</t>
        </is>
      </c>
      <c r="E712" s="13" t="inlineStr">
        <is>
          <t>FundedNext</t>
        </is>
      </c>
      <c r="F712" s="13" t="inlineStr">
        <is>
          <t>#1 Départ 10k</t>
        </is>
      </c>
      <c r="G712" s="17" t="n">
        <v>10000</v>
      </c>
      <c r="H712" s="17" t="n">
        <v>800</v>
      </c>
      <c r="I712" s="17" t="n">
        <v>1147.15</v>
      </c>
      <c r="J712" s="13" t="inlineStr">
        <is>
          <t>10 % × 10,000 × split 80%</t>
        </is>
      </c>
    </row>
    <row r="713">
      <c r="A713" s="19" t="n">
        <v>712</v>
      </c>
      <c r="B713" s="20" t="n">
        <v>46464</v>
      </c>
      <c r="C713" s="21" t="n">
        <v>6</v>
      </c>
      <c r="D713" s="25" t="inlineStr">
        <is>
          <t>Payout</t>
        </is>
      </c>
      <c r="E713" s="19" t="inlineStr">
        <is>
          <t>Moneta Funded</t>
        </is>
      </c>
      <c r="F713" s="19" t="inlineStr">
        <is>
          <t>#2 Instant-Direct 100k</t>
        </is>
      </c>
      <c r="G713" s="22" t="n">
        <v>100000</v>
      </c>
      <c r="H713" s="22" t="n">
        <v>8000</v>
      </c>
      <c r="I713" s="22" t="n">
        <v>9147.15</v>
      </c>
      <c r="J713" s="19" t="inlineStr">
        <is>
          <t>10 % × 100,000 × split 80%</t>
        </is>
      </c>
    </row>
    <row r="714">
      <c r="A714" s="13" t="n">
        <v>713</v>
      </c>
      <c r="B714" s="14" t="n">
        <v>46464</v>
      </c>
      <c r="C714" s="15" t="n">
        <v>6</v>
      </c>
      <c r="D714" s="25" t="inlineStr">
        <is>
          <t>Payout</t>
        </is>
      </c>
      <c r="E714" s="13" t="inlineStr">
        <is>
          <t>Moneta Funded</t>
        </is>
      </c>
      <c r="F714" s="13" t="inlineStr">
        <is>
          <t>#3 Instant-Direct 100k</t>
        </is>
      </c>
      <c r="G714" s="17" t="n">
        <v>100000</v>
      </c>
      <c r="H714" s="17" t="n">
        <v>8000</v>
      </c>
      <c r="I714" s="17" t="n">
        <v>17147.15</v>
      </c>
      <c r="J714" s="13" t="inlineStr">
        <is>
          <t>10 % × 100,000 × split 80%</t>
        </is>
      </c>
    </row>
    <row r="715">
      <c r="A715" s="19" t="n">
        <v>714</v>
      </c>
      <c r="B715" s="20" t="n">
        <v>46464</v>
      </c>
      <c r="C715" s="21" t="n">
        <v>6</v>
      </c>
      <c r="D715" s="25" t="inlineStr">
        <is>
          <t>Payout</t>
        </is>
      </c>
      <c r="E715" s="19" t="inlineStr">
        <is>
          <t>Moneta Funded</t>
        </is>
      </c>
      <c r="F715" s="19" t="inlineStr">
        <is>
          <t>#4 Instant-Direct 100k</t>
        </is>
      </c>
      <c r="G715" s="22" t="n">
        <v>100000</v>
      </c>
      <c r="H715" s="22" t="n">
        <v>8000</v>
      </c>
      <c r="I715" s="22" t="n">
        <v>25147.15</v>
      </c>
      <c r="J715" s="19" t="inlineStr">
        <is>
          <t>10 % × 100,000 × split 80%</t>
        </is>
      </c>
    </row>
    <row r="716">
      <c r="A716" s="13" t="n">
        <v>715</v>
      </c>
      <c r="B716" s="14" t="n">
        <v>46464</v>
      </c>
      <c r="C716" s="15" t="n">
        <v>6</v>
      </c>
      <c r="D716" s="25" t="inlineStr">
        <is>
          <t>Payout</t>
        </is>
      </c>
      <c r="E716" s="13" t="inlineStr">
        <is>
          <t>Moneta Funded</t>
        </is>
      </c>
      <c r="F716" s="13" t="inlineStr">
        <is>
          <t>#5 Instant-Direct 100k</t>
        </is>
      </c>
      <c r="G716" s="17" t="n">
        <v>100000</v>
      </c>
      <c r="H716" s="17" t="n">
        <v>8000</v>
      </c>
      <c r="I716" s="17" t="n">
        <v>33147.15</v>
      </c>
      <c r="J716" s="13" t="inlineStr">
        <is>
          <t>10 % × 100,000 × split 80%</t>
        </is>
      </c>
    </row>
    <row r="717">
      <c r="A717" s="19" t="n">
        <v>716</v>
      </c>
      <c r="B717" s="20" t="n">
        <v>46464</v>
      </c>
      <c r="C717" s="21" t="n">
        <v>6</v>
      </c>
      <c r="D717" s="25" t="inlineStr">
        <is>
          <t>Payout</t>
        </is>
      </c>
      <c r="E717" s="19" t="inlineStr">
        <is>
          <t>Moneta Funded</t>
        </is>
      </c>
      <c r="F717" s="19" t="inlineStr">
        <is>
          <t>#6 Instant-Direct 100k</t>
        </is>
      </c>
      <c r="G717" s="22" t="n">
        <v>100000</v>
      </c>
      <c r="H717" s="22" t="n">
        <v>8000</v>
      </c>
      <c r="I717" s="22" t="n">
        <v>41147.15</v>
      </c>
      <c r="J717" s="19" t="inlineStr">
        <is>
          <t>10 % × 100,000 × split 80%</t>
        </is>
      </c>
    </row>
    <row r="718">
      <c r="A718" s="13" t="n">
        <v>717</v>
      </c>
      <c r="B718" s="14" t="n">
        <v>46464</v>
      </c>
      <c r="C718" s="15" t="n">
        <v>6</v>
      </c>
      <c r="D718" s="25" t="inlineStr">
        <is>
          <t>Payout</t>
        </is>
      </c>
      <c r="E718" s="13" t="inlineStr">
        <is>
          <t>Moneta Funded</t>
        </is>
      </c>
      <c r="F718" s="13" t="inlineStr">
        <is>
          <t>#7 Instant-Direct 100k</t>
        </is>
      </c>
      <c r="G718" s="17" t="n">
        <v>100000</v>
      </c>
      <c r="H718" s="17" t="n">
        <v>8000</v>
      </c>
      <c r="I718" s="17" t="n">
        <v>49147.15</v>
      </c>
      <c r="J718" s="13" t="inlineStr">
        <is>
          <t>10 % × 100,000 × split 80%</t>
        </is>
      </c>
    </row>
    <row r="719">
      <c r="A719" s="19" t="n">
        <v>718</v>
      </c>
      <c r="B719" s="20" t="n">
        <v>46464</v>
      </c>
      <c r="C719" s="21" t="n">
        <v>6</v>
      </c>
      <c r="D719" s="25" t="inlineStr">
        <is>
          <t>Payout</t>
        </is>
      </c>
      <c r="E719" s="19" t="inlineStr">
        <is>
          <t>Moneta Funded</t>
        </is>
      </c>
      <c r="F719" s="19" t="inlineStr">
        <is>
          <t>#8 Instant-Direct 100k</t>
        </is>
      </c>
      <c r="G719" s="22" t="n">
        <v>100000</v>
      </c>
      <c r="H719" s="22" t="n">
        <v>8000</v>
      </c>
      <c r="I719" s="22" t="n">
        <v>57147.15</v>
      </c>
      <c r="J719" s="19" t="inlineStr">
        <is>
          <t>10 % × 100,000 × split 80%</t>
        </is>
      </c>
    </row>
    <row r="720">
      <c r="A720" s="13" t="n">
        <v>719</v>
      </c>
      <c r="B720" s="14" t="n">
        <v>46464</v>
      </c>
      <c r="C720" s="15" t="n">
        <v>6</v>
      </c>
      <c r="D720" s="25" t="inlineStr">
        <is>
          <t>Payout</t>
        </is>
      </c>
      <c r="E720" s="13" t="inlineStr">
        <is>
          <t>Moneta Funded</t>
        </is>
      </c>
      <c r="F720" s="13" t="inlineStr">
        <is>
          <t>#9 Instant-Direct 100k</t>
        </is>
      </c>
      <c r="G720" s="17" t="n">
        <v>100000</v>
      </c>
      <c r="H720" s="17" t="n">
        <v>8000</v>
      </c>
      <c r="I720" s="17" t="n">
        <v>65147.15</v>
      </c>
      <c r="J720" s="13" t="inlineStr">
        <is>
          <t>10 % × 100,000 × split 80%</t>
        </is>
      </c>
    </row>
    <row r="721">
      <c r="A721" s="19" t="n">
        <v>720</v>
      </c>
      <c r="B721" s="20" t="n">
        <v>46464</v>
      </c>
      <c r="C721" s="21" t="n">
        <v>6</v>
      </c>
      <c r="D721" s="25" t="inlineStr">
        <is>
          <t>Payout</t>
        </is>
      </c>
      <c r="E721" s="19" t="inlineStr">
        <is>
          <t>Moneta Funded</t>
        </is>
      </c>
      <c r="F721" s="19" t="inlineStr">
        <is>
          <t>#10 Instant-Direct 100k</t>
        </is>
      </c>
      <c r="G721" s="22" t="n">
        <v>100000</v>
      </c>
      <c r="H721" s="22" t="n">
        <v>8000</v>
      </c>
      <c r="I721" s="22" t="n">
        <v>73147.14999999999</v>
      </c>
      <c r="J721" s="19" t="inlineStr">
        <is>
          <t>10 % × 100,000 × split 80%</t>
        </is>
      </c>
    </row>
    <row r="722">
      <c r="A722" s="13" t="n">
        <v>721</v>
      </c>
      <c r="B722" s="14" t="n">
        <v>46464</v>
      </c>
      <c r="C722" s="15" t="n">
        <v>6</v>
      </c>
      <c r="D722" s="25" t="inlineStr">
        <is>
          <t>Payout</t>
        </is>
      </c>
      <c r="E722" s="13" t="inlineStr">
        <is>
          <t>Moneta Funded</t>
        </is>
      </c>
      <c r="F722" s="13" t="inlineStr">
        <is>
          <t>#11 Instant-Direct 100k</t>
        </is>
      </c>
      <c r="G722" s="17" t="n">
        <v>100000</v>
      </c>
      <c r="H722" s="17" t="n">
        <v>8000</v>
      </c>
      <c r="I722" s="17" t="n">
        <v>81147.14999999999</v>
      </c>
      <c r="J722" s="13" t="inlineStr">
        <is>
          <t>10 % × 100,000 × split 80%</t>
        </is>
      </c>
    </row>
    <row r="723">
      <c r="A723" s="19" t="n">
        <v>722</v>
      </c>
      <c r="B723" s="20" t="n">
        <v>46464</v>
      </c>
      <c r="C723" s="21" t="n">
        <v>6</v>
      </c>
      <c r="D723" s="25" t="inlineStr">
        <is>
          <t>Payout</t>
        </is>
      </c>
      <c r="E723" s="19" t="inlineStr">
        <is>
          <t>Moneta Funded</t>
        </is>
      </c>
      <c r="F723" s="19" t="inlineStr">
        <is>
          <t>#12 Instant-Direct 100k</t>
        </is>
      </c>
      <c r="G723" s="22" t="n">
        <v>100000</v>
      </c>
      <c r="H723" s="22" t="n">
        <v>8000</v>
      </c>
      <c r="I723" s="22" t="n">
        <v>89147.14999999999</v>
      </c>
      <c r="J723" s="19" t="inlineStr">
        <is>
          <t>10 % × 100,000 × split 80%</t>
        </is>
      </c>
    </row>
    <row r="724">
      <c r="A724" s="13" t="n">
        <v>723</v>
      </c>
      <c r="B724" s="14" t="n">
        <v>46464</v>
      </c>
      <c r="C724" s="15" t="n">
        <v>6</v>
      </c>
      <c r="D724" s="25" t="inlineStr">
        <is>
          <t>Payout</t>
        </is>
      </c>
      <c r="E724" s="13" t="inlineStr">
        <is>
          <t>Moneta Funded</t>
        </is>
      </c>
      <c r="F724" s="13" t="inlineStr">
        <is>
          <t>#13 Instant-Direct 100k</t>
        </is>
      </c>
      <c r="G724" s="17" t="n">
        <v>100000</v>
      </c>
      <c r="H724" s="17" t="n">
        <v>8000</v>
      </c>
      <c r="I724" s="17" t="n">
        <v>97147.14999999999</v>
      </c>
      <c r="J724" s="13" t="inlineStr">
        <is>
          <t>10 % × 100,000 × split 80%</t>
        </is>
      </c>
    </row>
    <row r="725">
      <c r="A725" s="19" t="n">
        <v>724</v>
      </c>
      <c r="B725" s="20" t="n">
        <v>46464</v>
      </c>
      <c r="C725" s="21" t="n">
        <v>6</v>
      </c>
      <c r="D725" s="25" t="inlineStr">
        <is>
          <t>Payout</t>
        </is>
      </c>
      <c r="E725" s="19" t="inlineStr">
        <is>
          <t>FunderPro Futures</t>
        </is>
      </c>
      <c r="F725" s="19" t="inlineStr">
        <is>
          <t>#14 1 Step 150k</t>
        </is>
      </c>
      <c r="G725" s="22" t="n">
        <v>150000</v>
      </c>
      <c r="H725" s="22" t="n">
        <v>9000</v>
      </c>
      <c r="I725" s="22" t="n">
        <v>106147.15</v>
      </c>
      <c r="J725" s="19" t="inlineStr">
        <is>
          <t>10 % × 150,000 × split 60%</t>
        </is>
      </c>
    </row>
    <row r="726">
      <c r="A726" s="13" t="n">
        <v>725</v>
      </c>
      <c r="B726" s="14" t="n">
        <v>46464</v>
      </c>
      <c r="C726" s="15" t="n">
        <v>6</v>
      </c>
      <c r="D726" s="25" t="inlineStr">
        <is>
          <t>Payout</t>
        </is>
      </c>
      <c r="E726" s="13" t="inlineStr">
        <is>
          <t>Moneta Funded</t>
        </is>
      </c>
      <c r="F726" s="13" t="inlineStr">
        <is>
          <t>#15 Instant-Direct 100k</t>
        </is>
      </c>
      <c r="G726" s="17" t="n">
        <v>100000</v>
      </c>
      <c r="H726" s="17" t="n">
        <v>8000</v>
      </c>
      <c r="I726" s="17" t="n">
        <v>114147.15</v>
      </c>
      <c r="J726" s="13" t="inlineStr">
        <is>
          <t>10 % × 100,000 × split 80%</t>
        </is>
      </c>
    </row>
    <row r="727">
      <c r="A727" s="19" t="n">
        <v>726</v>
      </c>
      <c r="B727" s="20" t="n">
        <v>46464</v>
      </c>
      <c r="C727" s="21" t="n">
        <v>6</v>
      </c>
      <c r="D727" s="25" t="inlineStr">
        <is>
          <t>Payout</t>
        </is>
      </c>
      <c r="E727" s="19" t="inlineStr">
        <is>
          <t>Moneta Funded</t>
        </is>
      </c>
      <c r="F727" s="19" t="inlineStr">
        <is>
          <t>#16 Instant-Direct 100k</t>
        </is>
      </c>
      <c r="G727" s="22" t="n">
        <v>100000</v>
      </c>
      <c r="H727" s="22" t="n">
        <v>8000</v>
      </c>
      <c r="I727" s="22" t="n">
        <v>122147.15</v>
      </c>
      <c r="J727" s="19" t="inlineStr">
        <is>
          <t>10 % × 100,000 × split 80%</t>
        </is>
      </c>
    </row>
    <row r="728">
      <c r="A728" s="13" t="n">
        <v>727</v>
      </c>
      <c r="B728" s="14" t="n">
        <v>46464</v>
      </c>
      <c r="C728" s="15" t="n">
        <v>6</v>
      </c>
      <c r="D728" s="25" t="inlineStr">
        <is>
          <t>Payout</t>
        </is>
      </c>
      <c r="E728" s="13" t="inlineStr">
        <is>
          <t>Moneta Funded</t>
        </is>
      </c>
      <c r="F728" s="13" t="inlineStr">
        <is>
          <t>#17 Instant-Direct 100k</t>
        </is>
      </c>
      <c r="G728" s="17" t="n">
        <v>100000</v>
      </c>
      <c r="H728" s="17" t="n">
        <v>8000</v>
      </c>
      <c r="I728" s="17" t="n">
        <v>130147.15</v>
      </c>
      <c r="J728" s="13" t="inlineStr">
        <is>
          <t>10 % × 100,000 × split 80%</t>
        </is>
      </c>
    </row>
    <row r="729">
      <c r="A729" s="19" t="n">
        <v>728</v>
      </c>
      <c r="B729" s="20" t="n">
        <v>46464</v>
      </c>
      <c r="C729" s="21" t="n">
        <v>6</v>
      </c>
      <c r="D729" s="25" t="inlineStr">
        <is>
          <t>Payout</t>
        </is>
      </c>
      <c r="E729" s="19" t="inlineStr">
        <is>
          <t>Moneta Funded</t>
        </is>
      </c>
      <c r="F729" s="19" t="inlineStr">
        <is>
          <t>#18 Instant-Direct 100k</t>
        </is>
      </c>
      <c r="G729" s="22" t="n">
        <v>100000</v>
      </c>
      <c r="H729" s="22" t="n">
        <v>8000</v>
      </c>
      <c r="I729" s="22" t="n">
        <v>138147.15</v>
      </c>
      <c r="J729" s="19" t="inlineStr">
        <is>
          <t>10 % × 100,000 × split 80%</t>
        </is>
      </c>
    </row>
    <row r="730">
      <c r="A730" s="13" t="n">
        <v>729</v>
      </c>
      <c r="B730" s="14" t="n">
        <v>46464</v>
      </c>
      <c r="C730" s="15" t="n">
        <v>6</v>
      </c>
      <c r="D730" s="25" t="inlineStr">
        <is>
          <t>Payout</t>
        </is>
      </c>
      <c r="E730" s="13" t="inlineStr">
        <is>
          <t>Moneta Funded</t>
        </is>
      </c>
      <c r="F730" s="13" t="inlineStr">
        <is>
          <t>#19 Instant-Direct 100k</t>
        </is>
      </c>
      <c r="G730" s="17" t="n">
        <v>100000</v>
      </c>
      <c r="H730" s="17" t="n">
        <v>8000</v>
      </c>
      <c r="I730" s="17" t="n">
        <v>146147.15</v>
      </c>
      <c r="J730" s="13" t="inlineStr">
        <is>
          <t>10 % × 100,000 × split 80%</t>
        </is>
      </c>
    </row>
    <row r="731">
      <c r="A731" s="19" t="n">
        <v>730</v>
      </c>
      <c r="B731" s="20" t="n">
        <v>46464</v>
      </c>
      <c r="C731" s="21" t="n">
        <v>6</v>
      </c>
      <c r="D731" s="25" t="inlineStr">
        <is>
          <t>Payout</t>
        </is>
      </c>
      <c r="E731" s="19" t="inlineStr">
        <is>
          <t>Moneta Funded</t>
        </is>
      </c>
      <c r="F731" s="19" t="inlineStr">
        <is>
          <t>#20 Instant-Direct 100k</t>
        </is>
      </c>
      <c r="G731" s="22" t="n">
        <v>100000</v>
      </c>
      <c r="H731" s="22" t="n">
        <v>8000</v>
      </c>
      <c r="I731" s="22" t="n">
        <v>154147.15</v>
      </c>
      <c r="J731" s="19" t="inlineStr">
        <is>
          <t>10 % × 100,000 × split 80%</t>
        </is>
      </c>
    </row>
    <row r="732">
      <c r="A732" s="13" t="n">
        <v>731</v>
      </c>
      <c r="B732" s="14" t="n">
        <v>46464</v>
      </c>
      <c r="C732" s="15" t="n">
        <v>6</v>
      </c>
      <c r="D732" s="25" t="inlineStr">
        <is>
          <t>Payout</t>
        </is>
      </c>
      <c r="E732" s="13" t="inlineStr">
        <is>
          <t>Moneta Funded</t>
        </is>
      </c>
      <c r="F732" s="13" t="inlineStr">
        <is>
          <t>#21 Instant-Direct 100k</t>
        </is>
      </c>
      <c r="G732" s="17" t="n">
        <v>100000</v>
      </c>
      <c r="H732" s="17" t="n">
        <v>8000</v>
      </c>
      <c r="I732" s="17" t="n">
        <v>162147.15</v>
      </c>
      <c r="J732" s="13" t="inlineStr">
        <is>
          <t>10 % × 100,000 × split 80%</t>
        </is>
      </c>
    </row>
    <row r="733">
      <c r="A733" s="19" t="n">
        <v>732</v>
      </c>
      <c r="B733" s="20" t="n">
        <v>46464</v>
      </c>
      <c r="C733" s="21" t="n">
        <v>6</v>
      </c>
      <c r="D733" s="25" t="inlineStr">
        <is>
          <t>Payout</t>
        </is>
      </c>
      <c r="E733" s="19" t="inlineStr">
        <is>
          <t>Moneta Funded</t>
        </is>
      </c>
      <c r="F733" s="19" t="inlineStr">
        <is>
          <t>#22 Instant-Direct 100k</t>
        </is>
      </c>
      <c r="G733" s="22" t="n">
        <v>100000</v>
      </c>
      <c r="H733" s="22" t="n">
        <v>8000</v>
      </c>
      <c r="I733" s="22" t="n">
        <v>170147.15</v>
      </c>
      <c r="J733" s="19" t="inlineStr">
        <is>
          <t>10 % × 100,000 × split 80%</t>
        </is>
      </c>
    </row>
    <row r="734">
      <c r="A734" s="13" t="n">
        <v>733</v>
      </c>
      <c r="B734" s="14" t="n">
        <v>46464</v>
      </c>
      <c r="C734" s="15" t="n">
        <v>6</v>
      </c>
      <c r="D734" s="25" t="inlineStr">
        <is>
          <t>Payout</t>
        </is>
      </c>
      <c r="E734" s="13" t="inlineStr">
        <is>
          <t>Moneta Funded</t>
        </is>
      </c>
      <c r="F734" s="13" t="inlineStr">
        <is>
          <t>#23 Instant-Direct 100k</t>
        </is>
      </c>
      <c r="G734" s="17" t="n">
        <v>100000</v>
      </c>
      <c r="H734" s="17" t="n">
        <v>8000</v>
      </c>
      <c r="I734" s="17" t="n">
        <v>178147.15</v>
      </c>
      <c r="J734" s="13" t="inlineStr">
        <is>
          <t>10 % × 100,000 × split 80%</t>
        </is>
      </c>
    </row>
    <row r="735">
      <c r="A735" s="19" t="n">
        <v>734</v>
      </c>
      <c r="B735" s="20" t="n">
        <v>46464</v>
      </c>
      <c r="C735" s="21" t="n">
        <v>6</v>
      </c>
      <c r="D735" s="25" t="inlineStr">
        <is>
          <t>Payout</t>
        </is>
      </c>
      <c r="E735" s="19" t="inlineStr">
        <is>
          <t>Moneta Funded</t>
        </is>
      </c>
      <c r="F735" s="19" t="inlineStr">
        <is>
          <t>#24 Instant-Direct 100k</t>
        </is>
      </c>
      <c r="G735" s="22" t="n">
        <v>100000</v>
      </c>
      <c r="H735" s="22" t="n">
        <v>8000</v>
      </c>
      <c r="I735" s="22" t="n">
        <v>186147.15</v>
      </c>
      <c r="J735" s="19" t="inlineStr">
        <is>
          <t>10 % × 100,000 × split 80%</t>
        </is>
      </c>
    </row>
    <row r="736">
      <c r="A736" s="13" t="n">
        <v>735</v>
      </c>
      <c r="B736" s="14" t="n">
        <v>46464</v>
      </c>
      <c r="C736" s="15" t="n">
        <v>6</v>
      </c>
      <c r="D736" s="25" t="inlineStr">
        <is>
          <t>Payout</t>
        </is>
      </c>
      <c r="E736" s="13" t="inlineStr">
        <is>
          <t>Moneta Funded</t>
        </is>
      </c>
      <c r="F736" s="13" t="inlineStr">
        <is>
          <t>#25 Instant-Direct 100k</t>
        </is>
      </c>
      <c r="G736" s="17" t="n">
        <v>100000</v>
      </c>
      <c r="H736" s="17" t="n">
        <v>8000</v>
      </c>
      <c r="I736" s="17" t="n">
        <v>194147.15</v>
      </c>
      <c r="J736" s="13" t="inlineStr">
        <is>
          <t>10 % × 100,000 × split 80%</t>
        </is>
      </c>
    </row>
    <row r="737">
      <c r="A737" s="19" t="n">
        <v>736</v>
      </c>
      <c r="B737" s="20" t="n">
        <v>46464</v>
      </c>
      <c r="C737" s="21" t="n">
        <v>6</v>
      </c>
      <c r="D737" s="25" t="inlineStr">
        <is>
          <t>Payout</t>
        </is>
      </c>
      <c r="E737" s="19" t="inlineStr">
        <is>
          <t>IQ Capital</t>
        </is>
      </c>
      <c r="F737" s="19" t="inlineStr">
        <is>
          <t>#26 Instant-Direct 100k</t>
        </is>
      </c>
      <c r="G737" s="22" t="n">
        <v>100000</v>
      </c>
      <c r="H737" s="22" t="n">
        <v>8000</v>
      </c>
      <c r="I737" s="22" t="n">
        <v>202147.15</v>
      </c>
      <c r="J737" s="19" t="inlineStr">
        <is>
          <t>10 % × 100,000 × split 80%</t>
        </is>
      </c>
    </row>
    <row r="738">
      <c r="A738" s="13" t="n">
        <v>737</v>
      </c>
      <c r="B738" s="14" t="n">
        <v>46464</v>
      </c>
      <c r="C738" s="15" t="n">
        <v>6</v>
      </c>
      <c r="D738" s="25" t="inlineStr">
        <is>
          <t>Payout</t>
        </is>
      </c>
      <c r="E738" s="13" t="inlineStr">
        <is>
          <t>IQ Capital</t>
        </is>
      </c>
      <c r="F738" s="13" t="inlineStr">
        <is>
          <t>#27 Instant-Direct 100k</t>
        </is>
      </c>
      <c r="G738" s="17" t="n">
        <v>100000</v>
      </c>
      <c r="H738" s="17" t="n">
        <v>8000</v>
      </c>
      <c r="I738" s="17" t="n">
        <v>210147.15</v>
      </c>
      <c r="J738" s="13" t="inlineStr">
        <is>
          <t>10 % × 100,000 × split 80%</t>
        </is>
      </c>
    </row>
    <row r="739">
      <c r="A739" s="19" t="n">
        <v>738</v>
      </c>
      <c r="B739" s="20" t="n">
        <v>46464</v>
      </c>
      <c r="C739" s="21" t="n">
        <v>6</v>
      </c>
      <c r="D739" s="25" t="inlineStr">
        <is>
          <t>Payout</t>
        </is>
      </c>
      <c r="E739" s="19" t="inlineStr">
        <is>
          <t>IQ Capital</t>
        </is>
      </c>
      <c r="F739" s="19" t="inlineStr">
        <is>
          <t>#28 Instant-Direct 100k</t>
        </is>
      </c>
      <c r="G739" s="22" t="n">
        <v>100000</v>
      </c>
      <c r="H739" s="22" t="n">
        <v>8000</v>
      </c>
      <c r="I739" s="22" t="n">
        <v>218147.15</v>
      </c>
      <c r="J739" s="19" t="inlineStr">
        <is>
          <t>10 % × 100,000 × split 80%</t>
        </is>
      </c>
    </row>
    <row r="740">
      <c r="A740" s="13" t="n">
        <v>739</v>
      </c>
      <c r="B740" s="14" t="n">
        <v>46464</v>
      </c>
      <c r="C740" s="15" t="n">
        <v>6</v>
      </c>
      <c r="D740" s="25" t="inlineStr">
        <is>
          <t>Payout</t>
        </is>
      </c>
      <c r="E740" s="13" t="inlineStr">
        <is>
          <t>IQ Capital</t>
        </is>
      </c>
      <c r="F740" s="13" t="inlineStr">
        <is>
          <t>#29 Instant-Direct 100k</t>
        </is>
      </c>
      <c r="G740" s="17" t="n">
        <v>100000</v>
      </c>
      <c r="H740" s="17" t="n">
        <v>8000</v>
      </c>
      <c r="I740" s="17" t="n">
        <v>226147.15</v>
      </c>
      <c r="J740" s="13" t="inlineStr">
        <is>
          <t>10 % × 100,000 × split 80%</t>
        </is>
      </c>
    </row>
    <row r="741">
      <c r="A741" s="19" t="n">
        <v>740</v>
      </c>
      <c r="B741" s="20" t="n">
        <v>46464</v>
      </c>
      <c r="C741" s="21" t="n">
        <v>6</v>
      </c>
      <c r="D741" s="25" t="inlineStr">
        <is>
          <t>Payout</t>
        </is>
      </c>
      <c r="E741" s="19" t="inlineStr">
        <is>
          <t>IQ Capital</t>
        </is>
      </c>
      <c r="F741" s="19" t="inlineStr">
        <is>
          <t>#30 Instant-Direct 100k</t>
        </is>
      </c>
      <c r="G741" s="22" t="n">
        <v>100000</v>
      </c>
      <c r="H741" s="22" t="n">
        <v>8000</v>
      </c>
      <c r="I741" s="22" t="n">
        <v>234147.15</v>
      </c>
      <c r="J741" s="19" t="inlineStr">
        <is>
          <t>10 % × 100,000 × split 80%</t>
        </is>
      </c>
    </row>
    <row r="742">
      <c r="A742" s="13" t="n">
        <v>741</v>
      </c>
      <c r="B742" s="14" t="n">
        <v>46464</v>
      </c>
      <c r="C742" s="15" t="n">
        <v>6</v>
      </c>
      <c r="D742" s="25" t="inlineStr">
        <is>
          <t>Payout</t>
        </is>
      </c>
      <c r="E742" s="13" t="inlineStr">
        <is>
          <t>IQ Capital</t>
        </is>
      </c>
      <c r="F742" s="13" t="inlineStr">
        <is>
          <t>#31 Instant-Direct 100k</t>
        </is>
      </c>
      <c r="G742" s="17" t="n">
        <v>100000</v>
      </c>
      <c r="H742" s="17" t="n">
        <v>8000</v>
      </c>
      <c r="I742" s="17" t="n">
        <v>242147.15</v>
      </c>
      <c r="J742" s="13" t="inlineStr">
        <is>
          <t>10 % × 100,000 × split 80%</t>
        </is>
      </c>
    </row>
    <row r="743">
      <c r="A743" s="19" t="n">
        <v>742</v>
      </c>
      <c r="B743" s="20" t="n">
        <v>46464</v>
      </c>
      <c r="C743" s="21" t="n">
        <v>6</v>
      </c>
      <c r="D743" s="25" t="inlineStr">
        <is>
          <t>Payout</t>
        </is>
      </c>
      <c r="E743" s="19" t="inlineStr">
        <is>
          <t>IQ Capital</t>
        </is>
      </c>
      <c r="F743" s="19" t="inlineStr">
        <is>
          <t>#32 Instant-Direct 100k</t>
        </is>
      </c>
      <c r="G743" s="22" t="n">
        <v>100000</v>
      </c>
      <c r="H743" s="22" t="n">
        <v>8000</v>
      </c>
      <c r="I743" s="22" t="n">
        <v>250147.15</v>
      </c>
      <c r="J743" s="19" t="inlineStr">
        <is>
          <t>10 % × 100,000 × split 80%</t>
        </is>
      </c>
    </row>
    <row r="744">
      <c r="A744" s="13" t="n">
        <v>743</v>
      </c>
      <c r="B744" s="14" t="n">
        <v>46464</v>
      </c>
      <c r="C744" s="15" t="n">
        <v>6</v>
      </c>
      <c r="D744" s="25" t="inlineStr">
        <is>
          <t>Payout</t>
        </is>
      </c>
      <c r="E744" s="13" t="inlineStr">
        <is>
          <t>IQ Capital</t>
        </is>
      </c>
      <c r="F744" s="13" t="inlineStr">
        <is>
          <t>#33 Instant-Direct 100k</t>
        </is>
      </c>
      <c r="G744" s="17" t="n">
        <v>100000</v>
      </c>
      <c r="H744" s="17" t="n">
        <v>8000</v>
      </c>
      <c r="I744" s="17" t="n">
        <v>258147.15</v>
      </c>
      <c r="J744" s="13" t="inlineStr">
        <is>
          <t>10 % × 100,000 × split 80%</t>
        </is>
      </c>
    </row>
    <row r="745">
      <c r="A745" s="19" t="n">
        <v>744</v>
      </c>
      <c r="B745" s="20" t="n">
        <v>46464</v>
      </c>
      <c r="C745" s="21" t="n">
        <v>6</v>
      </c>
      <c r="D745" s="25" t="inlineStr">
        <is>
          <t>Payout</t>
        </is>
      </c>
      <c r="E745" s="19" t="inlineStr">
        <is>
          <t>IQ Capital</t>
        </is>
      </c>
      <c r="F745" s="19" t="inlineStr">
        <is>
          <t>#34 Instant-Direct 100k</t>
        </is>
      </c>
      <c r="G745" s="22" t="n">
        <v>100000</v>
      </c>
      <c r="H745" s="22" t="n">
        <v>8000</v>
      </c>
      <c r="I745" s="22" t="n">
        <v>266147.15</v>
      </c>
      <c r="J745" s="19" t="inlineStr">
        <is>
          <t>10 % × 100,000 × split 80%</t>
        </is>
      </c>
    </row>
    <row r="746">
      <c r="A746" s="13" t="n">
        <v>745</v>
      </c>
      <c r="B746" s="14" t="n">
        <v>46464</v>
      </c>
      <c r="C746" s="15" t="n">
        <v>6</v>
      </c>
      <c r="D746" s="25" t="inlineStr">
        <is>
          <t>Payout</t>
        </is>
      </c>
      <c r="E746" s="13" t="inlineStr">
        <is>
          <t>IQ Capital</t>
        </is>
      </c>
      <c r="F746" s="13" t="inlineStr">
        <is>
          <t>#35 Instant-Direct 100k</t>
        </is>
      </c>
      <c r="G746" s="17" t="n">
        <v>100000</v>
      </c>
      <c r="H746" s="17" t="n">
        <v>8000</v>
      </c>
      <c r="I746" s="17" t="n">
        <v>274147.15</v>
      </c>
      <c r="J746" s="13" t="inlineStr">
        <is>
          <t>10 % × 100,000 × split 80%</t>
        </is>
      </c>
    </row>
    <row r="747">
      <c r="A747" s="19" t="n">
        <v>746</v>
      </c>
      <c r="B747" s="20" t="n">
        <v>46464</v>
      </c>
      <c r="C747" s="21" t="n">
        <v>6</v>
      </c>
      <c r="D747" s="25" t="inlineStr">
        <is>
          <t>Payout</t>
        </is>
      </c>
      <c r="E747" s="19" t="inlineStr">
        <is>
          <t>IQ Capital</t>
        </is>
      </c>
      <c r="F747" s="19" t="inlineStr">
        <is>
          <t>#36 Instant-Direct 100k</t>
        </is>
      </c>
      <c r="G747" s="22" t="n">
        <v>100000</v>
      </c>
      <c r="H747" s="22" t="n">
        <v>8000</v>
      </c>
      <c r="I747" s="22" t="n">
        <v>282147.15</v>
      </c>
      <c r="J747" s="19" t="inlineStr">
        <is>
          <t>10 % × 100,000 × split 80%</t>
        </is>
      </c>
    </row>
    <row r="748">
      <c r="A748" s="13" t="n">
        <v>747</v>
      </c>
      <c r="B748" s="14" t="n">
        <v>46464</v>
      </c>
      <c r="C748" s="15" t="n">
        <v>6</v>
      </c>
      <c r="D748" s="25" t="inlineStr">
        <is>
          <t>Payout</t>
        </is>
      </c>
      <c r="E748" s="13" t="inlineStr">
        <is>
          <t>IQ Capital</t>
        </is>
      </c>
      <c r="F748" s="13" t="inlineStr">
        <is>
          <t>#37 Instant-Direct 100k</t>
        </is>
      </c>
      <c r="G748" s="17" t="n">
        <v>100000</v>
      </c>
      <c r="H748" s="17" t="n">
        <v>8000</v>
      </c>
      <c r="I748" s="17" t="n">
        <v>290147.15</v>
      </c>
      <c r="J748" s="13" t="inlineStr">
        <is>
          <t>10 % × 100,000 × split 80%</t>
        </is>
      </c>
    </row>
    <row r="749">
      <c r="A749" s="19" t="n">
        <v>748</v>
      </c>
      <c r="B749" s="20" t="n">
        <v>46464</v>
      </c>
      <c r="C749" s="21" t="n">
        <v>6</v>
      </c>
      <c r="D749" s="25" t="inlineStr">
        <is>
          <t>Payout</t>
        </is>
      </c>
      <c r="E749" s="19" t="inlineStr">
        <is>
          <t>IQ Capital</t>
        </is>
      </c>
      <c r="F749" s="19" t="inlineStr">
        <is>
          <t>#38 Instant-Direct 100k</t>
        </is>
      </c>
      <c r="G749" s="22" t="n">
        <v>100000</v>
      </c>
      <c r="H749" s="22" t="n">
        <v>8000</v>
      </c>
      <c r="I749" s="22" t="n">
        <v>298147.15</v>
      </c>
      <c r="J749" s="19" t="inlineStr">
        <is>
          <t>10 % × 100,000 × split 80%</t>
        </is>
      </c>
    </row>
    <row r="750">
      <c r="A750" s="13" t="n">
        <v>749</v>
      </c>
      <c r="B750" s="14" t="n">
        <v>46464</v>
      </c>
      <c r="C750" s="15" t="n">
        <v>6</v>
      </c>
      <c r="D750" s="25" t="inlineStr">
        <is>
          <t>Payout</t>
        </is>
      </c>
      <c r="E750" s="13" t="inlineStr">
        <is>
          <t>IQ Capital</t>
        </is>
      </c>
      <c r="F750" s="13" t="inlineStr">
        <is>
          <t>#39 Instant-Direct 100k</t>
        </is>
      </c>
      <c r="G750" s="17" t="n">
        <v>100000</v>
      </c>
      <c r="H750" s="17" t="n">
        <v>8000</v>
      </c>
      <c r="I750" s="17" t="n">
        <v>306147.15</v>
      </c>
      <c r="J750" s="13" t="inlineStr">
        <is>
          <t>10 % × 100,000 × split 80%</t>
        </is>
      </c>
    </row>
    <row r="751">
      <c r="A751" s="19" t="n">
        <v>750</v>
      </c>
      <c r="B751" s="20" t="n">
        <v>46464</v>
      </c>
      <c r="C751" s="21" t="n">
        <v>6</v>
      </c>
      <c r="D751" s="25" t="inlineStr">
        <is>
          <t>Payout</t>
        </is>
      </c>
      <c r="E751" s="19" t="inlineStr">
        <is>
          <t>IQ Capital</t>
        </is>
      </c>
      <c r="F751" s="19" t="inlineStr">
        <is>
          <t>#40 Instant-Direct 100k</t>
        </is>
      </c>
      <c r="G751" s="22" t="n">
        <v>100000</v>
      </c>
      <c r="H751" s="22" t="n">
        <v>8000</v>
      </c>
      <c r="I751" s="22" t="n">
        <v>314147.15</v>
      </c>
      <c r="J751" s="19" t="inlineStr">
        <is>
          <t>10 % × 100,000 × split 80%</t>
        </is>
      </c>
    </row>
    <row r="752">
      <c r="A752" s="13" t="n">
        <v>751</v>
      </c>
      <c r="B752" s="14" t="n">
        <v>46464</v>
      </c>
      <c r="C752" s="15" t="n">
        <v>6</v>
      </c>
      <c r="D752" s="25" t="inlineStr">
        <is>
          <t>Payout</t>
        </is>
      </c>
      <c r="E752" s="13" t="inlineStr">
        <is>
          <t>IQ Capital</t>
        </is>
      </c>
      <c r="F752" s="13" t="inlineStr">
        <is>
          <t>#41 Instant-Direct 100k</t>
        </is>
      </c>
      <c r="G752" s="17" t="n">
        <v>100000</v>
      </c>
      <c r="H752" s="17" t="n">
        <v>8000</v>
      </c>
      <c r="I752" s="17" t="n">
        <v>322147.15</v>
      </c>
      <c r="J752" s="13" t="inlineStr">
        <is>
          <t>10 % × 100,000 × split 80%</t>
        </is>
      </c>
    </row>
    <row r="753">
      <c r="A753" s="19" t="n">
        <v>752</v>
      </c>
      <c r="B753" s="20" t="n">
        <v>46464</v>
      </c>
      <c r="C753" s="21" t="n">
        <v>6</v>
      </c>
      <c r="D753" s="25" t="inlineStr">
        <is>
          <t>Payout</t>
        </is>
      </c>
      <c r="E753" s="19" t="inlineStr">
        <is>
          <t>IQ Capital</t>
        </is>
      </c>
      <c r="F753" s="19" t="inlineStr">
        <is>
          <t>#42 Instant-Direct 100k</t>
        </is>
      </c>
      <c r="G753" s="22" t="n">
        <v>100000</v>
      </c>
      <c r="H753" s="22" t="n">
        <v>8000</v>
      </c>
      <c r="I753" s="22" t="n">
        <v>330147.15</v>
      </c>
      <c r="J753" s="19" t="inlineStr">
        <is>
          <t>10 % × 100,000 × split 80%</t>
        </is>
      </c>
    </row>
    <row r="754">
      <c r="A754" s="13" t="n">
        <v>753</v>
      </c>
      <c r="B754" s="14" t="n">
        <v>46464</v>
      </c>
      <c r="C754" s="15" t="n">
        <v>6</v>
      </c>
      <c r="D754" s="25" t="inlineStr">
        <is>
          <t>Payout</t>
        </is>
      </c>
      <c r="E754" s="13" t="inlineStr">
        <is>
          <t>IQ Capital</t>
        </is>
      </c>
      <c r="F754" s="13" t="inlineStr">
        <is>
          <t>#43 Instant-Direct 100k</t>
        </is>
      </c>
      <c r="G754" s="17" t="n">
        <v>100000</v>
      </c>
      <c r="H754" s="17" t="n">
        <v>8000</v>
      </c>
      <c r="I754" s="17" t="n">
        <v>338147.15</v>
      </c>
      <c r="J754" s="13" t="inlineStr">
        <is>
          <t>10 % × 100,000 × split 80%</t>
        </is>
      </c>
    </row>
    <row r="755">
      <c r="A755" s="19" t="n">
        <v>754</v>
      </c>
      <c r="B755" s="20" t="n">
        <v>46464</v>
      </c>
      <c r="C755" s="21" t="n">
        <v>6</v>
      </c>
      <c r="D755" s="25" t="inlineStr">
        <is>
          <t>Payout</t>
        </is>
      </c>
      <c r="E755" s="19" t="inlineStr">
        <is>
          <t>IQ Capital</t>
        </is>
      </c>
      <c r="F755" s="19" t="inlineStr">
        <is>
          <t>#44 Instant-Direct 100k</t>
        </is>
      </c>
      <c r="G755" s="22" t="n">
        <v>100000</v>
      </c>
      <c r="H755" s="22" t="n">
        <v>8000</v>
      </c>
      <c r="I755" s="22" t="n">
        <v>346147.15</v>
      </c>
      <c r="J755" s="19" t="inlineStr">
        <is>
          <t>10 % × 100,000 × split 80%</t>
        </is>
      </c>
    </row>
    <row r="756">
      <c r="A756" s="13" t="n">
        <v>755</v>
      </c>
      <c r="B756" s="14" t="n">
        <v>46464</v>
      </c>
      <c r="C756" s="15" t="n">
        <v>6</v>
      </c>
      <c r="D756" s="25" t="inlineStr">
        <is>
          <t>Payout</t>
        </is>
      </c>
      <c r="E756" s="13" t="inlineStr">
        <is>
          <t>IQ Capital</t>
        </is>
      </c>
      <c r="F756" s="13" t="inlineStr">
        <is>
          <t>#45 Instant-Direct 100k</t>
        </is>
      </c>
      <c r="G756" s="17" t="n">
        <v>100000</v>
      </c>
      <c r="H756" s="17" t="n">
        <v>8000</v>
      </c>
      <c r="I756" s="17" t="n">
        <v>354147.15</v>
      </c>
      <c r="J756" s="13" t="inlineStr">
        <is>
          <t>10 % × 100,000 × split 80%</t>
        </is>
      </c>
    </row>
    <row r="757">
      <c r="A757" s="19" t="n">
        <v>756</v>
      </c>
      <c r="B757" s="20" t="n">
        <v>46464</v>
      </c>
      <c r="C757" s="21" t="n">
        <v>6</v>
      </c>
      <c r="D757" s="25" t="inlineStr">
        <is>
          <t>Payout</t>
        </is>
      </c>
      <c r="E757" s="19" t="inlineStr">
        <is>
          <t>Instant Funding</t>
        </is>
      </c>
      <c r="F757" s="19" t="inlineStr">
        <is>
          <t>#46 Instant-Direct 120k</t>
        </is>
      </c>
      <c r="G757" s="22" t="n">
        <v>120000</v>
      </c>
      <c r="H757" s="22" t="n">
        <v>9600</v>
      </c>
      <c r="I757" s="22" t="n">
        <v>363747.15</v>
      </c>
      <c r="J757" s="19" t="inlineStr">
        <is>
          <t>10 % × 120,000 × split 80%</t>
        </is>
      </c>
    </row>
    <row r="758">
      <c r="A758" s="13" t="n">
        <v>757</v>
      </c>
      <c r="B758" s="14" t="n">
        <v>46464</v>
      </c>
      <c r="C758" s="15" t="n">
        <v>6</v>
      </c>
      <c r="D758" s="25" t="inlineStr">
        <is>
          <t>Payout</t>
        </is>
      </c>
      <c r="E758" s="13" t="inlineStr">
        <is>
          <t>Instant Funding</t>
        </is>
      </c>
      <c r="F758" s="13" t="inlineStr">
        <is>
          <t>#47 Instant-Direct 120k</t>
        </is>
      </c>
      <c r="G758" s="17" t="n">
        <v>120000</v>
      </c>
      <c r="H758" s="17" t="n">
        <v>9600</v>
      </c>
      <c r="I758" s="17" t="n">
        <v>373347.15</v>
      </c>
      <c r="J758" s="13" t="inlineStr">
        <is>
          <t>10 % × 120,000 × split 80%</t>
        </is>
      </c>
    </row>
    <row r="759">
      <c r="A759" s="19" t="n">
        <v>758</v>
      </c>
      <c r="B759" s="20" t="n">
        <v>46464</v>
      </c>
      <c r="C759" s="21" t="n">
        <v>6</v>
      </c>
      <c r="D759" s="25" t="inlineStr">
        <is>
          <t>Payout</t>
        </is>
      </c>
      <c r="E759" s="19" t="inlineStr">
        <is>
          <t>Instant Funding</t>
        </is>
      </c>
      <c r="F759" s="19" t="inlineStr">
        <is>
          <t>#48 Instant-Direct 120k</t>
        </is>
      </c>
      <c r="G759" s="22" t="n">
        <v>120000</v>
      </c>
      <c r="H759" s="22" t="n">
        <v>9600</v>
      </c>
      <c r="I759" s="22" t="n">
        <v>382947.15</v>
      </c>
      <c r="J759" s="19" t="inlineStr">
        <is>
          <t>10 % × 120,000 × split 80%</t>
        </is>
      </c>
    </row>
    <row r="760">
      <c r="A760" s="13" t="n">
        <v>759</v>
      </c>
      <c r="B760" s="14" t="n">
        <v>46464</v>
      </c>
      <c r="C760" s="15" t="n">
        <v>6</v>
      </c>
      <c r="D760" s="25" t="inlineStr">
        <is>
          <t>Payout</t>
        </is>
      </c>
      <c r="E760" s="13" t="inlineStr">
        <is>
          <t>Audacity Capital</t>
        </is>
      </c>
      <c r="F760" s="13" t="inlineStr">
        <is>
          <t>#49 Instant-Direct 50k</t>
        </is>
      </c>
      <c r="G760" s="17" t="n">
        <v>50000</v>
      </c>
      <c r="H760" s="17" t="n">
        <v>4500</v>
      </c>
      <c r="I760" s="17" t="n">
        <v>387447.15</v>
      </c>
      <c r="J760" s="13" t="inlineStr">
        <is>
          <t>10 % × 50,000 × split 90%</t>
        </is>
      </c>
    </row>
    <row r="761">
      <c r="A761" s="19" t="n">
        <v>760</v>
      </c>
      <c r="B761" s="20" t="n">
        <v>46464</v>
      </c>
      <c r="C761" s="21" t="n">
        <v>6</v>
      </c>
      <c r="D761" s="25" t="inlineStr">
        <is>
          <t>Payout</t>
        </is>
      </c>
      <c r="E761" s="19" t="inlineStr">
        <is>
          <t>Crypto Fund Trader</t>
        </is>
      </c>
      <c r="F761" s="19" t="inlineStr">
        <is>
          <t>#50 Instant-Direct 10k</t>
        </is>
      </c>
      <c r="G761" s="22" t="n">
        <v>10000</v>
      </c>
      <c r="H761" s="22" t="n">
        <v>800</v>
      </c>
      <c r="I761" s="22" t="n">
        <v>388247.15</v>
      </c>
      <c r="J761" s="19" t="inlineStr">
        <is>
          <t>10 % × 10,000 × split 80%</t>
        </is>
      </c>
    </row>
    <row r="762">
      <c r="A762" s="13" t="n">
        <v>761</v>
      </c>
      <c r="B762" s="14" t="n">
        <v>46464</v>
      </c>
      <c r="C762" s="15" t="n">
        <v>6</v>
      </c>
      <c r="D762" s="25" t="inlineStr">
        <is>
          <t>Payout</t>
        </is>
      </c>
      <c r="E762" s="13" t="inlineStr">
        <is>
          <t>Instant Funding</t>
        </is>
      </c>
      <c r="F762" s="13" t="inlineStr">
        <is>
          <t>#51 Instant-Direct 120k</t>
        </is>
      </c>
      <c r="G762" s="17" t="n">
        <v>120000</v>
      </c>
      <c r="H762" s="17" t="n">
        <v>9600</v>
      </c>
      <c r="I762" s="17" t="n">
        <v>397847.15</v>
      </c>
      <c r="J762" s="13" t="inlineStr">
        <is>
          <t>10 % × 120,000 × split 80%</t>
        </is>
      </c>
    </row>
    <row r="763">
      <c r="A763" s="19" t="n">
        <v>762</v>
      </c>
      <c r="B763" s="20" t="n">
        <v>46464</v>
      </c>
      <c r="C763" s="21" t="n">
        <v>6</v>
      </c>
      <c r="D763" s="25" t="inlineStr">
        <is>
          <t>Payout</t>
        </is>
      </c>
      <c r="E763" s="19" t="inlineStr">
        <is>
          <t>Instant Funding</t>
        </is>
      </c>
      <c r="F763" s="19" t="inlineStr">
        <is>
          <t>#52 Instant-Direct 120k</t>
        </is>
      </c>
      <c r="G763" s="22" t="n">
        <v>120000</v>
      </c>
      <c r="H763" s="22" t="n">
        <v>9600</v>
      </c>
      <c r="I763" s="22" t="n">
        <v>407447.15</v>
      </c>
      <c r="J763" s="19" t="inlineStr">
        <is>
          <t>10 % × 120,000 × split 80%</t>
        </is>
      </c>
    </row>
    <row r="764">
      <c r="A764" s="13" t="n">
        <v>763</v>
      </c>
      <c r="B764" s="14" t="n">
        <v>46464</v>
      </c>
      <c r="C764" s="15" t="n">
        <v>6</v>
      </c>
      <c r="D764" s="25" t="inlineStr">
        <is>
          <t>Payout</t>
        </is>
      </c>
      <c r="E764" s="13" t="inlineStr">
        <is>
          <t>Instant Funding</t>
        </is>
      </c>
      <c r="F764" s="13" t="inlineStr">
        <is>
          <t>#53 Instant-Direct 120k</t>
        </is>
      </c>
      <c r="G764" s="17" t="n">
        <v>120000</v>
      </c>
      <c r="H764" s="17" t="n">
        <v>9600</v>
      </c>
      <c r="I764" s="17" t="n">
        <v>417047.15</v>
      </c>
      <c r="J764" s="13" t="inlineStr">
        <is>
          <t>10 % × 120,000 × split 80%</t>
        </is>
      </c>
    </row>
    <row r="765">
      <c r="A765" s="19" t="n">
        <v>764</v>
      </c>
      <c r="B765" s="20" t="n">
        <v>46464</v>
      </c>
      <c r="C765" s="21" t="n">
        <v>6</v>
      </c>
      <c r="D765" s="25" t="inlineStr">
        <is>
          <t>Payout</t>
        </is>
      </c>
      <c r="E765" s="19" t="inlineStr">
        <is>
          <t>Instant Funding</t>
        </is>
      </c>
      <c r="F765" s="19" t="inlineStr">
        <is>
          <t>#54 Instant-Direct 120k</t>
        </is>
      </c>
      <c r="G765" s="22" t="n">
        <v>120000</v>
      </c>
      <c r="H765" s="22" t="n">
        <v>9600</v>
      </c>
      <c r="I765" s="22" t="n">
        <v>426647.15</v>
      </c>
      <c r="J765" s="19" t="inlineStr">
        <is>
          <t>10 % × 120,000 × split 80%</t>
        </is>
      </c>
    </row>
    <row r="766">
      <c r="A766" s="13" t="n">
        <v>765</v>
      </c>
      <c r="B766" s="14" t="n">
        <v>46464</v>
      </c>
      <c r="C766" s="15" t="n">
        <v>6</v>
      </c>
      <c r="D766" s="25" t="inlineStr">
        <is>
          <t>Payout</t>
        </is>
      </c>
      <c r="E766" s="13" t="inlineStr">
        <is>
          <t>Instant Funding</t>
        </is>
      </c>
      <c r="F766" s="13" t="inlineStr">
        <is>
          <t>#55 Instant-Direct 120k</t>
        </is>
      </c>
      <c r="G766" s="17" t="n">
        <v>120000</v>
      </c>
      <c r="H766" s="17" t="n">
        <v>9600</v>
      </c>
      <c r="I766" s="17" t="n">
        <v>436247.15</v>
      </c>
      <c r="J766" s="13" t="inlineStr">
        <is>
          <t>10 % × 120,000 × split 80%</t>
        </is>
      </c>
    </row>
    <row r="767">
      <c r="A767" s="19" t="n">
        <v>766</v>
      </c>
      <c r="B767" s="20" t="n">
        <v>46464</v>
      </c>
      <c r="C767" s="21" t="n">
        <v>6</v>
      </c>
      <c r="D767" s="25" t="inlineStr">
        <is>
          <t>Payout</t>
        </is>
      </c>
      <c r="E767" s="19" t="inlineStr">
        <is>
          <t>Kickstart Trading</t>
        </is>
      </c>
      <c r="F767" s="19" t="inlineStr">
        <is>
          <t>#56 Instant-Direct 100k</t>
        </is>
      </c>
      <c r="G767" s="22" t="n">
        <v>100000</v>
      </c>
      <c r="H767" s="22" t="n">
        <v>8000</v>
      </c>
      <c r="I767" s="22" t="n">
        <v>444247.15</v>
      </c>
      <c r="J767" s="19" t="inlineStr">
        <is>
          <t>10 % × 100,000 × split 80%</t>
        </is>
      </c>
    </row>
    <row r="768">
      <c r="A768" s="13" t="n">
        <v>767</v>
      </c>
      <c r="B768" s="14" t="n">
        <v>46464</v>
      </c>
      <c r="C768" s="15" t="n">
        <v>6</v>
      </c>
      <c r="D768" s="25" t="inlineStr">
        <is>
          <t>Payout</t>
        </is>
      </c>
      <c r="E768" s="13" t="inlineStr">
        <is>
          <t>Kickstart Trading</t>
        </is>
      </c>
      <c r="F768" s="13" t="inlineStr">
        <is>
          <t>#57 Instant-Direct 100k</t>
        </is>
      </c>
      <c r="G768" s="17" t="n">
        <v>100000</v>
      </c>
      <c r="H768" s="17" t="n">
        <v>8000</v>
      </c>
      <c r="I768" s="17" t="n">
        <v>452247.15</v>
      </c>
      <c r="J768" s="13" t="inlineStr">
        <is>
          <t>10 % × 100,000 × split 80%</t>
        </is>
      </c>
    </row>
    <row r="769">
      <c r="A769" s="19" t="n">
        <v>768</v>
      </c>
      <c r="B769" s="20" t="n">
        <v>46464</v>
      </c>
      <c r="C769" s="21" t="n">
        <v>6</v>
      </c>
      <c r="D769" s="25" t="inlineStr">
        <is>
          <t>Payout</t>
        </is>
      </c>
      <c r="E769" s="19" t="inlineStr">
        <is>
          <t>Kickstart Trading</t>
        </is>
      </c>
      <c r="F769" s="19" t="inlineStr">
        <is>
          <t>#58 Instant-Direct 100k</t>
        </is>
      </c>
      <c r="G769" s="22" t="n">
        <v>100000</v>
      </c>
      <c r="H769" s="22" t="n">
        <v>8000</v>
      </c>
      <c r="I769" s="22" t="n">
        <v>460247.15</v>
      </c>
      <c r="J769" s="19" t="inlineStr">
        <is>
          <t>10 % × 100,000 × split 80%</t>
        </is>
      </c>
    </row>
    <row r="770">
      <c r="A770" s="13" t="n">
        <v>769</v>
      </c>
      <c r="B770" s="14" t="n">
        <v>46464</v>
      </c>
      <c r="C770" s="15" t="n">
        <v>6</v>
      </c>
      <c r="D770" s="25" t="inlineStr">
        <is>
          <t>Payout</t>
        </is>
      </c>
      <c r="E770" s="13" t="inlineStr">
        <is>
          <t>Kickstart Trading</t>
        </is>
      </c>
      <c r="F770" s="13" t="inlineStr">
        <is>
          <t>#59 Instant-Direct 100k</t>
        </is>
      </c>
      <c r="G770" s="17" t="n">
        <v>100000</v>
      </c>
      <c r="H770" s="17" t="n">
        <v>8000</v>
      </c>
      <c r="I770" s="17" t="n">
        <v>468247.15</v>
      </c>
      <c r="J770" s="13" t="inlineStr">
        <is>
          <t>10 % × 100,000 × split 80%</t>
        </is>
      </c>
    </row>
    <row r="771">
      <c r="A771" s="19" t="n">
        <v>770</v>
      </c>
      <c r="B771" s="20" t="n">
        <v>46464</v>
      </c>
      <c r="C771" s="21" t="n">
        <v>6</v>
      </c>
      <c r="D771" s="25" t="inlineStr">
        <is>
          <t>Payout</t>
        </is>
      </c>
      <c r="E771" s="19" t="inlineStr">
        <is>
          <t>Kickstart Trading</t>
        </is>
      </c>
      <c r="F771" s="19" t="inlineStr">
        <is>
          <t>#60 Instant-Direct 100k</t>
        </is>
      </c>
      <c r="G771" s="22" t="n">
        <v>100000</v>
      </c>
      <c r="H771" s="22" t="n">
        <v>8000</v>
      </c>
      <c r="I771" s="22" t="n">
        <v>476247.15</v>
      </c>
      <c r="J771" s="19" t="inlineStr">
        <is>
          <t>10 % × 100,000 × split 80%</t>
        </is>
      </c>
    </row>
    <row r="772">
      <c r="A772" s="13" t="n">
        <v>771</v>
      </c>
      <c r="B772" s="14" t="n">
        <v>46464</v>
      </c>
      <c r="C772" s="15" t="n">
        <v>6</v>
      </c>
      <c r="D772" s="25" t="inlineStr">
        <is>
          <t>Payout</t>
        </is>
      </c>
      <c r="E772" s="13" t="inlineStr">
        <is>
          <t>Kickstart Trading</t>
        </is>
      </c>
      <c r="F772" s="13" t="inlineStr">
        <is>
          <t>#61 Instant-Direct 100k</t>
        </is>
      </c>
      <c r="G772" s="17" t="n">
        <v>100000</v>
      </c>
      <c r="H772" s="17" t="n">
        <v>8000</v>
      </c>
      <c r="I772" s="17" t="n">
        <v>484247.15</v>
      </c>
      <c r="J772" s="13" t="inlineStr">
        <is>
          <t>10 % × 100,000 × split 80%</t>
        </is>
      </c>
    </row>
    <row r="773">
      <c r="A773" s="19" t="n">
        <v>772</v>
      </c>
      <c r="B773" s="20" t="n">
        <v>46464</v>
      </c>
      <c r="C773" s="21" t="n">
        <v>6</v>
      </c>
      <c r="D773" s="25" t="inlineStr">
        <is>
          <t>Payout</t>
        </is>
      </c>
      <c r="E773" s="19" t="inlineStr">
        <is>
          <t>Kickstart Trading</t>
        </is>
      </c>
      <c r="F773" s="19" t="inlineStr">
        <is>
          <t>#62 Instant-Direct 100k</t>
        </is>
      </c>
      <c r="G773" s="22" t="n">
        <v>100000</v>
      </c>
      <c r="H773" s="22" t="n">
        <v>8000</v>
      </c>
      <c r="I773" s="22" t="n">
        <v>492247.15</v>
      </c>
      <c r="J773" s="19" t="inlineStr">
        <is>
          <t>10 % × 100,000 × split 80%</t>
        </is>
      </c>
    </row>
    <row r="774">
      <c r="A774" s="13" t="n">
        <v>773</v>
      </c>
      <c r="B774" s="14" t="n">
        <v>46464</v>
      </c>
      <c r="C774" s="15" t="n">
        <v>6</v>
      </c>
      <c r="D774" s="25" t="inlineStr">
        <is>
          <t>Payout</t>
        </is>
      </c>
      <c r="E774" s="13" t="inlineStr">
        <is>
          <t>Kickstart Trading</t>
        </is>
      </c>
      <c r="F774" s="13" t="inlineStr">
        <is>
          <t>#63 Instant-Direct 100k</t>
        </is>
      </c>
      <c r="G774" s="17" t="n">
        <v>100000</v>
      </c>
      <c r="H774" s="17" t="n">
        <v>8000</v>
      </c>
      <c r="I774" s="17" t="n">
        <v>500247.15</v>
      </c>
      <c r="J774" s="13" t="inlineStr">
        <is>
          <t>10 % × 100,000 × split 80%</t>
        </is>
      </c>
    </row>
    <row r="775">
      <c r="A775" s="19" t="n">
        <v>774</v>
      </c>
      <c r="B775" s="20" t="n">
        <v>46464</v>
      </c>
      <c r="C775" s="21" t="n">
        <v>6</v>
      </c>
      <c r="D775" s="25" t="inlineStr">
        <is>
          <t>Payout</t>
        </is>
      </c>
      <c r="E775" s="19" t="inlineStr">
        <is>
          <t>Kickstart Trading</t>
        </is>
      </c>
      <c r="F775" s="19" t="inlineStr">
        <is>
          <t>#64 Instant-Direct 100k</t>
        </is>
      </c>
      <c r="G775" s="22" t="n">
        <v>100000</v>
      </c>
      <c r="H775" s="22" t="n">
        <v>8000</v>
      </c>
      <c r="I775" s="22" t="n">
        <v>508247.15</v>
      </c>
      <c r="J775" s="19" t="inlineStr">
        <is>
          <t>10 % × 100,000 × split 80%</t>
        </is>
      </c>
    </row>
    <row r="776">
      <c r="A776" s="13" t="n">
        <v>775</v>
      </c>
      <c r="B776" s="14" t="n">
        <v>46464</v>
      </c>
      <c r="C776" s="15" t="n">
        <v>6</v>
      </c>
      <c r="D776" s="25" t="inlineStr">
        <is>
          <t>Payout</t>
        </is>
      </c>
      <c r="E776" s="13" t="inlineStr">
        <is>
          <t>Kickstart Trading</t>
        </is>
      </c>
      <c r="F776" s="13" t="inlineStr">
        <is>
          <t>#65 Instant-Direct 100k</t>
        </is>
      </c>
      <c r="G776" s="17" t="n">
        <v>100000</v>
      </c>
      <c r="H776" s="17" t="n">
        <v>8000</v>
      </c>
      <c r="I776" s="17" t="n">
        <v>516247.15</v>
      </c>
      <c r="J776" s="13" t="inlineStr">
        <is>
          <t>10 % × 100,000 × split 80%</t>
        </is>
      </c>
    </row>
    <row r="777">
      <c r="A777" s="19" t="n">
        <v>776</v>
      </c>
      <c r="B777" s="20" t="n">
        <v>46464</v>
      </c>
      <c r="C777" s="21" t="n">
        <v>6</v>
      </c>
      <c r="D777" s="25" t="inlineStr">
        <is>
          <t>Payout</t>
        </is>
      </c>
      <c r="E777" s="19" t="inlineStr">
        <is>
          <t>Audacity Capital</t>
        </is>
      </c>
      <c r="F777" s="19" t="inlineStr">
        <is>
          <t>#66 Instant-Direct 50k</t>
        </is>
      </c>
      <c r="G777" s="22" t="n">
        <v>50000</v>
      </c>
      <c r="H777" s="22" t="n">
        <v>4500</v>
      </c>
      <c r="I777" s="22" t="n">
        <v>520747.15</v>
      </c>
      <c r="J777" s="19" t="inlineStr">
        <is>
          <t>10 % × 50,000 × split 90%</t>
        </is>
      </c>
    </row>
    <row r="778">
      <c r="A778" s="13" t="n">
        <v>777</v>
      </c>
      <c r="B778" s="14" t="n">
        <v>46464</v>
      </c>
      <c r="C778" s="15" t="n">
        <v>6</v>
      </c>
      <c r="D778" s="25" t="inlineStr">
        <is>
          <t>Payout</t>
        </is>
      </c>
      <c r="E778" s="13" t="inlineStr">
        <is>
          <t>Audacity Capital</t>
        </is>
      </c>
      <c r="F778" s="13" t="inlineStr">
        <is>
          <t>#67 Instant-Direct 50k</t>
        </is>
      </c>
      <c r="G778" s="17" t="n">
        <v>50000</v>
      </c>
      <c r="H778" s="17" t="n">
        <v>4500</v>
      </c>
      <c r="I778" s="17" t="n">
        <v>525247.15</v>
      </c>
      <c r="J778" s="13" t="inlineStr">
        <is>
          <t>10 % × 50,000 × split 90%</t>
        </is>
      </c>
    </row>
    <row r="779">
      <c r="A779" s="19" t="n">
        <v>778</v>
      </c>
      <c r="B779" s="20" t="n">
        <v>46464</v>
      </c>
      <c r="C779" s="21" t="n">
        <v>6</v>
      </c>
      <c r="D779" s="25" t="inlineStr">
        <is>
          <t>Payout</t>
        </is>
      </c>
      <c r="E779" s="19" t="inlineStr">
        <is>
          <t>Audacity Capital</t>
        </is>
      </c>
      <c r="F779" s="19" t="inlineStr">
        <is>
          <t>#68 Instant-Direct 50k</t>
        </is>
      </c>
      <c r="G779" s="22" t="n">
        <v>50000</v>
      </c>
      <c r="H779" s="22" t="n">
        <v>4500</v>
      </c>
      <c r="I779" s="22" t="n">
        <v>529747.15</v>
      </c>
      <c r="J779" s="19" t="inlineStr">
        <is>
          <t>10 % × 50,000 × split 90%</t>
        </is>
      </c>
    </row>
    <row r="780">
      <c r="A780" s="13" t="n">
        <v>779</v>
      </c>
      <c r="B780" s="14" t="n">
        <v>46464</v>
      </c>
      <c r="C780" s="15" t="n">
        <v>6</v>
      </c>
      <c r="D780" s="25" t="inlineStr">
        <is>
          <t>Payout</t>
        </is>
      </c>
      <c r="E780" s="13" t="inlineStr">
        <is>
          <t>Audacity Capital</t>
        </is>
      </c>
      <c r="F780" s="13" t="inlineStr">
        <is>
          <t>#69 Instant-Direct 50k</t>
        </is>
      </c>
      <c r="G780" s="17" t="n">
        <v>50000</v>
      </c>
      <c r="H780" s="17" t="n">
        <v>4500</v>
      </c>
      <c r="I780" s="17" t="n">
        <v>534247.15</v>
      </c>
      <c r="J780" s="13" t="inlineStr">
        <is>
          <t>10 % × 50,000 × split 90%</t>
        </is>
      </c>
    </row>
    <row r="781">
      <c r="A781" s="19" t="n">
        <v>780</v>
      </c>
      <c r="B781" s="20" t="n">
        <v>46464</v>
      </c>
      <c r="C781" s="21" t="n">
        <v>6</v>
      </c>
      <c r="D781" s="25" t="inlineStr">
        <is>
          <t>Payout</t>
        </is>
      </c>
      <c r="E781" s="19" t="inlineStr">
        <is>
          <t>Audacity Capital</t>
        </is>
      </c>
      <c r="F781" s="19" t="inlineStr">
        <is>
          <t>#70 Instant-Direct 50k</t>
        </is>
      </c>
      <c r="G781" s="22" t="n">
        <v>50000</v>
      </c>
      <c r="H781" s="22" t="n">
        <v>4500</v>
      </c>
      <c r="I781" s="22" t="n">
        <v>538747.15</v>
      </c>
      <c r="J781" s="19" t="inlineStr">
        <is>
          <t>10 % × 50,000 × split 90%</t>
        </is>
      </c>
    </row>
    <row r="782">
      <c r="A782" s="13" t="n">
        <v>781</v>
      </c>
      <c r="B782" s="14" t="n">
        <v>46464</v>
      </c>
      <c r="C782" s="15" t="n">
        <v>6</v>
      </c>
      <c r="D782" s="25" t="inlineStr">
        <is>
          <t>Payout</t>
        </is>
      </c>
      <c r="E782" s="13" t="inlineStr">
        <is>
          <t>Audacity Capital</t>
        </is>
      </c>
      <c r="F782" s="13" t="inlineStr">
        <is>
          <t>#71 Instant-Direct 50k</t>
        </is>
      </c>
      <c r="G782" s="17" t="n">
        <v>50000</v>
      </c>
      <c r="H782" s="17" t="n">
        <v>4500</v>
      </c>
      <c r="I782" s="17" t="n">
        <v>543247.15</v>
      </c>
      <c r="J782" s="13" t="inlineStr">
        <is>
          <t>10 % × 50,000 × split 90%</t>
        </is>
      </c>
    </row>
    <row r="783">
      <c r="A783" s="19" t="n">
        <v>782</v>
      </c>
      <c r="B783" s="20" t="n">
        <v>46464</v>
      </c>
      <c r="C783" s="21" t="n">
        <v>6</v>
      </c>
      <c r="D783" s="25" t="inlineStr">
        <is>
          <t>Payout</t>
        </is>
      </c>
      <c r="E783" s="19" t="inlineStr">
        <is>
          <t>Audacity Capital</t>
        </is>
      </c>
      <c r="F783" s="19" t="inlineStr">
        <is>
          <t>#72 Instant-Direct 50k</t>
        </is>
      </c>
      <c r="G783" s="22" t="n">
        <v>50000</v>
      </c>
      <c r="H783" s="22" t="n">
        <v>4500</v>
      </c>
      <c r="I783" s="22" t="n">
        <v>547747.15</v>
      </c>
      <c r="J783" s="19" t="inlineStr">
        <is>
          <t>10 % × 50,000 × split 90%</t>
        </is>
      </c>
    </row>
    <row r="784">
      <c r="A784" s="13" t="n">
        <v>783</v>
      </c>
      <c r="B784" s="14" t="n">
        <v>46464</v>
      </c>
      <c r="C784" s="15" t="n">
        <v>6</v>
      </c>
      <c r="D784" s="25" t="inlineStr">
        <is>
          <t>Payout</t>
        </is>
      </c>
      <c r="E784" s="13" t="inlineStr">
        <is>
          <t>Audacity Capital</t>
        </is>
      </c>
      <c r="F784" s="13" t="inlineStr">
        <is>
          <t>#73 Instant-Direct 50k</t>
        </is>
      </c>
      <c r="G784" s="17" t="n">
        <v>50000</v>
      </c>
      <c r="H784" s="17" t="n">
        <v>4500</v>
      </c>
      <c r="I784" s="17" t="n">
        <v>552247.15</v>
      </c>
      <c r="J784" s="13" t="inlineStr">
        <is>
          <t>10 % × 50,000 × split 90%</t>
        </is>
      </c>
    </row>
    <row r="785">
      <c r="A785" s="19" t="n">
        <v>784</v>
      </c>
      <c r="B785" s="20" t="n">
        <v>46464</v>
      </c>
      <c r="C785" s="21" t="n">
        <v>6</v>
      </c>
      <c r="D785" s="25" t="inlineStr">
        <is>
          <t>Payout</t>
        </is>
      </c>
      <c r="E785" s="19" t="inlineStr">
        <is>
          <t>Audacity Capital</t>
        </is>
      </c>
      <c r="F785" s="19" t="inlineStr">
        <is>
          <t>#74 Instant-Direct 50k</t>
        </is>
      </c>
      <c r="G785" s="22" t="n">
        <v>50000</v>
      </c>
      <c r="H785" s="22" t="n">
        <v>4500</v>
      </c>
      <c r="I785" s="22" t="n">
        <v>556747.15</v>
      </c>
      <c r="J785" s="19" t="inlineStr">
        <is>
          <t>10 % × 50,000 × split 90%</t>
        </is>
      </c>
    </row>
    <row r="786">
      <c r="A786" s="13" t="n">
        <v>785</v>
      </c>
      <c r="B786" s="14" t="n">
        <v>46464</v>
      </c>
      <c r="C786" s="15" t="n">
        <v>6</v>
      </c>
      <c r="D786" s="25" t="inlineStr">
        <is>
          <t>Payout</t>
        </is>
      </c>
      <c r="E786" s="13" t="inlineStr">
        <is>
          <t>Audacity Capital</t>
        </is>
      </c>
      <c r="F786" s="13" t="inlineStr">
        <is>
          <t>#75 Instant-Direct 50k</t>
        </is>
      </c>
      <c r="G786" s="17" t="n">
        <v>50000</v>
      </c>
      <c r="H786" s="17" t="n">
        <v>4500</v>
      </c>
      <c r="I786" s="17" t="n">
        <v>561247.15</v>
      </c>
      <c r="J786" s="13" t="inlineStr">
        <is>
          <t>10 % × 50,000 × split 90%</t>
        </is>
      </c>
    </row>
    <row r="787">
      <c r="A787" s="19" t="n">
        <v>786</v>
      </c>
      <c r="B787" s="20" t="n">
        <v>46464</v>
      </c>
      <c r="C787" s="21" t="n">
        <v>6</v>
      </c>
      <c r="D787" s="25" t="inlineStr">
        <is>
          <t>Payout</t>
        </is>
      </c>
      <c r="E787" s="19" t="inlineStr">
        <is>
          <t>Audacity Capital</t>
        </is>
      </c>
      <c r="F787" s="19" t="inlineStr">
        <is>
          <t>#76 Instant-Direct 50k</t>
        </is>
      </c>
      <c r="G787" s="22" t="n">
        <v>50000</v>
      </c>
      <c r="H787" s="22" t="n">
        <v>4500</v>
      </c>
      <c r="I787" s="22" t="n">
        <v>565747.15</v>
      </c>
      <c r="J787" s="19" t="inlineStr">
        <is>
          <t>10 % × 50,000 × split 90%</t>
        </is>
      </c>
    </row>
    <row r="788">
      <c r="A788" s="13" t="n">
        <v>787</v>
      </c>
      <c r="B788" s="14" t="n">
        <v>46464</v>
      </c>
      <c r="C788" s="15" t="n">
        <v>6</v>
      </c>
      <c r="D788" s="25" t="inlineStr">
        <is>
          <t>Payout</t>
        </is>
      </c>
      <c r="E788" s="13" t="inlineStr">
        <is>
          <t>Audacity Capital</t>
        </is>
      </c>
      <c r="F788" s="13" t="inlineStr">
        <is>
          <t>#77 Instant-Direct 50k</t>
        </is>
      </c>
      <c r="G788" s="17" t="n">
        <v>50000</v>
      </c>
      <c r="H788" s="17" t="n">
        <v>4500</v>
      </c>
      <c r="I788" s="17" t="n">
        <v>570247.15</v>
      </c>
      <c r="J788" s="13" t="inlineStr">
        <is>
          <t>10 % × 50,000 × split 90%</t>
        </is>
      </c>
    </row>
    <row r="789">
      <c r="A789" s="19" t="n">
        <v>788</v>
      </c>
      <c r="B789" s="20" t="n">
        <v>46464</v>
      </c>
      <c r="C789" s="21" t="n">
        <v>6</v>
      </c>
      <c r="D789" s="25" t="inlineStr">
        <is>
          <t>Payout</t>
        </is>
      </c>
      <c r="E789" s="19" t="inlineStr">
        <is>
          <t>Audacity Capital</t>
        </is>
      </c>
      <c r="F789" s="19" t="inlineStr">
        <is>
          <t>#78 Instant-Direct 50k</t>
        </is>
      </c>
      <c r="G789" s="22" t="n">
        <v>50000</v>
      </c>
      <c r="H789" s="22" t="n">
        <v>4500</v>
      </c>
      <c r="I789" s="22" t="n">
        <v>574747.15</v>
      </c>
      <c r="J789" s="19" t="inlineStr">
        <is>
          <t>10 % × 50,000 × split 90%</t>
        </is>
      </c>
    </row>
    <row r="790">
      <c r="A790" s="13" t="n">
        <v>789</v>
      </c>
      <c r="B790" s="14" t="n">
        <v>46464</v>
      </c>
      <c r="C790" s="15" t="n">
        <v>6</v>
      </c>
      <c r="D790" s="25" t="inlineStr">
        <is>
          <t>Payout</t>
        </is>
      </c>
      <c r="E790" s="13" t="inlineStr">
        <is>
          <t>Fill88</t>
        </is>
      </c>
      <c r="F790" s="13" t="inlineStr">
        <is>
          <t>#79 Instant-Direct 100k</t>
        </is>
      </c>
      <c r="G790" s="17" t="n">
        <v>100000</v>
      </c>
      <c r="H790" s="17" t="n">
        <v>8000</v>
      </c>
      <c r="I790" s="17" t="n">
        <v>582747.15</v>
      </c>
      <c r="J790" s="13" t="inlineStr">
        <is>
          <t>10 % × 100,000 × split 80%</t>
        </is>
      </c>
    </row>
    <row r="791">
      <c r="A791" s="19" t="n">
        <v>790</v>
      </c>
      <c r="B791" s="20" t="n">
        <v>46464</v>
      </c>
      <c r="C791" s="21" t="n">
        <v>6</v>
      </c>
      <c r="D791" s="25" t="inlineStr">
        <is>
          <t>Payout</t>
        </is>
      </c>
      <c r="E791" s="19" t="inlineStr">
        <is>
          <t>Fill88</t>
        </is>
      </c>
      <c r="F791" s="19" t="inlineStr">
        <is>
          <t>#80 Instant-Direct 100k</t>
        </is>
      </c>
      <c r="G791" s="22" t="n">
        <v>100000</v>
      </c>
      <c r="H791" s="22" t="n">
        <v>8000</v>
      </c>
      <c r="I791" s="22" t="n">
        <v>590747.15</v>
      </c>
      <c r="J791" s="19" t="inlineStr">
        <is>
          <t>10 % × 100,000 × split 80%</t>
        </is>
      </c>
    </row>
    <row r="792">
      <c r="A792" s="13" t="n">
        <v>791</v>
      </c>
      <c r="B792" s="14" t="n">
        <v>46464</v>
      </c>
      <c r="C792" s="15" t="n">
        <v>6</v>
      </c>
      <c r="D792" s="25" t="inlineStr">
        <is>
          <t>Payout</t>
        </is>
      </c>
      <c r="E792" s="13" t="inlineStr">
        <is>
          <t>Fill88</t>
        </is>
      </c>
      <c r="F792" s="13" t="inlineStr">
        <is>
          <t>#81 Instant-Direct 100k</t>
        </is>
      </c>
      <c r="G792" s="17" t="n">
        <v>100000</v>
      </c>
      <c r="H792" s="17" t="n">
        <v>8000</v>
      </c>
      <c r="I792" s="17" t="n">
        <v>598747.15</v>
      </c>
      <c r="J792" s="13" t="inlineStr">
        <is>
          <t>10 % × 100,000 × split 80%</t>
        </is>
      </c>
    </row>
    <row r="793">
      <c r="A793" s="19" t="n">
        <v>792</v>
      </c>
      <c r="B793" s="20" t="n">
        <v>46464</v>
      </c>
      <c r="C793" s="21" t="n">
        <v>6</v>
      </c>
      <c r="D793" s="25" t="inlineStr">
        <is>
          <t>Payout</t>
        </is>
      </c>
      <c r="E793" s="19" t="inlineStr">
        <is>
          <t>Fill88</t>
        </is>
      </c>
      <c r="F793" s="19" t="inlineStr">
        <is>
          <t>#82 Instant-Direct 100k</t>
        </is>
      </c>
      <c r="G793" s="22" t="n">
        <v>100000</v>
      </c>
      <c r="H793" s="22" t="n">
        <v>8000</v>
      </c>
      <c r="I793" s="22" t="n">
        <v>606747.15</v>
      </c>
      <c r="J793" s="19" t="inlineStr">
        <is>
          <t>10 % × 100,000 × split 80%</t>
        </is>
      </c>
    </row>
    <row r="794">
      <c r="A794" s="13" t="n">
        <v>793</v>
      </c>
      <c r="B794" s="14" t="n">
        <v>46464</v>
      </c>
      <c r="C794" s="15" t="n">
        <v>6</v>
      </c>
      <c r="D794" s="25" t="inlineStr">
        <is>
          <t>Payout</t>
        </is>
      </c>
      <c r="E794" s="13" t="inlineStr">
        <is>
          <t>Fill88</t>
        </is>
      </c>
      <c r="F794" s="13" t="inlineStr">
        <is>
          <t>#83 Instant-Direct 100k</t>
        </is>
      </c>
      <c r="G794" s="17" t="n">
        <v>100000</v>
      </c>
      <c r="H794" s="17" t="n">
        <v>8000</v>
      </c>
      <c r="I794" s="17" t="n">
        <v>614747.15</v>
      </c>
      <c r="J794" s="13" t="inlineStr">
        <is>
          <t>10 % × 100,000 × split 80%</t>
        </is>
      </c>
    </row>
    <row r="795">
      <c r="A795" s="19" t="n">
        <v>794</v>
      </c>
      <c r="B795" s="20" t="n">
        <v>46464</v>
      </c>
      <c r="C795" s="21" t="n">
        <v>6</v>
      </c>
      <c r="D795" s="25" t="inlineStr">
        <is>
          <t>Payout</t>
        </is>
      </c>
      <c r="E795" s="19" t="inlineStr">
        <is>
          <t>Fill88</t>
        </is>
      </c>
      <c r="F795" s="19" t="inlineStr">
        <is>
          <t>#84 Instant-Direct 100k</t>
        </is>
      </c>
      <c r="G795" s="22" t="n">
        <v>100000</v>
      </c>
      <c r="H795" s="22" t="n">
        <v>8000</v>
      </c>
      <c r="I795" s="22" t="n">
        <v>622747.15</v>
      </c>
      <c r="J795" s="19" t="inlineStr">
        <is>
          <t>10 % × 100,000 × split 80%</t>
        </is>
      </c>
    </row>
    <row r="796">
      <c r="A796" s="13" t="n">
        <v>795</v>
      </c>
      <c r="B796" s="14" t="n">
        <v>46464</v>
      </c>
      <c r="C796" s="15" t="n">
        <v>6</v>
      </c>
      <c r="D796" s="25" t="inlineStr">
        <is>
          <t>Payout</t>
        </is>
      </c>
      <c r="E796" s="13" t="inlineStr">
        <is>
          <t>Finotive Funding</t>
        </is>
      </c>
      <c r="F796" s="13" t="inlineStr">
        <is>
          <t>#85 Instant-Direct 100k</t>
        </is>
      </c>
      <c r="G796" s="17" t="n">
        <v>100000</v>
      </c>
      <c r="H796" s="17" t="n">
        <v>7500</v>
      </c>
      <c r="I796" s="17" t="n">
        <v>630247.15</v>
      </c>
      <c r="J796" s="13" t="inlineStr">
        <is>
          <t>10 % × 100,000 × split 75%</t>
        </is>
      </c>
    </row>
    <row r="797">
      <c r="A797" s="19" t="n">
        <v>796</v>
      </c>
      <c r="B797" s="20" t="n">
        <v>46464</v>
      </c>
      <c r="C797" s="21" t="n">
        <v>6</v>
      </c>
      <c r="D797" s="25" t="inlineStr">
        <is>
          <t>Payout</t>
        </is>
      </c>
      <c r="E797" s="19" t="inlineStr">
        <is>
          <t>Finotive Funding</t>
        </is>
      </c>
      <c r="F797" s="19" t="inlineStr">
        <is>
          <t>#86 Instant-Direct 100k</t>
        </is>
      </c>
      <c r="G797" s="22" t="n">
        <v>100000</v>
      </c>
      <c r="H797" s="22" t="n">
        <v>7500</v>
      </c>
      <c r="I797" s="22" t="n">
        <v>637747.15</v>
      </c>
      <c r="J797" s="19" t="inlineStr">
        <is>
          <t>10 % × 100,000 × split 75%</t>
        </is>
      </c>
    </row>
    <row r="798">
      <c r="A798" s="13" t="n">
        <v>797</v>
      </c>
      <c r="B798" s="14" t="n">
        <v>46464</v>
      </c>
      <c r="C798" s="15" t="n">
        <v>6</v>
      </c>
      <c r="D798" s="25" t="inlineStr">
        <is>
          <t>Payout</t>
        </is>
      </c>
      <c r="E798" s="13" t="inlineStr">
        <is>
          <t>Finotive Funding</t>
        </is>
      </c>
      <c r="F798" s="13" t="inlineStr">
        <is>
          <t>#87 Instant-Direct 100k</t>
        </is>
      </c>
      <c r="G798" s="17" t="n">
        <v>100000</v>
      </c>
      <c r="H798" s="17" t="n">
        <v>7500</v>
      </c>
      <c r="I798" s="17" t="n">
        <v>645247.15</v>
      </c>
      <c r="J798" s="13" t="inlineStr">
        <is>
          <t>10 % × 100,000 × split 75%</t>
        </is>
      </c>
    </row>
    <row r="799">
      <c r="A799" s="19" t="n">
        <v>798</v>
      </c>
      <c r="B799" s="20" t="n">
        <v>46464</v>
      </c>
      <c r="C799" s="21" t="n">
        <v>6</v>
      </c>
      <c r="D799" s="25" t="inlineStr">
        <is>
          <t>Payout</t>
        </is>
      </c>
      <c r="E799" s="19" t="inlineStr">
        <is>
          <t>Finotive Funding</t>
        </is>
      </c>
      <c r="F799" s="19" t="inlineStr">
        <is>
          <t>#88 Instant-Direct 100k</t>
        </is>
      </c>
      <c r="G799" s="22" t="n">
        <v>100000</v>
      </c>
      <c r="H799" s="22" t="n">
        <v>7500</v>
      </c>
      <c r="I799" s="22" t="n">
        <v>652747.15</v>
      </c>
      <c r="J799" s="19" t="inlineStr">
        <is>
          <t>10 % × 100,000 × split 75%</t>
        </is>
      </c>
    </row>
    <row r="800">
      <c r="A800" s="13" t="n">
        <v>799</v>
      </c>
      <c r="B800" s="14" t="n">
        <v>46464</v>
      </c>
      <c r="C800" s="15" t="n">
        <v>6</v>
      </c>
      <c r="D800" s="25" t="inlineStr">
        <is>
          <t>Payout</t>
        </is>
      </c>
      <c r="E800" s="13" t="inlineStr">
        <is>
          <t>Finotive Funding</t>
        </is>
      </c>
      <c r="F800" s="13" t="inlineStr">
        <is>
          <t>#89 Instant-Direct 100k</t>
        </is>
      </c>
      <c r="G800" s="17" t="n">
        <v>100000</v>
      </c>
      <c r="H800" s="17" t="n">
        <v>7500</v>
      </c>
      <c r="I800" s="17" t="n">
        <v>660247.15</v>
      </c>
      <c r="J800" s="13" t="inlineStr">
        <is>
          <t>10 % × 100,000 × split 75%</t>
        </is>
      </c>
    </row>
    <row r="801">
      <c r="A801" s="19" t="n">
        <v>800</v>
      </c>
      <c r="B801" s="20" t="n">
        <v>46464</v>
      </c>
      <c r="C801" s="21" t="n">
        <v>6</v>
      </c>
      <c r="D801" s="25" t="inlineStr">
        <is>
          <t>Payout</t>
        </is>
      </c>
      <c r="E801" s="19" t="inlineStr">
        <is>
          <t>Finotive Funding</t>
        </is>
      </c>
      <c r="F801" s="19" t="inlineStr">
        <is>
          <t>#90 Instant-Direct 100k</t>
        </is>
      </c>
      <c r="G801" s="22" t="n">
        <v>100000</v>
      </c>
      <c r="H801" s="22" t="n">
        <v>7500</v>
      </c>
      <c r="I801" s="22" t="n">
        <v>667747.15</v>
      </c>
      <c r="J801" s="19" t="inlineStr">
        <is>
          <t>10 % × 100,000 × split 75%</t>
        </is>
      </c>
    </row>
    <row r="802">
      <c r="A802" s="13" t="n">
        <v>801</v>
      </c>
      <c r="B802" s="14" t="n">
        <v>46464</v>
      </c>
      <c r="C802" s="15" t="n">
        <v>6</v>
      </c>
      <c r="D802" s="25" t="inlineStr">
        <is>
          <t>Payout</t>
        </is>
      </c>
      <c r="E802" s="13" t="inlineStr">
        <is>
          <t>FNC Funding</t>
        </is>
      </c>
      <c r="F802" s="13" t="inlineStr">
        <is>
          <t>#91 Instant-Direct 100k</t>
        </is>
      </c>
      <c r="G802" s="17" t="n">
        <v>100000</v>
      </c>
      <c r="H802" s="17" t="n">
        <v>7500</v>
      </c>
      <c r="I802" s="17" t="n">
        <v>675247.15</v>
      </c>
      <c r="J802" s="13" t="inlineStr">
        <is>
          <t>10 % × 100,000 × split 75%</t>
        </is>
      </c>
    </row>
    <row r="803">
      <c r="A803" s="19" t="n">
        <v>802</v>
      </c>
      <c r="B803" s="20" t="n">
        <v>46464</v>
      </c>
      <c r="C803" s="21" t="n">
        <v>6</v>
      </c>
      <c r="D803" s="25" t="inlineStr">
        <is>
          <t>Payout</t>
        </is>
      </c>
      <c r="E803" s="19" t="inlineStr">
        <is>
          <t>FNC Funding</t>
        </is>
      </c>
      <c r="F803" s="19" t="inlineStr">
        <is>
          <t>#92 Instant-Direct 100k</t>
        </is>
      </c>
      <c r="G803" s="22" t="n">
        <v>100000</v>
      </c>
      <c r="H803" s="22" t="n">
        <v>7500</v>
      </c>
      <c r="I803" s="22" t="n">
        <v>682747.15</v>
      </c>
      <c r="J803" s="19" t="inlineStr">
        <is>
          <t>10 % × 100,000 × split 75%</t>
        </is>
      </c>
    </row>
    <row r="804">
      <c r="A804" s="13" t="n">
        <v>803</v>
      </c>
      <c r="B804" s="14" t="n">
        <v>46464</v>
      </c>
      <c r="C804" s="15" t="n">
        <v>6</v>
      </c>
      <c r="D804" s="25" t="inlineStr">
        <is>
          <t>Payout</t>
        </is>
      </c>
      <c r="E804" s="13" t="inlineStr">
        <is>
          <t>FNC Funding</t>
        </is>
      </c>
      <c r="F804" s="13" t="inlineStr">
        <is>
          <t>#93 Instant-Direct 100k</t>
        </is>
      </c>
      <c r="G804" s="17" t="n">
        <v>100000</v>
      </c>
      <c r="H804" s="17" t="n">
        <v>7500</v>
      </c>
      <c r="I804" s="17" t="n">
        <v>690247.15</v>
      </c>
      <c r="J804" s="13" t="inlineStr">
        <is>
          <t>10 % × 100,000 × split 75%</t>
        </is>
      </c>
    </row>
    <row r="805">
      <c r="A805" s="19" t="n">
        <v>804</v>
      </c>
      <c r="B805" s="20" t="n">
        <v>46464</v>
      </c>
      <c r="C805" s="21" t="n">
        <v>6</v>
      </c>
      <c r="D805" s="25" t="inlineStr">
        <is>
          <t>Payout</t>
        </is>
      </c>
      <c r="E805" s="19" t="inlineStr">
        <is>
          <t>FNC Funding</t>
        </is>
      </c>
      <c r="F805" s="19" t="inlineStr">
        <is>
          <t>#94 Instant-Direct 100k</t>
        </is>
      </c>
      <c r="G805" s="22" t="n">
        <v>100000</v>
      </c>
      <c r="H805" s="22" t="n">
        <v>7500</v>
      </c>
      <c r="I805" s="22" t="n">
        <v>697747.15</v>
      </c>
      <c r="J805" s="19" t="inlineStr">
        <is>
          <t>10 % × 100,000 × split 75%</t>
        </is>
      </c>
    </row>
    <row r="806">
      <c r="A806" s="13" t="n">
        <v>805</v>
      </c>
      <c r="B806" s="14" t="n">
        <v>46464</v>
      </c>
      <c r="C806" s="15" t="n">
        <v>6</v>
      </c>
      <c r="D806" s="25" t="inlineStr">
        <is>
          <t>Payout</t>
        </is>
      </c>
      <c r="E806" s="13" t="inlineStr">
        <is>
          <t>FNC Funding</t>
        </is>
      </c>
      <c r="F806" s="13" t="inlineStr">
        <is>
          <t>#95 Instant-Direct 100k</t>
        </is>
      </c>
      <c r="G806" s="17" t="n">
        <v>100000</v>
      </c>
      <c r="H806" s="17" t="n">
        <v>7500</v>
      </c>
      <c r="I806" s="17" t="n">
        <v>705247.15</v>
      </c>
      <c r="J806" s="13" t="inlineStr">
        <is>
          <t>10 % × 100,000 × split 75%</t>
        </is>
      </c>
    </row>
    <row r="807">
      <c r="A807" s="19" t="n">
        <v>806</v>
      </c>
      <c r="B807" s="20" t="n">
        <v>46464</v>
      </c>
      <c r="C807" s="21" t="n">
        <v>6</v>
      </c>
      <c r="D807" s="25" t="inlineStr">
        <is>
          <t>Payout</t>
        </is>
      </c>
      <c r="E807" s="19" t="inlineStr">
        <is>
          <t>Funding Traders</t>
        </is>
      </c>
      <c r="F807" s="19" t="inlineStr">
        <is>
          <t>#96 Instant-Direct 400k</t>
        </is>
      </c>
      <c r="G807" s="22" t="n">
        <v>400000</v>
      </c>
      <c r="H807" s="22" t="n">
        <v>40000</v>
      </c>
      <c r="I807" s="22" t="n">
        <v>745247.15</v>
      </c>
      <c r="J807" s="19" t="inlineStr">
        <is>
          <t>10 % × 400,000 × split 100%</t>
        </is>
      </c>
    </row>
    <row r="808">
      <c r="A808" s="13" t="n">
        <v>807</v>
      </c>
      <c r="B808" s="14" t="n">
        <v>46464</v>
      </c>
      <c r="C808" s="15" t="n">
        <v>6</v>
      </c>
      <c r="D808" s="25" t="inlineStr">
        <is>
          <t>Payout</t>
        </is>
      </c>
      <c r="E808" s="13" t="inlineStr">
        <is>
          <t>Ifunds</t>
        </is>
      </c>
      <c r="F808" s="13" t="inlineStr">
        <is>
          <t>#97 Instant-Direct 500k</t>
        </is>
      </c>
      <c r="G808" s="17" t="n">
        <v>500000</v>
      </c>
      <c r="H808" s="17" t="n">
        <v>40000</v>
      </c>
      <c r="I808" s="17" t="n">
        <v>785247.15</v>
      </c>
      <c r="J808" s="13" t="inlineStr">
        <is>
          <t>10 % × 500,000 × split 80%</t>
        </is>
      </c>
    </row>
    <row r="809">
      <c r="A809" s="19" t="n">
        <v>808</v>
      </c>
      <c r="B809" s="20" t="n">
        <v>46464</v>
      </c>
      <c r="C809" s="21" t="n">
        <v>6</v>
      </c>
      <c r="D809" s="25" t="inlineStr">
        <is>
          <t>Payout</t>
        </is>
      </c>
      <c r="E809" s="19" t="inlineStr">
        <is>
          <t>Alpine Funded</t>
        </is>
      </c>
      <c r="F809" s="19" t="inlineStr">
        <is>
          <t>#98 Instant-Direct 200k</t>
        </is>
      </c>
      <c r="G809" s="22" t="n">
        <v>200000</v>
      </c>
      <c r="H809" s="22" t="n">
        <v>20000</v>
      </c>
      <c r="I809" s="22" t="n">
        <v>805247.15</v>
      </c>
      <c r="J809" s="19" t="inlineStr">
        <is>
          <t>10 % × 200,000 × split 100%</t>
        </is>
      </c>
    </row>
    <row r="810">
      <c r="A810" s="13" t="n">
        <v>809</v>
      </c>
      <c r="B810" s="14" t="n">
        <v>46464</v>
      </c>
      <c r="C810" s="15" t="n">
        <v>6</v>
      </c>
      <c r="D810" s="25" t="inlineStr">
        <is>
          <t>Payout</t>
        </is>
      </c>
      <c r="E810" s="13" t="inlineStr">
        <is>
          <t>Alpine Funded</t>
        </is>
      </c>
      <c r="F810" s="13" t="inlineStr">
        <is>
          <t>#99 Instant-Direct 200k</t>
        </is>
      </c>
      <c r="G810" s="17" t="n">
        <v>200000</v>
      </c>
      <c r="H810" s="17" t="n">
        <v>20000</v>
      </c>
      <c r="I810" s="17" t="n">
        <v>825247.15</v>
      </c>
      <c r="J810" s="13" t="inlineStr">
        <is>
          <t>10 % × 200,000 × split 100%</t>
        </is>
      </c>
    </row>
    <row r="811">
      <c r="A811" s="19" t="n">
        <v>810</v>
      </c>
      <c r="B811" s="20" t="n">
        <v>46464</v>
      </c>
      <c r="C811" s="21" t="n">
        <v>6</v>
      </c>
      <c r="D811" s="25" t="inlineStr">
        <is>
          <t>Payout</t>
        </is>
      </c>
      <c r="E811" s="19" t="inlineStr">
        <is>
          <t>AquaFunded</t>
        </is>
      </c>
      <c r="F811" s="19" t="inlineStr">
        <is>
          <t>#100 Instant-Direct 400k</t>
        </is>
      </c>
      <c r="G811" s="22" t="n">
        <v>400000</v>
      </c>
      <c r="H811" s="22" t="n">
        <v>36000</v>
      </c>
      <c r="I811" s="22" t="n">
        <v>861247.15</v>
      </c>
      <c r="J811" s="19" t="inlineStr">
        <is>
          <t>10 % × 400,000 × split 90%</t>
        </is>
      </c>
    </row>
    <row r="812">
      <c r="A812" s="13" t="n">
        <v>811</v>
      </c>
      <c r="B812" s="14" t="n">
        <v>46464</v>
      </c>
      <c r="C812" s="15" t="n">
        <v>6</v>
      </c>
      <c r="D812" s="25" t="inlineStr">
        <is>
          <t>Payout</t>
        </is>
      </c>
      <c r="E812" s="13" t="inlineStr">
        <is>
          <t>Atlas Funded</t>
        </is>
      </c>
      <c r="F812" s="13" t="inlineStr">
        <is>
          <t>#101 Instant-Direct 300k</t>
        </is>
      </c>
      <c r="G812" s="17" t="n">
        <v>300000</v>
      </c>
      <c r="H812" s="17" t="n">
        <v>30000</v>
      </c>
      <c r="I812" s="17" t="n">
        <v>891247.15</v>
      </c>
      <c r="J812" s="13" t="inlineStr">
        <is>
          <t>10 % × 300,000 × split 100%</t>
        </is>
      </c>
    </row>
    <row r="813">
      <c r="A813" s="19" t="n">
        <v>812</v>
      </c>
      <c r="B813" s="20" t="n">
        <v>46464</v>
      </c>
      <c r="C813" s="21" t="n">
        <v>6</v>
      </c>
      <c r="D813" s="25" t="inlineStr">
        <is>
          <t>Payout</t>
        </is>
      </c>
      <c r="E813" s="19" t="inlineStr">
        <is>
          <t>Atmos Funded</t>
        </is>
      </c>
      <c r="F813" s="19" t="inlineStr">
        <is>
          <t>#102 Instant-Direct 100k</t>
        </is>
      </c>
      <c r="G813" s="22" t="n">
        <v>100000</v>
      </c>
      <c r="H813" s="22" t="n">
        <v>9000</v>
      </c>
      <c r="I813" s="22" t="n">
        <v>900247.15</v>
      </c>
      <c r="J813" s="19" t="inlineStr">
        <is>
          <t>10 % × 100,000 × split 90%</t>
        </is>
      </c>
    </row>
    <row r="814">
      <c r="A814" s="13" t="n">
        <v>813</v>
      </c>
      <c r="B814" s="14" t="n">
        <v>46464</v>
      </c>
      <c r="C814" s="15" t="n">
        <v>6</v>
      </c>
      <c r="D814" s="25" t="inlineStr">
        <is>
          <t>Payout</t>
        </is>
      </c>
      <c r="E814" s="13" t="inlineStr">
        <is>
          <t>Atmos Funded</t>
        </is>
      </c>
      <c r="F814" s="13" t="inlineStr">
        <is>
          <t>#103 Instant-Direct 100k</t>
        </is>
      </c>
      <c r="G814" s="17" t="n">
        <v>100000</v>
      </c>
      <c r="H814" s="17" t="n">
        <v>9000</v>
      </c>
      <c r="I814" s="17" t="n">
        <v>909247.15</v>
      </c>
      <c r="J814" s="13" t="inlineStr">
        <is>
          <t>10 % × 100,000 × split 90%</t>
        </is>
      </c>
    </row>
    <row r="815">
      <c r="A815" s="19" t="n">
        <v>814</v>
      </c>
      <c r="B815" s="20" t="n">
        <v>46464</v>
      </c>
      <c r="C815" s="21" t="n">
        <v>6</v>
      </c>
      <c r="D815" s="25" t="inlineStr">
        <is>
          <t>Payout</t>
        </is>
      </c>
      <c r="E815" s="19" t="inlineStr">
        <is>
          <t>Atmos Funded</t>
        </is>
      </c>
      <c r="F815" s="19" t="inlineStr">
        <is>
          <t>#104 Instant-Direct 100k</t>
        </is>
      </c>
      <c r="G815" s="22" t="n">
        <v>100000</v>
      </c>
      <c r="H815" s="22" t="n">
        <v>9000</v>
      </c>
      <c r="I815" s="22" t="n">
        <v>918247.15</v>
      </c>
      <c r="J815" s="19" t="inlineStr">
        <is>
          <t>10 % × 100,000 × split 90%</t>
        </is>
      </c>
    </row>
    <row r="816">
      <c r="A816" s="13" t="n">
        <v>815</v>
      </c>
      <c r="B816" s="14" t="n">
        <v>46464</v>
      </c>
      <c r="C816" s="15" t="n">
        <v>6</v>
      </c>
      <c r="D816" s="25" t="inlineStr">
        <is>
          <t>Payout</t>
        </is>
      </c>
      <c r="E816" s="13" t="inlineStr">
        <is>
          <t>Atmos Funded</t>
        </is>
      </c>
      <c r="F816" s="13" t="inlineStr">
        <is>
          <t>#105 Instant-Direct 100k</t>
        </is>
      </c>
      <c r="G816" s="17" t="n">
        <v>100000</v>
      </c>
      <c r="H816" s="17" t="n">
        <v>9000</v>
      </c>
      <c r="I816" s="17" t="n">
        <v>927247.15</v>
      </c>
      <c r="J816" s="13" t="inlineStr">
        <is>
          <t>10 % × 100,000 × split 90%</t>
        </is>
      </c>
    </row>
    <row r="817">
      <c r="A817" s="19" t="n">
        <v>816</v>
      </c>
      <c r="B817" s="20" t="n">
        <v>46464</v>
      </c>
      <c r="C817" s="21" t="n">
        <v>6</v>
      </c>
      <c r="D817" s="25" t="inlineStr">
        <is>
          <t>Payout</t>
        </is>
      </c>
      <c r="E817" s="19" t="inlineStr">
        <is>
          <t>Blue Guardian</t>
        </is>
      </c>
      <c r="F817" s="19" t="inlineStr">
        <is>
          <t>#106 Instant-Direct 400k</t>
        </is>
      </c>
      <c r="G817" s="22" t="n">
        <v>400000</v>
      </c>
      <c r="H817" s="22" t="n">
        <v>32000</v>
      </c>
      <c r="I817" s="22" t="n">
        <v>959247.15</v>
      </c>
      <c r="J817" s="19" t="inlineStr">
        <is>
          <t>10 % × 400,000 × split 80%</t>
        </is>
      </c>
    </row>
    <row r="818">
      <c r="A818" s="13" t="n">
        <v>817</v>
      </c>
      <c r="B818" s="14" t="n">
        <v>46464</v>
      </c>
      <c r="C818" s="15" t="n">
        <v>6</v>
      </c>
      <c r="D818" s="25" t="inlineStr">
        <is>
          <t>Payout</t>
        </is>
      </c>
      <c r="E818" s="13" t="inlineStr">
        <is>
          <t>FundedElite</t>
        </is>
      </c>
      <c r="F818" s="13" t="inlineStr">
        <is>
          <t>#107 Instant-Direct 100k</t>
        </is>
      </c>
      <c r="G818" s="17" t="n">
        <v>100000</v>
      </c>
      <c r="H818" s="17" t="n">
        <v>9500</v>
      </c>
      <c r="I818" s="17" t="n">
        <v>968747.15</v>
      </c>
      <c r="J818" s="13" t="inlineStr">
        <is>
          <t>10 % × 100,000 × split 95%</t>
        </is>
      </c>
    </row>
    <row r="819">
      <c r="A819" s="19" t="n">
        <v>818</v>
      </c>
      <c r="B819" s="20" t="n">
        <v>46464</v>
      </c>
      <c r="C819" s="21" t="n">
        <v>6</v>
      </c>
      <c r="D819" s="25" t="inlineStr">
        <is>
          <t>Payout</t>
        </is>
      </c>
      <c r="E819" s="19" t="inlineStr">
        <is>
          <t>FundedElite</t>
        </is>
      </c>
      <c r="F819" s="19" t="inlineStr">
        <is>
          <t>#108 Instant-Direct 100k</t>
        </is>
      </c>
      <c r="G819" s="22" t="n">
        <v>100000</v>
      </c>
      <c r="H819" s="22" t="n">
        <v>9500</v>
      </c>
      <c r="I819" s="22" t="n">
        <v>978247.15</v>
      </c>
      <c r="J819" s="19" t="inlineStr">
        <is>
          <t>10 % × 100,000 × split 95%</t>
        </is>
      </c>
    </row>
    <row r="820">
      <c r="A820" s="13" t="n">
        <v>819</v>
      </c>
      <c r="B820" s="14" t="n">
        <v>46464</v>
      </c>
      <c r="C820" s="15" t="n">
        <v>6</v>
      </c>
      <c r="D820" s="25" t="inlineStr">
        <is>
          <t>Payout</t>
        </is>
      </c>
      <c r="E820" s="13" t="inlineStr">
        <is>
          <t>FundedElite</t>
        </is>
      </c>
      <c r="F820" s="13" t="inlineStr">
        <is>
          <t>#109 Instant-Direct 100k</t>
        </is>
      </c>
      <c r="G820" s="17" t="n">
        <v>100000</v>
      </c>
      <c r="H820" s="17" t="n">
        <v>9500</v>
      </c>
      <c r="I820" s="17" t="n">
        <v>987747.15</v>
      </c>
      <c r="J820" s="13" t="inlineStr">
        <is>
          <t>10 % × 100,000 × split 95%</t>
        </is>
      </c>
    </row>
    <row r="821">
      <c r="A821" s="19" t="n">
        <v>820</v>
      </c>
      <c r="B821" s="20" t="n">
        <v>46464</v>
      </c>
      <c r="C821" s="21" t="n">
        <v>6</v>
      </c>
      <c r="D821" s="25" t="inlineStr">
        <is>
          <t>Payout</t>
        </is>
      </c>
      <c r="E821" s="19" t="inlineStr">
        <is>
          <t>FundedElite</t>
        </is>
      </c>
      <c r="F821" s="19" t="inlineStr">
        <is>
          <t>#110 Instant-Direct 100k</t>
        </is>
      </c>
      <c r="G821" s="22" t="n">
        <v>100000</v>
      </c>
      <c r="H821" s="22" t="n">
        <v>9500</v>
      </c>
      <c r="I821" s="22" t="n">
        <v>997247.15</v>
      </c>
      <c r="J821" s="19" t="inlineStr">
        <is>
          <t>10 % × 100,000 × split 95%</t>
        </is>
      </c>
    </row>
    <row r="822">
      <c r="A822" s="13" t="n">
        <v>821</v>
      </c>
      <c r="B822" s="14" t="n">
        <v>46464</v>
      </c>
      <c r="C822" s="15" t="n">
        <v>6</v>
      </c>
      <c r="D822" s="25" t="inlineStr">
        <is>
          <t>Payout</t>
        </is>
      </c>
      <c r="E822" s="13" t="inlineStr">
        <is>
          <t>Funding Pips</t>
        </is>
      </c>
      <c r="F822" s="13" t="inlineStr">
        <is>
          <t>#111 Instant-Direct 200k</t>
        </is>
      </c>
      <c r="G822" s="17" t="n">
        <v>200000</v>
      </c>
      <c r="H822" s="17" t="n">
        <v>20000</v>
      </c>
      <c r="I822" s="17" t="n">
        <v>1017247.15</v>
      </c>
      <c r="J822" s="13" t="inlineStr">
        <is>
          <t>10 % × 200,000 × split 100%</t>
        </is>
      </c>
    </row>
    <row r="823">
      <c r="A823" s="19" t="n">
        <v>822</v>
      </c>
      <c r="B823" s="20" t="n">
        <v>46464</v>
      </c>
      <c r="C823" s="21" t="n">
        <v>6</v>
      </c>
      <c r="D823" s="25" t="inlineStr">
        <is>
          <t>Payout</t>
        </is>
      </c>
      <c r="E823" s="19" t="inlineStr">
        <is>
          <t>Funding Pips</t>
        </is>
      </c>
      <c r="F823" s="19" t="inlineStr">
        <is>
          <t>#112 Instant-Direct 200k</t>
        </is>
      </c>
      <c r="G823" s="22" t="n">
        <v>200000</v>
      </c>
      <c r="H823" s="22" t="n">
        <v>20000</v>
      </c>
      <c r="I823" s="22" t="n">
        <v>1037247.15</v>
      </c>
      <c r="J823" s="19" t="inlineStr">
        <is>
          <t>10 % × 200,000 × split 100%</t>
        </is>
      </c>
    </row>
    <row r="824">
      <c r="A824" s="13" t="n">
        <v>823</v>
      </c>
      <c r="B824" s="14" t="n">
        <v>46464</v>
      </c>
      <c r="C824" s="15" t="n">
        <v>6</v>
      </c>
      <c r="D824" s="25" t="inlineStr">
        <is>
          <t>Payout</t>
        </is>
      </c>
      <c r="E824" s="13" t="inlineStr">
        <is>
          <t>Global Forex Funds</t>
        </is>
      </c>
      <c r="F824" s="13" t="inlineStr">
        <is>
          <t>#113 Instant-Direct 100k</t>
        </is>
      </c>
      <c r="G824" s="17" t="n">
        <v>100000</v>
      </c>
      <c r="H824" s="17" t="n">
        <v>9000</v>
      </c>
      <c r="I824" s="17" t="n">
        <v>1046247.15</v>
      </c>
      <c r="J824" s="13" t="inlineStr">
        <is>
          <t>10 % × 100,000 × split 90%</t>
        </is>
      </c>
    </row>
    <row r="825">
      <c r="A825" s="19" t="n">
        <v>824</v>
      </c>
      <c r="B825" s="20" t="n">
        <v>46464</v>
      </c>
      <c r="C825" s="21" t="n">
        <v>6</v>
      </c>
      <c r="D825" s="25" t="inlineStr">
        <is>
          <t>Payout</t>
        </is>
      </c>
      <c r="E825" s="19" t="inlineStr">
        <is>
          <t>Goat Funded Trader</t>
        </is>
      </c>
      <c r="F825" s="19" t="inlineStr">
        <is>
          <t>#114 Instant-Direct 100k</t>
        </is>
      </c>
      <c r="G825" s="22" t="n">
        <v>100000</v>
      </c>
      <c r="H825" s="22" t="n">
        <v>10000</v>
      </c>
      <c r="I825" s="22" t="n">
        <v>1056247.15</v>
      </c>
      <c r="J825" s="19" t="inlineStr">
        <is>
          <t>10 % × 100,000 × split 100%</t>
        </is>
      </c>
    </row>
    <row r="826">
      <c r="A826" s="13" t="n">
        <v>825</v>
      </c>
      <c r="B826" s="14" t="n">
        <v>46464</v>
      </c>
      <c r="C826" s="15" t="n">
        <v>6</v>
      </c>
      <c r="D826" s="25" t="inlineStr">
        <is>
          <t>Payout</t>
        </is>
      </c>
      <c r="E826" s="13" t="inlineStr">
        <is>
          <t>Goat Funded Trader</t>
        </is>
      </c>
      <c r="F826" s="13" t="inlineStr">
        <is>
          <t>#115 Instant-Direct 100k</t>
        </is>
      </c>
      <c r="G826" s="17" t="n">
        <v>100000</v>
      </c>
      <c r="H826" s="17" t="n">
        <v>10000</v>
      </c>
      <c r="I826" s="17" t="n">
        <v>1066247.15</v>
      </c>
      <c r="J826" s="13" t="inlineStr">
        <is>
          <t>10 % × 100,000 × split 100%</t>
        </is>
      </c>
    </row>
    <row r="827">
      <c r="A827" s="19" t="n">
        <v>826</v>
      </c>
      <c r="B827" s="20" t="n">
        <v>46464</v>
      </c>
      <c r="C827" s="21" t="n">
        <v>6</v>
      </c>
      <c r="D827" s="25" t="inlineStr">
        <is>
          <t>Payout</t>
        </is>
      </c>
      <c r="E827" s="19" t="inlineStr">
        <is>
          <t>Goat Funded Trader</t>
        </is>
      </c>
      <c r="F827" s="19" t="inlineStr">
        <is>
          <t>#116 Instant-Direct 100k</t>
        </is>
      </c>
      <c r="G827" s="22" t="n">
        <v>100000</v>
      </c>
      <c r="H827" s="22" t="n">
        <v>10000</v>
      </c>
      <c r="I827" s="22" t="n">
        <v>1076247.15</v>
      </c>
      <c r="J827" s="19" t="inlineStr">
        <is>
          <t>10 % × 100,000 × split 100%</t>
        </is>
      </c>
    </row>
    <row r="828">
      <c r="A828" s="13" t="n">
        <v>827</v>
      </c>
      <c r="B828" s="14" t="n">
        <v>46464</v>
      </c>
      <c r="C828" s="15" t="n">
        <v>6</v>
      </c>
      <c r="D828" s="25" t="inlineStr">
        <is>
          <t>Payout</t>
        </is>
      </c>
      <c r="E828" s="13" t="inlineStr">
        <is>
          <t>Goat Funded Trader</t>
        </is>
      </c>
      <c r="F828" s="13" t="inlineStr">
        <is>
          <t>#117 Instant-Direct 100k</t>
        </is>
      </c>
      <c r="G828" s="17" t="n">
        <v>100000</v>
      </c>
      <c r="H828" s="17" t="n">
        <v>10000</v>
      </c>
      <c r="I828" s="17" t="n">
        <v>1086247.15</v>
      </c>
      <c r="J828" s="13" t="inlineStr">
        <is>
          <t>10 % × 100,000 × split 100%</t>
        </is>
      </c>
    </row>
    <row r="829">
      <c r="A829" s="19" t="n">
        <v>828</v>
      </c>
      <c r="B829" s="20" t="n">
        <v>46464</v>
      </c>
      <c r="C829" s="21" t="n">
        <v>6</v>
      </c>
      <c r="D829" s="25" t="inlineStr">
        <is>
          <t>Payout</t>
        </is>
      </c>
      <c r="E829" s="19" t="inlineStr">
        <is>
          <t>FundedVerse</t>
        </is>
      </c>
      <c r="F829" s="19" t="inlineStr">
        <is>
          <t>#118 Instant-Direct 50k</t>
        </is>
      </c>
      <c r="G829" s="22" t="n">
        <v>50000</v>
      </c>
      <c r="H829" s="22" t="n">
        <v>4000</v>
      </c>
      <c r="I829" s="22" t="n">
        <v>1090247.15</v>
      </c>
      <c r="J829" s="19" t="inlineStr">
        <is>
          <t>10 % × 50,000 × split 80%</t>
        </is>
      </c>
    </row>
    <row r="830">
      <c r="A830" s="13" t="n">
        <v>829</v>
      </c>
      <c r="B830" s="14" t="n">
        <v>46464</v>
      </c>
      <c r="C830" s="15" t="n">
        <v>6</v>
      </c>
      <c r="D830" s="25" t="inlineStr">
        <is>
          <t>Payout</t>
        </is>
      </c>
      <c r="E830" s="13" t="inlineStr">
        <is>
          <t>FundedVerse</t>
        </is>
      </c>
      <c r="F830" s="13" t="inlineStr">
        <is>
          <t>#119 Instant-Direct 50k</t>
        </is>
      </c>
      <c r="G830" s="17" t="n">
        <v>50000</v>
      </c>
      <c r="H830" s="17" t="n">
        <v>4000</v>
      </c>
      <c r="I830" s="17" t="n">
        <v>1094247.15</v>
      </c>
      <c r="J830" s="13" t="inlineStr">
        <is>
          <t>10 % × 50,000 × split 80%</t>
        </is>
      </c>
    </row>
    <row r="831">
      <c r="A831" s="19" t="n">
        <v>830</v>
      </c>
      <c r="B831" s="20" t="n">
        <v>46464</v>
      </c>
      <c r="C831" s="21" t="n">
        <v>6</v>
      </c>
      <c r="D831" s="25" t="inlineStr">
        <is>
          <t>Payout</t>
        </is>
      </c>
      <c r="E831" s="19" t="inlineStr">
        <is>
          <t>FundedVerse</t>
        </is>
      </c>
      <c r="F831" s="19" t="inlineStr">
        <is>
          <t>#120 Instant-Direct 50k</t>
        </is>
      </c>
      <c r="G831" s="22" t="n">
        <v>50000</v>
      </c>
      <c r="H831" s="22" t="n">
        <v>4000</v>
      </c>
      <c r="I831" s="22" t="n">
        <v>1098247.15</v>
      </c>
      <c r="J831" s="19" t="inlineStr">
        <is>
          <t>10 % × 50,000 × split 80%</t>
        </is>
      </c>
    </row>
    <row r="832">
      <c r="A832" s="13" t="n">
        <v>831</v>
      </c>
      <c r="B832" s="14" t="n">
        <v>46464</v>
      </c>
      <c r="C832" s="15" t="n">
        <v>6</v>
      </c>
      <c r="D832" s="25" t="inlineStr">
        <is>
          <t>Payout</t>
        </is>
      </c>
      <c r="E832" s="13" t="inlineStr">
        <is>
          <t>FundedVerse</t>
        </is>
      </c>
      <c r="F832" s="13" t="inlineStr">
        <is>
          <t>#121 Instant-Direct 50k</t>
        </is>
      </c>
      <c r="G832" s="17" t="n">
        <v>50000</v>
      </c>
      <c r="H832" s="17" t="n">
        <v>4000</v>
      </c>
      <c r="I832" s="17" t="n">
        <v>1102247.15</v>
      </c>
      <c r="J832" s="13" t="inlineStr">
        <is>
          <t>10 % × 50,000 × split 80%</t>
        </is>
      </c>
    </row>
    <row r="833">
      <c r="A833" s="19" t="n">
        <v>832</v>
      </c>
      <c r="B833" s="20" t="n">
        <v>46464</v>
      </c>
      <c r="C833" s="21" t="n">
        <v>6</v>
      </c>
      <c r="D833" s="25" t="inlineStr">
        <is>
          <t>Payout</t>
        </is>
      </c>
      <c r="E833" s="19" t="inlineStr">
        <is>
          <t>FundedVerse</t>
        </is>
      </c>
      <c r="F833" s="19" t="inlineStr">
        <is>
          <t>#122 Instant-Direct 50k</t>
        </is>
      </c>
      <c r="G833" s="22" t="n">
        <v>50000</v>
      </c>
      <c r="H833" s="22" t="n">
        <v>4000</v>
      </c>
      <c r="I833" s="22" t="n">
        <v>1106247.15</v>
      </c>
      <c r="J833" s="19" t="inlineStr">
        <is>
          <t>10 % × 50,000 × split 80%</t>
        </is>
      </c>
    </row>
    <row r="834">
      <c r="A834" s="13" t="n">
        <v>833</v>
      </c>
      <c r="B834" s="14" t="n">
        <v>46464</v>
      </c>
      <c r="C834" s="15" t="n">
        <v>6</v>
      </c>
      <c r="D834" s="25" t="inlineStr">
        <is>
          <t>Payout</t>
        </is>
      </c>
      <c r="E834" s="13" t="inlineStr">
        <is>
          <t>FundedVerse</t>
        </is>
      </c>
      <c r="F834" s="13" t="inlineStr">
        <is>
          <t>#123 Instant-Direct 50k</t>
        </is>
      </c>
      <c r="G834" s="17" t="n">
        <v>50000</v>
      </c>
      <c r="H834" s="17" t="n">
        <v>4000</v>
      </c>
      <c r="I834" s="17" t="n">
        <v>1110247.15</v>
      </c>
      <c r="J834" s="13" t="inlineStr">
        <is>
          <t>10 % × 50,000 × split 80%</t>
        </is>
      </c>
    </row>
    <row r="835">
      <c r="A835" s="19" t="n">
        <v>834</v>
      </c>
      <c r="B835" s="20" t="n">
        <v>46464</v>
      </c>
      <c r="C835" s="21" t="n">
        <v>6</v>
      </c>
      <c r="D835" s="25" t="inlineStr">
        <is>
          <t>Payout</t>
        </is>
      </c>
      <c r="E835" s="19" t="inlineStr">
        <is>
          <t>Lark Funding</t>
        </is>
      </c>
      <c r="F835" s="19" t="inlineStr">
        <is>
          <t>#124 Instant-Direct 100k</t>
        </is>
      </c>
      <c r="G835" s="22" t="n">
        <v>100000</v>
      </c>
      <c r="H835" s="22" t="n">
        <v>8000</v>
      </c>
      <c r="I835" s="22" t="n">
        <v>1118247.15</v>
      </c>
      <c r="J835" s="19" t="inlineStr">
        <is>
          <t>10 % × 100,000 × split 80%</t>
        </is>
      </c>
    </row>
    <row r="836">
      <c r="A836" s="13" t="n">
        <v>835</v>
      </c>
      <c r="B836" s="14" t="n">
        <v>46464</v>
      </c>
      <c r="C836" s="15" t="n">
        <v>6</v>
      </c>
      <c r="D836" s="25" t="inlineStr">
        <is>
          <t>Payout</t>
        </is>
      </c>
      <c r="E836" s="13" t="inlineStr">
        <is>
          <t>Lark Funding</t>
        </is>
      </c>
      <c r="F836" s="13" t="inlineStr">
        <is>
          <t>#125 Instant-Direct 100k</t>
        </is>
      </c>
      <c r="G836" s="17" t="n">
        <v>100000</v>
      </c>
      <c r="H836" s="17" t="n">
        <v>8000</v>
      </c>
      <c r="I836" s="17" t="n">
        <v>1126247.15</v>
      </c>
      <c r="J836" s="13" t="inlineStr">
        <is>
          <t>10 % × 100,000 × split 80%</t>
        </is>
      </c>
    </row>
    <row r="837">
      <c r="A837" s="19" t="n">
        <v>836</v>
      </c>
      <c r="B837" s="20" t="n">
        <v>46464</v>
      </c>
      <c r="C837" s="21" t="n">
        <v>6</v>
      </c>
      <c r="D837" s="25" t="inlineStr">
        <is>
          <t>Payout</t>
        </is>
      </c>
      <c r="E837" s="19" t="inlineStr">
        <is>
          <t>Lark Funding</t>
        </is>
      </c>
      <c r="F837" s="19" t="inlineStr">
        <is>
          <t>#126 Instant-Direct 100k</t>
        </is>
      </c>
      <c r="G837" s="22" t="n">
        <v>100000</v>
      </c>
      <c r="H837" s="22" t="n">
        <v>8000</v>
      </c>
      <c r="I837" s="22" t="n">
        <v>1134247.15</v>
      </c>
      <c r="J837" s="19" t="inlineStr">
        <is>
          <t>10 % × 100,000 × split 80%</t>
        </is>
      </c>
    </row>
    <row r="838">
      <c r="A838" s="13" t="n">
        <v>837</v>
      </c>
      <c r="B838" s="14" t="n">
        <v>46464</v>
      </c>
      <c r="C838" s="15" t="n">
        <v>6</v>
      </c>
      <c r="D838" s="25" t="inlineStr">
        <is>
          <t>Payout</t>
        </is>
      </c>
      <c r="E838" s="13" t="inlineStr">
        <is>
          <t>Mockapital</t>
        </is>
      </c>
      <c r="F838" s="13" t="inlineStr">
        <is>
          <t>#127 Instant-Direct 50k</t>
        </is>
      </c>
      <c r="G838" s="17" t="n">
        <v>50000</v>
      </c>
      <c r="H838" s="17" t="n">
        <v>4000</v>
      </c>
      <c r="I838" s="17" t="n">
        <v>1138247.15</v>
      </c>
      <c r="J838" s="13" t="inlineStr">
        <is>
          <t>10 % × 50,000 × split 80%</t>
        </is>
      </c>
    </row>
    <row r="839">
      <c r="A839" s="19" t="n">
        <v>838</v>
      </c>
      <c r="B839" s="20" t="n">
        <v>46464</v>
      </c>
      <c r="C839" s="21" t="n">
        <v>6</v>
      </c>
      <c r="D839" s="25" t="inlineStr">
        <is>
          <t>Payout</t>
        </is>
      </c>
      <c r="E839" s="19" t="inlineStr">
        <is>
          <t>Mockapital</t>
        </is>
      </c>
      <c r="F839" s="19" t="inlineStr">
        <is>
          <t>#128 Instant-Direct 50k</t>
        </is>
      </c>
      <c r="G839" s="22" t="n">
        <v>50000</v>
      </c>
      <c r="H839" s="22" t="n">
        <v>4000</v>
      </c>
      <c r="I839" s="22" t="n">
        <v>1142247.15</v>
      </c>
      <c r="J839" s="19" t="inlineStr">
        <is>
          <t>10 % × 50,000 × split 80%</t>
        </is>
      </c>
    </row>
    <row r="840">
      <c r="A840" s="13" t="n">
        <v>839</v>
      </c>
      <c r="B840" s="14" t="n">
        <v>46464</v>
      </c>
      <c r="C840" s="15" t="n">
        <v>6</v>
      </c>
      <c r="D840" s="25" t="inlineStr">
        <is>
          <t>Payout</t>
        </is>
      </c>
      <c r="E840" s="13" t="inlineStr">
        <is>
          <t>Mockapital</t>
        </is>
      </c>
      <c r="F840" s="13" t="inlineStr">
        <is>
          <t>#129 Instant-Direct 50k</t>
        </is>
      </c>
      <c r="G840" s="17" t="n">
        <v>50000</v>
      </c>
      <c r="H840" s="17" t="n">
        <v>4000</v>
      </c>
      <c r="I840" s="17" t="n">
        <v>1146247.15</v>
      </c>
      <c r="J840" s="13" t="inlineStr">
        <is>
          <t>10 % × 50,000 × split 80%</t>
        </is>
      </c>
    </row>
    <row r="841">
      <c r="A841" s="19" t="n">
        <v>840</v>
      </c>
      <c r="B841" s="20" t="n">
        <v>46464</v>
      </c>
      <c r="C841" s="21" t="n">
        <v>6</v>
      </c>
      <c r="D841" s="25" t="inlineStr">
        <is>
          <t>Payout</t>
        </is>
      </c>
      <c r="E841" s="19" t="inlineStr">
        <is>
          <t>Mockapital</t>
        </is>
      </c>
      <c r="F841" s="19" t="inlineStr">
        <is>
          <t>#130 Instant-Direct 50k</t>
        </is>
      </c>
      <c r="G841" s="22" t="n">
        <v>50000</v>
      </c>
      <c r="H841" s="22" t="n">
        <v>4000</v>
      </c>
      <c r="I841" s="22" t="n">
        <v>1150247.15</v>
      </c>
      <c r="J841" s="19" t="inlineStr">
        <is>
          <t>10 % × 50,000 × split 80%</t>
        </is>
      </c>
    </row>
    <row r="842">
      <c r="A842" s="13" t="n">
        <v>841</v>
      </c>
      <c r="B842" s="14" t="n">
        <v>46464</v>
      </c>
      <c r="C842" s="15" t="n">
        <v>6</v>
      </c>
      <c r="D842" s="25" t="inlineStr">
        <is>
          <t>Payout</t>
        </is>
      </c>
      <c r="E842" s="13" t="inlineStr">
        <is>
          <t>Mockapital</t>
        </is>
      </c>
      <c r="F842" s="13" t="inlineStr">
        <is>
          <t>#131 Instant-Direct 50k</t>
        </is>
      </c>
      <c r="G842" s="17" t="n">
        <v>50000</v>
      </c>
      <c r="H842" s="17" t="n">
        <v>4000</v>
      </c>
      <c r="I842" s="17" t="n">
        <v>1154247.15</v>
      </c>
      <c r="J842" s="13" t="inlineStr">
        <is>
          <t>10 % × 50,000 × split 80%</t>
        </is>
      </c>
    </row>
    <row r="843">
      <c r="A843" s="19" t="n">
        <v>842</v>
      </c>
      <c r="B843" s="20" t="n">
        <v>46464</v>
      </c>
      <c r="C843" s="21" t="n">
        <v>6</v>
      </c>
      <c r="D843" s="25" t="inlineStr">
        <is>
          <t>Payout</t>
        </is>
      </c>
      <c r="E843" s="19" t="inlineStr">
        <is>
          <t>Mockapital</t>
        </is>
      </c>
      <c r="F843" s="19" t="inlineStr">
        <is>
          <t>#132 Instant-Direct 50k</t>
        </is>
      </c>
      <c r="G843" s="22" t="n">
        <v>50000</v>
      </c>
      <c r="H843" s="22" t="n">
        <v>4000</v>
      </c>
      <c r="I843" s="22" t="n">
        <v>1158247.15</v>
      </c>
      <c r="J843" s="19" t="inlineStr">
        <is>
          <t>10 % × 50,000 × split 80%</t>
        </is>
      </c>
    </row>
    <row r="844">
      <c r="A844" s="13" t="n">
        <v>843</v>
      </c>
      <c r="B844" s="14" t="n">
        <v>46464</v>
      </c>
      <c r="C844" s="15" t="n">
        <v>6</v>
      </c>
      <c r="D844" s="25" t="inlineStr">
        <is>
          <t>Payout</t>
        </is>
      </c>
      <c r="E844" s="13" t="inlineStr">
        <is>
          <t>Myfundedcapital</t>
        </is>
      </c>
      <c r="F844" s="13" t="inlineStr">
        <is>
          <t>#133 Instant-Direct 80k</t>
        </is>
      </c>
      <c r="G844" s="17" t="n">
        <v>80000</v>
      </c>
      <c r="H844" s="17" t="n">
        <v>6400</v>
      </c>
      <c r="I844" s="17" t="n">
        <v>1164647.15</v>
      </c>
      <c r="J844" s="13" t="inlineStr">
        <is>
          <t>10 % × 80,000 × split 80%</t>
        </is>
      </c>
    </row>
    <row r="845">
      <c r="A845" s="19" t="n">
        <v>844</v>
      </c>
      <c r="B845" s="20" t="n">
        <v>46464</v>
      </c>
      <c r="C845" s="21" t="n">
        <v>6</v>
      </c>
      <c r="D845" s="25" t="inlineStr">
        <is>
          <t>Payout</t>
        </is>
      </c>
      <c r="E845" s="19" t="inlineStr">
        <is>
          <t>Myfundedcapital</t>
        </is>
      </c>
      <c r="F845" s="19" t="inlineStr">
        <is>
          <t>#134 Instant-Direct 80k</t>
        </is>
      </c>
      <c r="G845" s="22" t="n">
        <v>80000</v>
      </c>
      <c r="H845" s="22" t="n">
        <v>6400</v>
      </c>
      <c r="I845" s="22" t="n">
        <v>1171047.15</v>
      </c>
      <c r="J845" s="19" t="inlineStr">
        <is>
          <t>10 % × 80,000 × split 80%</t>
        </is>
      </c>
    </row>
    <row r="846">
      <c r="A846" s="13" t="n">
        <v>845</v>
      </c>
      <c r="B846" s="14" t="n">
        <v>46464</v>
      </c>
      <c r="C846" s="15" t="n">
        <v>6</v>
      </c>
      <c r="D846" s="25" t="inlineStr">
        <is>
          <t>Payout</t>
        </is>
      </c>
      <c r="E846" s="13" t="inlineStr">
        <is>
          <t>Myfundedcapital</t>
        </is>
      </c>
      <c r="F846" s="13" t="inlineStr">
        <is>
          <t>#135 Instant-Direct 80k</t>
        </is>
      </c>
      <c r="G846" s="17" t="n">
        <v>80000</v>
      </c>
      <c r="H846" s="17" t="n">
        <v>6400</v>
      </c>
      <c r="I846" s="17" t="n">
        <v>1177447.15</v>
      </c>
      <c r="J846" s="13" t="inlineStr">
        <is>
          <t>10 % × 80,000 × split 80%</t>
        </is>
      </c>
    </row>
    <row r="847">
      <c r="A847" s="19" t="n">
        <v>846</v>
      </c>
      <c r="B847" s="20" t="n">
        <v>46464</v>
      </c>
      <c r="C847" s="21" t="n">
        <v>6</v>
      </c>
      <c r="D847" s="25" t="inlineStr">
        <is>
          <t>Payout</t>
        </is>
      </c>
      <c r="E847" s="19" t="inlineStr">
        <is>
          <t>City Traders Imperium</t>
        </is>
      </c>
      <c r="F847" s="19" t="inlineStr">
        <is>
          <t>#136 Instant-Direct 80k</t>
        </is>
      </c>
      <c r="G847" s="22" t="n">
        <v>80000</v>
      </c>
      <c r="H847" s="22" t="n">
        <v>7200</v>
      </c>
      <c r="I847" s="22" t="n">
        <v>1184647.15</v>
      </c>
      <c r="J847" s="19" t="inlineStr">
        <is>
          <t>10 % × 80,000 × split 90%</t>
        </is>
      </c>
    </row>
    <row r="848">
      <c r="A848" s="13" t="n">
        <v>847</v>
      </c>
      <c r="B848" s="14" t="n">
        <v>46464</v>
      </c>
      <c r="C848" s="15" t="n">
        <v>6</v>
      </c>
      <c r="D848" s="25" t="inlineStr">
        <is>
          <t>Payout</t>
        </is>
      </c>
      <c r="E848" s="13" t="inlineStr">
        <is>
          <t>City Traders Imperium</t>
        </is>
      </c>
      <c r="F848" s="13" t="inlineStr">
        <is>
          <t>#137 Instant-Direct 80k</t>
        </is>
      </c>
      <c r="G848" s="17" t="n">
        <v>80000</v>
      </c>
      <c r="H848" s="17" t="n">
        <v>7200</v>
      </c>
      <c r="I848" s="17" t="n">
        <v>1191847.15</v>
      </c>
      <c r="J848" s="13" t="inlineStr">
        <is>
          <t>10 % × 80,000 × split 90%</t>
        </is>
      </c>
    </row>
    <row r="849">
      <c r="A849" s="19" t="n">
        <v>848</v>
      </c>
      <c r="B849" s="20" t="n">
        <v>46464</v>
      </c>
      <c r="C849" s="21" t="n">
        <v>6</v>
      </c>
      <c r="D849" s="25" t="inlineStr">
        <is>
          <t>Payout</t>
        </is>
      </c>
      <c r="E849" s="19" t="inlineStr">
        <is>
          <t>FTUK</t>
        </is>
      </c>
      <c r="F849" s="19" t="inlineStr">
        <is>
          <t>#138 Instant-Direct 100k</t>
        </is>
      </c>
      <c r="G849" s="22" t="n">
        <v>100000</v>
      </c>
      <c r="H849" s="22" t="n">
        <v>8000</v>
      </c>
      <c r="I849" s="22" t="n">
        <v>1199847.15</v>
      </c>
      <c r="J849" s="19" t="inlineStr">
        <is>
          <t>10 % × 100,000 × split 80%</t>
        </is>
      </c>
    </row>
    <row r="850">
      <c r="A850" s="13" t="n">
        <v>849</v>
      </c>
      <c r="B850" s="14" t="n">
        <v>46464</v>
      </c>
      <c r="C850" s="15" t="n">
        <v>6</v>
      </c>
      <c r="D850" s="25" t="inlineStr">
        <is>
          <t>Payout</t>
        </is>
      </c>
      <c r="E850" s="13" t="inlineStr">
        <is>
          <t>Funded Friday</t>
        </is>
      </c>
      <c r="F850" s="13" t="inlineStr">
        <is>
          <t>#139 Instant-Direct 200k</t>
        </is>
      </c>
      <c r="G850" s="17" t="n">
        <v>200000</v>
      </c>
      <c r="H850" s="17" t="n">
        <v>16000</v>
      </c>
      <c r="I850" s="17" t="n">
        <v>1215847.15</v>
      </c>
      <c r="J850" s="13" t="inlineStr">
        <is>
          <t>10 % × 200,000 × split 80%</t>
        </is>
      </c>
    </row>
    <row r="851">
      <c r="A851" s="19" t="n">
        <v>850</v>
      </c>
      <c r="B851" s="20" t="n">
        <v>46464</v>
      </c>
      <c r="C851" s="21" t="n">
        <v>6</v>
      </c>
      <c r="D851" s="25" t="inlineStr">
        <is>
          <t>Payout</t>
        </is>
      </c>
      <c r="E851" s="19" t="inlineStr">
        <is>
          <t>Funded Trading Plus</t>
        </is>
      </c>
      <c r="F851" s="19" t="inlineStr">
        <is>
          <t>#140 Instant-Direct 100k</t>
        </is>
      </c>
      <c r="G851" s="22" t="n">
        <v>100000</v>
      </c>
      <c r="H851" s="22" t="n">
        <v>8000</v>
      </c>
      <c r="I851" s="22" t="n">
        <v>1223847.15</v>
      </c>
      <c r="J851" s="19" t="inlineStr">
        <is>
          <t>10 % × 100,000 × split 80%</t>
        </is>
      </c>
    </row>
    <row r="852">
      <c r="A852" s="13" t="n">
        <v>851</v>
      </c>
      <c r="B852" s="14" t="n">
        <v>46464</v>
      </c>
      <c r="C852" s="15" t="n">
        <v>6</v>
      </c>
      <c r="D852" s="25" t="inlineStr">
        <is>
          <t>Payout</t>
        </is>
      </c>
      <c r="E852" s="13" t="inlineStr">
        <is>
          <t>Funding Dynasty</t>
        </is>
      </c>
      <c r="F852" s="13" t="inlineStr">
        <is>
          <t>#141 Instant-Direct 200k</t>
        </is>
      </c>
      <c r="G852" s="17" t="n">
        <v>200000</v>
      </c>
      <c r="H852" s="17" t="n">
        <v>16000</v>
      </c>
      <c r="I852" s="17" t="n">
        <v>1239847.15</v>
      </c>
      <c r="J852" s="13" t="inlineStr">
        <is>
          <t>10 % × 200,000 × split 80%</t>
        </is>
      </c>
    </row>
    <row r="853">
      <c r="A853" s="19" t="n">
        <v>852</v>
      </c>
      <c r="B853" s="20" t="n">
        <v>46464</v>
      </c>
      <c r="C853" s="21" t="n">
        <v>6</v>
      </c>
      <c r="D853" s="25" t="inlineStr">
        <is>
          <t>Payout</t>
        </is>
      </c>
      <c r="E853" s="19" t="inlineStr">
        <is>
          <t>Funding Frontier</t>
        </is>
      </c>
      <c r="F853" s="19" t="inlineStr">
        <is>
          <t>#142 Instant-Direct 50k</t>
        </is>
      </c>
      <c r="G853" s="22" t="n">
        <v>50000</v>
      </c>
      <c r="H853" s="22" t="n">
        <v>4000</v>
      </c>
      <c r="I853" s="22" t="n">
        <v>1243847.15</v>
      </c>
      <c r="J853" s="19" t="inlineStr">
        <is>
          <t>10 % × 50,000 × split 80%</t>
        </is>
      </c>
    </row>
    <row r="854">
      <c r="A854" s="13" t="n">
        <v>853</v>
      </c>
      <c r="B854" s="14" t="n">
        <v>46464</v>
      </c>
      <c r="C854" s="15" t="n">
        <v>6</v>
      </c>
      <c r="D854" s="25" t="inlineStr">
        <is>
          <t>Payout</t>
        </is>
      </c>
      <c r="E854" s="13" t="inlineStr">
        <is>
          <t>FundYourFX</t>
        </is>
      </c>
      <c r="F854" s="13" t="inlineStr">
        <is>
          <t>#143 Instant-Direct 200k</t>
        </is>
      </c>
      <c r="G854" s="17" t="n">
        <v>200000</v>
      </c>
      <c r="H854" s="17" t="n">
        <v>19000</v>
      </c>
      <c r="I854" s="17" t="n">
        <v>1262847.15</v>
      </c>
      <c r="J854" s="13" t="inlineStr">
        <is>
          <t>10 % × 200,000 × split 95%</t>
        </is>
      </c>
    </row>
    <row r="855">
      <c r="A855" s="19" t="n">
        <v>854</v>
      </c>
      <c r="B855" s="20" t="n">
        <v>46464</v>
      </c>
      <c r="C855" s="21" t="n">
        <v>6</v>
      </c>
      <c r="D855" s="25" t="inlineStr">
        <is>
          <t>Payout</t>
        </is>
      </c>
      <c r="E855" s="19" t="inlineStr">
        <is>
          <t>Hex Funded</t>
        </is>
      </c>
      <c r="F855" s="19" t="inlineStr">
        <is>
          <t>#144 Instant-Direct 100k</t>
        </is>
      </c>
      <c r="G855" s="22" t="n">
        <v>100000</v>
      </c>
      <c r="H855" s="22" t="n">
        <v>9000</v>
      </c>
      <c r="I855" s="22" t="n">
        <v>1271847.15</v>
      </c>
      <c r="J855" s="19" t="inlineStr">
        <is>
          <t>10 % × 100,000 × split 90%</t>
        </is>
      </c>
    </row>
    <row r="856">
      <c r="A856" s="13" t="n">
        <v>855</v>
      </c>
      <c r="B856" s="14" t="n">
        <v>46464</v>
      </c>
      <c r="C856" s="15" t="n">
        <v>6</v>
      </c>
      <c r="D856" s="25" t="inlineStr">
        <is>
          <t>Payout</t>
        </is>
      </c>
      <c r="E856" s="13" t="inlineStr">
        <is>
          <t>FundingRock</t>
        </is>
      </c>
      <c r="F856" s="13" t="inlineStr">
        <is>
          <t>#145 Instant-Direct 100k</t>
        </is>
      </c>
      <c r="G856" s="17" t="n">
        <v>100000</v>
      </c>
      <c r="H856" s="17" t="n">
        <v>8000</v>
      </c>
      <c r="I856" s="17" t="n">
        <v>1279847.15</v>
      </c>
      <c r="J856" s="13" t="inlineStr">
        <is>
          <t>10 % × 100,000 × split 80%</t>
        </is>
      </c>
    </row>
    <row r="857">
      <c r="A857" s="19" t="n">
        <v>856</v>
      </c>
      <c r="B857" s="20" t="n">
        <v>46464</v>
      </c>
      <c r="C857" s="21" t="n">
        <v>6</v>
      </c>
      <c r="D857" s="25" t="inlineStr">
        <is>
          <t>Payout</t>
        </is>
      </c>
      <c r="E857" s="19" t="inlineStr">
        <is>
          <t>LegionFunding</t>
        </is>
      </c>
      <c r="F857" s="19" t="inlineStr">
        <is>
          <t>#146 Instant-Direct 100k</t>
        </is>
      </c>
      <c r="G857" s="22" t="n">
        <v>100000</v>
      </c>
      <c r="H857" s="22" t="n">
        <v>8000</v>
      </c>
      <c r="I857" s="22" t="n">
        <v>1287847.15</v>
      </c>
      <c r="J857" s="19" t="inlineStr">
        <is>
          <t>10 % × 100,000 × split 80%</t>
        </is>
      </c>
    </row>
    <row r="858">
      <c r="A858" s="13" t="n">
        <v>857</v>
      </c>
      <c r="B858" s="14" t="n">
        <v>46464</v>
      </c>
      <c r="C858" s="15" t="n">
        <v>6</v>
      </c>
      <c r="D858" s="25" t="inlineStr">
        <is>
          <t>Payout</t>
        </is>
      </c>
      <c r="E858" s="13" t="inlineStr">
        <is>
          <t>MasterFunders</t>
        </is>
      </c>
      <c r="F858" s="13" t="inlineStr">
        <is>
          <t>#147 Instant-Direct 100k</t>
        </is>
      </c>
      <c r="G858" s="17" t="n">
        <v>100000</v>
      </c>
      <c r="H858" s="17" t="n">
        <v>8000</v>
      </c>
      <c r="I858" s="17" t="n">
        <v>1295847.15</v>
      </c>
      <c r="J858" s="13" t="inlineStr">
        <is>
          <t>10 % × 100,000 × split 80%</t>
        </is>
      </c>
    </row>
    <row r="859">
      <c r="A859" s="19" t="n">
        <v>858</v>
      </c>
      <c r="B859" s="20" t="n">
        <v>46464</v>
      </c>
      <c r="C859" s="21" t="n">
        <v>6</v>
      </c>
      <c r="D859" s="25" t="inlineStr">
        <is>
          <t>Payout</t>
        </is>
      </c>
      <c r="E859" s="19" t="inlineStr">
        <is>
          <t>BloomFunded</t>
        </is>
      </c>
      <c r="F859" s="19" t="inlineStr">
        <is>
          <t>#148 Instant-Direct 50k</t>
        </is>
      </c>
      <c r="G859" s="22" t="n">
        <v>50000</v>
      </c>
      <c r="H859" s="22" t="n">
        <v>4500</v>
      </c>
      <c r="I859" s="22" t="n">
        <v>1300347.15</v>
      </c>
      <c r="J859" s="19" t="inlineStr">
        <is>
          <t>10 % × 50,000 × split 90%</t>
        </is>
      </c>
    </row>
    <row r="860">
      <c r="A860" s="13" t="n">
        <v>859</v>
      </c>
      <c r="B860" s="14" t="n">
        <v>46464</v>
      </c>
      <c r="C860" s="15" t="n">
        <v>6</v>
      </c>
      <c r="D860" s="25" t="inlineStr">
        <is>
          <t>Payout</t>
        </is>
      </c>
      <c r="E860" s="13" t="inlineStr">
        <is>
          <t>Finotive Futures</t>
        </is>
      </c>
      <c r="F860" s="13" t="inlineStr">
        <is>
          <t>#153 1 Step 150k</t>
        </is>
      </c>
      <c r="G860" s="17" t="n">
        <v>150000</v>
      </c>
      <c r="H860" s="17" t="n">
        <v>13500</v>
      </c>
      <c r="I860" s="17" t="n">
        <v>1313847.15</v>
      </c>
      <c r="J860" s="13" t="inlineStr">
        <is>
          <t>10 % × 150,000 × split 90%</t>
        </is>
      </c>
    </row>
    <row r="861">
      <c r="A861" s="19" t="n">
        <v>860</v>
      </c>
      <c r="B861" s="20" t="n">
        <v>46464</v>
      </c>
      <c r="C861" s="21" t="n">
        <v>6</v>
      </c>
      <c r="D861" s="25" t="inlineStr">
        <is>
          <t>Payout</t>
        </is>
      </c>
      <c r="E861" s="19" t="inlineStr">
        <is>
          <t>Finotive Futures</t>
        </is>
      </c>
      <c r="F861" s="19" t="inlineStr">
        <is>
          <t>#154 1 Step 150k</t>
        </is>
      </c>
      <c r="G861" s="22" t="n">
        <v>150000</v>
      </c>
      <c r="H861" s="22" t="n">
        <v>13500</v>
      </c>
      <c r="I861" s="22" t="n">
        <v>1327347.15</v>
      </c>
      <c r="J861" s="19" t="inlineStr">
        <is>
          <t>10 % × 150,000 × split 90%</t>
        </is>
      </c>
    </row>
    <row r="862">
      <c r="A862" s="13" t="n">
        <v>861</v>
      </c>
      <c r="B862" s="14" t="n">
        <v>46464</v>
      </c>
      <c r="C862" s="15" t="n">
        <v>6</v>
      </c>
      <c r="D862" s="25" t="inlineStr">
        <is>
          <t>Payout</t>
        </is>
      </c>
      <c r="E862" s="13" t="inlineStr">
        <is>
          <t>Finotive Futures</t>
        </is>
      </c>
      <c r="F862" s="13" t="inlineStr">
        <is>
          <t>#155 1 Step 150k</t>
        </is>
      </c>
      <c r="G862" s="17" t="n">
        <v>150000</v>
      </c>
      <c r="H862" s="17" t="n">
        <v>13500</v>
      </c>
      <c r="I862" s="17" t="n">
        <v>1340847.15</v>
      </c>
      <c r="J862" s="13" t="inlineStr">
        <is>
          <t>10 % × 150,000 × split 90%</t>
        </is>
      </c>
    </row>
    <row r="863">
      <c r="A863" s="19" t="n">
        <v>862</v>
      </c>
      <c r="B863" s="20" t="n">
        <v>46464</v>
      </c>
      <c r="C863" s="21" t="n">
        <v>6</v>
      </c>
      <c r="D863" s="25" t="inlineStr">
        <is>
          <t>Payout</t>
        </is>
      </c>
      <c r="E863" s="19" t="inlineStr">
        <is>
          <t>Finotive Futures</t>
        </is>
      </c>
      <c r="F863" s="19" t="inlineStr">
        <is>
          <t>#156 1 Step 150k</t>
        </is>
      </c>
      <c r="G863" s="22" t="n">
        <v>150000</v>
      </c>
      <c r="H863" s="22" t="n">
        <v>13500</v>
      </c>
      <c r="I863" s="22" t="n">
        <v>1354347.15</v>
      </c>
      <c r="J863" s="19" t="inlineStr">
        <is>
          <t>10 % × 150,000 × split 90%</t>
        </is>
      </c>
    </row>
    <row r="864">
      <c r="A864" s="13" t="n">
        <v>863</v>
      </c>
      <c r="B864" s="14" t="n">
        <v>46464</v>
      </c>
      <c r="C864" s="15" t="n">
        <v>6</v>
      </c>
      <c r="D864" s="25" t="inlineStr">
        <is>
          <t>Payout</t>
        </is>
      </c>
      <c r="E864" s="13" t="inlineStr">
        <is>
          <t>Finotive Futures</t>
        </is>
      </c>
      <c r="F864" s="13" t="inlineStr">
        <is>
          <t>#157 1 Step 150k</t>
        </is>
      </c>
      <c r="G864" s="17" t="n">
        <v>150000</v>
      </c>
      <c r="H864" s="17" t="n">
        <v>13500</v>
      </c>
      <c r="I864" s="17" t="n">
        <v>1367847.15</v>
      </c>
      <c r="J864" s="13" t="inlineStr">
        <is>
          <t>10 % × 150,000 × split 90%</t>
        </is>
      </c>
    </row>
    <row r="865">
      <c r="A865" s="19" t="n">
        <v>864</v>
      </c>
      <c r="B865" s="20" t="n">
        <v>46464</v>
      </c>
      <c r="C865" s="21" t="n">
        <v>6</v>
      </c>
      <c r="D865" s="25" t="inlineStr">
        <is>
          <t>Payout</t>
        </is>
      </c>
      <c r="E865" s="19" t="inlineStr">
        <is>
          <t>Finotive Futures</t>
        </is>
      </c>
      <c r="F865" s="19" t="inlineStr">
        <is>
          <t>#158 1 Step 150k</t>
        </is>
      </c>
      <c r="G865" s="22" t="n">
        <v>150000</v>
      </c>
      <c r="H865" s="22" t="n">
        <v>13500</v>
      </c>
      <c r="I865" s="22" t="n">
        <v>1381347.15</v>
      </c>
      <c r="J865" s="19" t="inlineStr">
        <is>
          <t>10 % × 150,000 × split 90%</t>
        </is>
      </c>
    </row>
    <row r="866">
      <c r="A866" s="13" t="n">
        <v>865</v>
      </c>
      <c r="B866" s="14" t="n">
        <v>46464</v>
      </c>
      <c r="C866" s="15" t="n">
        <v>6</v>
      </c>
      <c r="D866" s="25" t="inlineStr">
        <is>
          <t>Payout</t>
        </is>
      </c>
      <c r="E866" s="13" t="inlineStr">
        <is>
          <t>Funded Trader Markets</t>
        </is>
      </c>
      <c r="F866" s="13" t="inlineStr">
        <is>
          <t>#159 1 Step 300k</t>
        </is>
      </c>
      <c r="G866" s="17" t="n">
        <v>300000</v>
      </c>
      <c r="H866" s="17" t="n">
        <v>27000</v>
      </c>
      <c r="I866" s="17" t="n">
        <v>1408347.15</v>
      </c>
      <c r="J866" s="13" t="inlineStr">
        <is>
          <t>10 % × 300,000 × split 90%</t>
        </is>
      </c>
    </row>
    <row r="867">
      <c r="A867" s="19" t="n">
        <v>866</v>
      </c>
      <c r="B867" s="20" t="n">
        <v>46464</v>
      </c>
      <c r="C867" s="21" t="n">
        <v>6</v>
      </c>
      <c r="D867" s="25" t="inlineStr">
        <is>
          <t>Payout</t>
        </is>
      </c>
      <c r="E867" s="19" t="inlineStr">
        <is>
          <t>Funded Trader Markets</t>
        </is>
      </c>
      <c r="F867" s="19" t="inlineStr">
        <is>
          <t>#160 1 Step 300k</t>
        </is>
      </c>
      <c r="G867" s="22" t="n">
        <v>300000</v>
      </c>
      <c r="H867" s="22" t="n">
        <v>27000</v>
      </c>
      <c r="I867" s="22" t="n">
        <v>1435347.15</v>
      </c>
      <c r="J867" s="19" t="inlineStr">
        <is>
          <t>10 % × 300,000 × split 90%</t>
        </is>
      </c>
    </row>
    <row r="868">
      <c r="A868" s="13" t="n">
        <v>867</v>
      </c>
      <c r="B868" s="14" t="n">
        <v>46464</v>
      </c>
      <c r="C868" s="15" t="n">
        <v>6</v>
      </c>
      <c r="D868" s="25" t="inlineStr">
        <is>
          <t>Payout</t>
        </is>
      </c>
      <c r="E868" s="13" t="inlineStr">
        <is>
          <t>Funded Trader Markets</t>
        </is>
      </c>
      <c r="F868" s="13" t="inlineStr">
        <is>
          <t>#161 1 Step 300k</t>
        </is>
      </c>
      <c r="G868" s="17" t="n">
        <v>300000</v>
      </c>
      <c r="H868" s="17" t="n">
        <v>27000</v>
      </c>
      <c r="I868" s="17" t="n">
        <v>1462347.15</v>
      </c>
      <c r="J868" s="13" t="inlineStr">
        <is>
          <t>10 % × 300,000 × split 90%</t>
        </is>
      </c>
    </row>
    <row r="869">
      <c r="A869" s="19" t="n">
        <v>868</v>
      </c>
      <c r="B869" s="20" t="n">
        <v>46464</v>
      </c>
      <c r="C869" s="21" t="n">
        <v>6</v>
      </c>
      <c r="D869" s="25" t="inlineStr">
        <is>
          <t>Payout</t>
        </is>
      </c>
      <c r="E869" s="19" t="inlineStr">
        <is>
          <t>Kingdom Wealth Funding</t>
        </is>
      </c>
      <c r="F869" s="19" t="inlineStr">
        <is>
          <t>#164 1 Step 1000k</t>
        </is>
      </c>
      <c r="G869" s="22" t="n">
        <v>1000000</v>
      </c>
      <c r="H869" s="22" t="n">
        <v>80000</v>
      </c>
      <c r="I869" s="22" t="n">
        <v>1542347.15</v>
      </c>
      <c r="J869" s="19" t="inlineStr">
        <is>
          <t>10 % × 1,000,000 × split 80%</t>
        </is>
      </c>
    </row>
    <row r="870">
      <c r="A870" s="13" t="n">
        <v>869</v>
      </c>
      <c r="B870" s="14" t="n">
        <v>46464</v>
      </c>
      <c r="C870" s="15" t="n">
        <v>6</v>
      </c>
      <c r="D870" s="25" t="inlineStr">
        <is>
          <t>Payout</t>
        </is>
      </c>
      <c r="E870" s="13" t="inlineStr">
        <is>
          <t>Ment Funding</t>
        </is>
      </c>
      <c r="F870" s="13" t="inlineStr">
        <is>
          <t>#165 1 Step 1000k</t>
        </is>
      </c>
      <c r="G870" s="17" t="n">
        <v>1000000</v>
      </c>
      <c r="H870" s="17" t="n">
        <v>80000</v>
      </c>
      <c r="I870" s="17" t="n">
        <v>1622347.15</v>
      </c>
      <c r="J870" s="13" t="inlineStr">
        <is>
          <t>10 % × 1,000,000 × split 80%</t>
        </is>
      </c>
    </row>
    <row r="871">
      <c r="A871" s="19" t="n">
        <v>870</v>
      </c>
      <c r="B871" s="20" t="n">
        <v>46464</v>
      </c>
      <c r="C871" s="21" t="n">
        <v>6</v>
      </c>
      <c r="D871" s="25" t="inlineStr">
        <is>
          <t>Payout</t>
        </is>
      </c>
      <c r="E871" s="19" t="inlineStr">
        <is>
          <t>Ment Funding Futures</t>
        </is>
      </c>
      <c r="F871" s="19" t="inlineStr">
        <is>
          <t>#172 1 Step 400k</t>
        </is>
      </c>
      <c r="G871" s="22" t="n">
        <v>400000</v>
      </c>
      <c r="H871" s="22" t="n">
        <v>32000</v>
      </c>
      <c r="I871" s="22" t="n">
        <v>1654347.15</v>
      </c>
      <c r="J871" s="19" t="inlineStr">
        <is>
          <t>10 % × 400,000 × split 80%</t>
        </is>
      </c>
    </row>
    <row r="872">
      <c r="A872" s="13" t="n">
        <v>871</v>
      </c>
      <c r="B872" s="14" t="n">
        <v>46464</v>
      </c>
      <c r="C872" s="15" t="n">
        <v>6</v>
      </c>
      <c r="D872" s="25" t="inlineStr">
        <is>
          <t>Payout</t>
        </is>
      </c>
      <c r="E872" s="13" t="inlineStr">
        <is>
          <t>10FOUR</t>
        </is>
      </c>
      <c r="F872" s="13" t="inlineStr">
        <is>
          <t>#173 1 Step 150k</t>
        </is>
      </c>
      <c r="G872" s="17" t="n">
        <v>150000</v>
      </c>
      <c r="H872" s="17" t="n">
        <v>13500</v>
      </c>
      <c r="I872" s="17" t="n">
        <v>1667847.15</v>
      </c>
      <c r="J872" s="13" t="inlineStr">
        <is>
          <t>10 % × 150,000 × split 90%</t>
        </is>
      </c>
    </row>
    <row r="873">
      <c r="A873" s="19" t="n">
        <v>872</v>
      </c>
      <c r="B873" s="20" t="n">
        <v>46464</v>
      </c>
      <c r="C873" s="21" t="n">
        <v>6</v>
      </c>
      <c r="D873" s="25" t="inlineStr">
        <is>
          <t>Payout</t>
        </is>
      </c>
      <c r="E873" s="19" t="inlineStr">
        <is>
          <t>10FOUR</t>
        </is>
      </c>
      <c r="F873" s="19" t="inlineStr">
        <is>
          <t>#174 1 Step 150k</t>
        </is>
      </c>
      <c r="G873" s="22" t="n">
        <v>150000</v>
      </c>
      <c r="H873" s="22" t="n">
        <v>13500</v>
      </c>
      <c r="I873" s="22" t="n">
        <v>1681347.15</v>
      </c>
      <c r="J873" s="19" t="inlineStr">
        <is>
          <t>10 % × 150,000 × split 90%</t>
        </is>
      </c>
    </row>
    <row r="874">
      <c r="A874" s="13" t="n">
        <v>873</v>
      </c>
      <c r="B874" s="14" t="n">
        <v>46464</v>
      </c>
      <c r="C874" s="15" t="n">
        <v>6</v>
      </c>
      <c r="D874" s="25" t="inlineStr">
        <is>
          <t>Payout</t>
        </is>
      </c>
      <c r="E874" s="13" t="inlineStr">
        <is>
          <t>10FOUR</t>
        </is>
      </c>
      <c r="F874" s="13" t="inlineStr">
        <is>
          <t>#175 1 Step 150k</t>
        </is>
      </c>
      <c r="G874" s="17" t="n">
        <v>150000</v>
      </c>
      <c r="H874" s="17" t="n">
        <v>13500</v>
      </c>
      <c r="I874" s="17" t="n">
        <v>1694847.15</v>
      </c>
      <c r="J874" s="13" t="inlineStr">
        <is>
          <t>10 % × 150,000 × split 90%</t>
        </is>
      </c>
    </row>
    <row r="875">
      <c r="A875" s="19" t="n">
        <v>874</v>
      </c>
      <c r="B875" s="20" t="n">
        <v>46464</v>
      </c>
      <c r="C875" s="21" t="n">
        <v>6</v>
      </c>
      <c r="D875" s="25" t="inlineStr">
        <is>
          <t>Payout</t>
        </is>
      </c>
      <c r="E875" s="19" t="inlineStr">
        <is>
          <t>10FOUR</t>
        </is>
      </c>
      <c r="F875" s="19" t="inlineStr">
        <is>
          <t>#176 1 Step 150k</t>
        </is>
      </c>
      <c r="G875" s="22" t="n">
        <v>150000</v>
      </c>
      <c r="H875" s="22" t="n">
        <v>13500</v>
      </c>
      <c r="I875" s="22" t="n">
        <v>1708347.15</v>
      </c>
      <c r="J875" s="19" t="inlineStr">
        <is>
          <t>10 % × 150,000 × split 90%</t>
        </is>
      </c>
    </row>
    <row r="876">
      <c r="A876" s="13" t="n">
        <v>875</v>
      </c>
      <c r="B876" s="14" t="n">
        <v>46464</v>
      </c>
      <c r="C876" s="15" t="n">
        <v>6</v>
      </c>
      <c r="D876" s="25" t="inlineStr">
        <is>
          <t>Payout</t>
        </is>
      </c>
      <c r="E876" s="13" t="inlineStr">
        <is>
          <t>10FOUR</t>
        </is>
      </c>
      <c r="F876" s="13" t="inlineStr">
        <is>
          <t>#177 1 Step 150k</t>
        </is>
      </c>
      <c r="G876" s="17" t="n">
        <v>150000</v>
      </c>
      <c r="H876" s="17" t="n">
        <v>13500</v>
      </c>
      <c r="I876" s="17" t="n">
        <v>1721847.15</v>
      </c>
      <c r="J876" s="13" t="inlineStr">
        <is>
          <t>10 % × 150,000 × split 90%</t>
        </is>
      </c>
    </row>
    <row r="877">
      <c r="A877" s="19" t="n">
        <v>876</v>
      </c>
      <c r="B877" s="20" t="n">
        <v>46464</v>
      </c>
      <c r="C877" s="21" t="n">
        <v>6</v>
      </c>
      <c r="D877" s="25" t="inlineStr">
        <is>
          <t>Payout</t>
        </is>
      </c>
      <c r="E877" s="19" t="inlineStr">
        <is>
          <t>Blue Guardian Futures</t>
        </is>
      </c>
      <c r="F877" s="19" t="inlineStr">
        <is>
          <t>#178 1 Step 100k</t>
        </is>
      </c>
      <c r="G877" s="22" t="n">
        <v>100000</v>
      </c>
      <c r="H877" s="22" t="n">
        <v>9000</v>
      </c>
      <c r="I877" s="22" t="n">
        <v>1730847.15</v>
      </c>
      <c r="J877" s="19" t="inlineStr">
        <is>
          <t>10 % × 100,000 × split 90%</t>
        </is>
      </c>
    </row>
    <row r="878">
      <c r="A878" s="13" t="n">
        <v>877</v>
      </c>
      <c r="B878" s="14" t="n">
        <v>46464</v>
      </c>
      <c r="C878" s="15" t="n">
        <v>6</v>
      </c>
      <c r="D878" s="25" t="inlineStr">
        <is>
          <t>Payout</t>
        </is>
      </c>
      <c r="E878" s="13" t="inlineStr">
        <is>
          <t>Blue Guardian Futures</t>
        </is>
      </c>
      <c r="F878" s="13" t="inlineStr">
        <is>
          <t>#179 1 Step 100k</t>
        </is>
      </c>
      <c r="G878" s="17" t="n">
        <v>100000</v>
      </c>
      <c r="H878" s="17" t="n">
        <v>9000</v>
      </c>
      <c r="I878" s="17" t="n">
        <v>1739847.15</v>
      </c>
      <c r="J878" s="13" t="inlineStr">
        <is>
          <t>10 % × 100,000 × split 90%</t>
        </is>
      </c>
    </row>
    <row r="879">
      <c r="A879" s="19" t="n">
        <v>878</v>
      </c>
      <c r="B879" s="20" t="n">
        <v>46464</v>
      </c>
      <c r="C879" s="21" t="n">
        <v>6</v>
      </c>
      <c r="D879" s="25" t="inlineStr">
        <is>
          <t>Payout</t>
        </is>
      </c>
      <c r="E879" s="19" t="inlineStr">
        <is>
          <t>Blue Guardian Futures</t>
        </is>
      </c>
      <c r="F879" s="19" t="inlineStr">
        <is>
          <t>#180 1 Step 100k</t>
        </is>
      </c>
      <c r="G879" s="22" t="n">
        <v>100000</v>
      </c>
      <c r="H879" s="22" t="n">
        <v>9000</v>
      </c>
      <c r="I879" s="22" t="n">
        <v>1748847.15</v>
      </c>
      <c r="J879" s="19" t="inlineStr">
        <is>
          <t>10 % × 100,000 × split 90%</t>
        </is>
      </c>
    </row>
    <row r="880">
      <c r="A880" s="13" t="n">
        <v>879</v>
      </c>
      <c r="B880" s="14" t="n">
        <v>46464</v>
      </c>
      <c r="C880" s="15" t="n">
        <v>6</v>
      </c>
      <c r="D880" s="25" t="inlineStr">
        <is>
          <t>Payout</t>
        </is>
      </c>
      <c r="E880" s="13" t="inlineStr">
        <is>
          <t>Blue Guardian Futures</t>
        </is>
      </c>
      <c r="F880" s="13" t="inlineStr">
        <is>
          <t>#181 1 Step 100k</t>
        </is>
      </c>
      <c r="G880" s="17" t="n">
        <v>100000</v>
      </c>
      <c r="H880" s="17" t="n">
        <v>9000</v>
      </c>
      <c r="I880" s="17" t="n">
        <v>1757847.15</v>
      </c>
      <c r="J880" s="13" t="inlineStr">
        <is>
          <t>10 % × 100,000 × split 90%</t>
        </is>
      </c>
    </row>
    <row r="881">
      <c r="A881" s="19" t="n">
        <v>880</v>
      </c>
      <c r="B881" s="20" t="n">
        <v>46464</v>
      </c>
      <c r="C881" s="21" t="n">
        <v>6</v>
      </c>
      <c r="D881" s="25" t="inlineStr">
        <is>
          <t>Payout</t>
        </is>
      </c>
      <c r="E881" s="19" t="inlineStr">
        <is>
          <t>Blue Guardian Futures</t>
        </is>
      </c>
      <c r="F881" s="19" t="inlineStr">
        <is>
          <t>#182 1 Step 100k</t>
        </is>
      </c>
      <c r="G881" s="22" t="n">
        <v>100000</v>
      </c>
      <c r="H881" s="22" t="n">
        <v>9000</v>
      </c>
      <c r="I881" s="22" t="n">
        <v>1766847.15</v>
      </c>
      <c r="J881" s="19" t="inlineStr">
        <is>
          <t>10 % × 100,000 × split 90%</t>
        </is>
      </c>
    </row>
    <row r="882">
      <c r="A882" s="13" t="n">
        <v>881</v>
      </c>
      <c r="B882" s="14" t="n">
        <v>46464</v>
      </c>
      <c r="C882" s="15" t="n">
        <v>6</v>
      </c>
      <c r="D882" s="25" t="inlineStr">
        <is>
          <t>Payout</t>
        </is>
      </c>
      <c r="E882" s="13" t="inlineStr">
        <is>
          <t>Blue Guardian Futures</t>
        </is>
      </c>
      <c r="F882" s="13" t="inlineStr">
        <is>
          <t>#183 1 Step 100k</t>
        </is>
      </c>
      <c r="G882" s="17" t="n">
        <v>100000</v>
      </c>
      <c r="H882" s="17" t="n">
        <v>9000</v>
      </c>
      <c r="I882" s="17" t="n">
        <v>1775847.15</v>
      </c>
      <c r="J882" s="13" t="inlineStr">
        <is>
          <t>10 % × 100,000 × split 90%</t>
        </is>
      </c>
    </row>
    <row r="883">
      <c r="A883" s="19" t="n">
        <v>882</v>
      </c>
      <c r="B883" s="20" t="n">
        <v>46464</v>
      </c>
      <c r="C883" s="21" t="n">
        <v>6</v>
      </c>
      <c r="D883" s="25" t="inlineStr">
        <is>
          <t>Payout</t>
        </is>
      </c>
      <c r="E883" s="19" t="inlineStr">
        <is>
          <t>Blue Guardian Futures</t>
        </is>
      </c>
      <c r="F883" s="19" t="inlineStr">
        <is>
          <t>#184 1 Step 100k</t>
        </is>
      </c>
      <c r="G883" s="22" t="n">
        <v>100000</v>
      </c>
      <c r="H883" s="22" t="n">
        <v>9000</v>
      </c>
      <c r="I883" s="22" t="n">
        <v>1784847.15</v>
      </c>
      <c r="J883" s="19" t="inlineStr">
        <is>
          <t>10 % × 100,000 × split 90%</t>
        </is>
      </c>
    </row>
    <row r="884">
      <c r="A884" s="13" t="n">
        <v>883</v>
      </c>
      <c r="B884" s="14" t="n">
        <v>46464</v>
      </c>
      <c r="C884" s="15" t="n">
        <v>6</v>
      </c>
      <c r="D884" s="25" t="inlineStr">
        <is>
          <t>Payout</t>
        </is>
      </c>
      <c r="E884" s="13" t="inlineStr">
        <is>
          <t>FunderPro Futures</t>
        </is>
      </c>
      <c r="F884" s="13" t="inlineStr">
        <is>
          <t>#185 1 Step 150k</t>
        </is>
      </c>
      <c r="G884" s="17" t="n">
        <v>150000</v>
      </c>
      <c r="H884" s="17" t="n">
        <v>9000</v>
      </c>
      <c r="I884" s="17" t="n">
        <v>1793847.15</v>
      </c>
      <c r="J884" s="13" t="inlineStr">
        <is>
          <t>10 % × 150,000 × split 60%</t>
        </is>
      </c>
    </row>
    <row r="885">
      <c r="A885" s="19" t="n">
        <v>884</v>
      </c>
      <c r="B885" s="20" t="n">
        <v>46464</v>
      </c>
      <c r="C885" s="21" t="n">
        <v>6</v>
      </c>
      <c r="D885" s="25" t="inlineStr">
        <is>
          <t>Payout</t>
        </is>
      </c>
      <c r="E885" s="19" t="inlineStr">
        <is>
          <t>FunderPro Futures</t>
        </is>
      </c>
      <c r="F885" s="19" t="inlineStr">
        <is>
          <t>#186 1 Step 150k</t>
        </is>
      </c>
      <c r="G885" s="22" t="n">
        <v>150000</v>
      </c>
      <c r="H885" s="22" t="n">
        <v>9000</v>
      </c>
      <c r="I885" s="22" t="n">
        <v>1802847.15</v>
      </c>
      <c r="J885" s="19" t="inlineStr">
        <is>
          <t>10 % × 150,000 × split 60%</t>
        </is>
      </c>
    </row>
    <row r="886">
      <c r="A886" s="13" t="n">
        <v>885</v>
      </c>
      <c r="B886" s="14" t="n">
        <v>46464</v>
      </c>
      <c r="C886" s="15" t="n">
        <v>6</v>
      </c>
      <c r="D886" s="25" t="inlineStr">
        <is>
          <t>Payout</t>
        </is>
      </c>
      <c r="E886" s="13" t="inlineStr">
        <is>
          <t>FunderPro Futures</t>
        </is>
      </c>
      <c r="F886" s="13" t="inlineStr">
        <is>
          <t>#187 1 Step 150k</t>
        </is>
      </c>
      <c r="G886" s="17" t="n">
        <v>150000</v>
      </c>
      <c r="H886" s="17" t="n">
        <v>9000</v>
      </c>
      <c r="I886" s="17" t="n">
        <v>1811847.15</v>
      </c>
      <c r="J886" s="13" t="inlineStr">
        <is>
          <t>10 % × 150,000 × split 60%</t>
        </is>
      </c>
    </row>
    <row r="887">
      <c r="A887" s="19" t="n">
        <v>886</v>
      </c>
      <c r="B887" s="20" t="n">
        <v>46464</v>
      </c>
      <c r="C887" s="21" t="n">
        <v>6</v>
      </c>
      <c r="D887" s="25" t="inlineStr">
        <is>
          <t>Payout</t>
        </is>
      </c>
      <c r="E887" s="19" t="inlineStr">
        <is>
          <t>FunderPro Futures</t>
        </is>
      </c>
      <c r="F887" s="19" t="inlineStr">
        <is>
          <t>#188 1 Step 150k</t>
        </is>
      </c>
      <c r="G887" s="22" t="n">
        <v>150000</v>
      </c>
      <c r="H887" s="22" t="n">
        <v>9000</v>
      </c>
      <c r="I887" s="22" t="n">
        <v>1820847.15</v>
      </c>
      <c r="J887" s="19" t="inlineStr">
        <is>
          <t>10 % × 150,000 × split 60%</t>
        </is>
      </c>
    </row>
    <row r="888">
      <c r="A888" s="13" t="n">
        <v>887</v>
      </c>
      <c r="B888" s="14" t="n">
        <v>46464</v>
      </c>
      <c r="C888" s="15" t="n">
        <v>6</v>
      </c>
      <c r="D888" s="25" t="inlineStr">
        <is>
          <t>Payout</t>
        </is>
      </c>
      <c r="E888" s="13" t="inlineStr">
        <is>
          <t>Capitalize</t>
        </is>
      </c>
      <c r="F888" s="13" t="inlineStr">
        <is>
          <t>#202 1 Step 500k</t>
        </is>
      </c>
      <c r="G888" s="17" t="n">
        <v>500000</v>
      </c>
      <c r="H888" s="17" t="n">
        <v>40000</v>
      </c>
      <c r="I888" s="17" t="n">
        <v>1860847.15</v>
      </c>
      <c r="J888" s="13" t="inlineStr">
        <is>
          <t>10 % × 500,000 × split 80%</t>
        </is>
      </c>
    </row>
    <row r="889">
      <c r="A889" s="19" t="n">
        <v>888</v>
      </c>
      <c r="B889" s="20" t="n">
        <v>46464</v>
      </c>
      <c r="C889" s="21" t="n">
        <v>6</v>
      </c>
      <c r="D889" s="25" t="inlineStr">
        <is>
          <t>Payout</t>
        </is>
      </c>
      <c r="E889" s="19" t="inlineStr">
        <is>
          <t>Hola Prime</t>
        </is>
      </c>
      <c r="F889" s="19" t="inlineStr">
        <is>
          <t>#206 1 Step 150k</t>
        </is>
      </c>
      <c r="G889" s="22" t="n">
        <v>150000</v>
      </c>
      <c r="H889" s="22" t="n">
        <v>12000</v>
      </c>
      <c r="I889" s="22" t="n">
        <v>1872847.15</v>
      </c>
      <c r="J889" s="19" t="inlineStr">
        <is>
          <t>10 % × 150,000 × split 80%</t>
        </is>
      </c>
    </row>
    <row r="890">
      <c r="A890" s="13" t="n">
        <v>889</v>
      </c>
      <c r="B890" s="14" t="n">
        <v>46464</v>
      </c>
      <c r="C890" s="15" t="n">
        <v>6</v>
      </c>
      <c r="D890" s="25" t="inlineStr">
        <is>
          <t>Payout</t>
        </is>
      </c>
      <c r="E890" s="13" t="inlineStr">
        <is>
          <t>Hola Prime</t>
        </is>
      </c>
      <c r="F890" s="13" t="inlineStr">
        <is>
          <t>#207 1 Step 150k</t>
        </is>
      </c>
      <c r="G890" s="17" t="n">
        <v>150000</v>
      </c>
      <c r="H890" s="17" t="n">
        <v>12000</v>
      </c>
      <c r="I890" s="17" t="n">
        <v>1884847.15</v>
      </c>
      <c r="J890" s="13" t="inlineStr">
        <is>
          <t>10 % × 150,000 × split 80%</t>
        </is>
      </c>
    </row>
    <row r="891">
      <c r="A891" s="19" t="n">
        <v>890</v>
      </c>
      <c r="B891" s="20" t="n">
        <v>46464</v>
      </c>
      <c r="C891" s="21" t="n">
        <v>6</v>
      </c>
      <c r="D891" s="25" t="inlineStr">
        <is>
          <t>Payout</t>
        </is>
      </c>
      <c r="E891" s="19" t="inlineStr">
        <is>
          <t>Hola Prime</t>
        </is>
      </c>
      <c r="F891" s="19" t="inlineStr">
        <is>
          <t>#208 1 Step 150k</t>
        </is>
      </c>
      <c r="G891" s="22" t="n">
        <v>150000</v>
      </c>
      <c r="H891" s="22" t="n">
        <v>12000</v>
      </c>
      <c r="I891" s="22" t="n">
        <v>1896847.15</v>
      </c>
      <c r="J891" s="19" t="inlineStr">
        <is>
          <t>10 % × 150,000 × split 80%</t>
        </is>
      </c>
    </row>
    <row r="892">
      <c r="A892" s="13" t="n">
        <v>891</v>
      </c>
      <c r="B892" s="14" t="n">
        <v>46464</v>
      </c>
      <c r="C892" s="15" t="n">
        <v>6</v>
      </c>
      <c r="D892" s="25" t="inlineStr">
        <is>
          <t>Payout</t>
        </is>
      </c>
      <c r="E892" s="13" t="inlineStr">
        <is>
          <t>FTMO Futures</t>
        </is>
      </c>
      <c r="F892" s="13" t="inlineStr">
        <is>
          <t>#213 1 Step 150k</t>
        </is>
      </c>
      <c r="G892" s="17" t="n">
        <v>150000</v>
      </c>
      <c r="H892" s="17" t="n">
        <v>13500</v>
      </c>
      <c r="I892" s="17" t="n">
        <v>1910347.15</v>
      </c>
      <c r="J892" s="13" t="inlineStr">
        <is>
          <t>10 % × 150,000 × split 90%</t>
        </is>
      </c>
    </row>
    <row r="893">
      <c r="A893" s="19" t="n">
        <v>892</v>
      </c>
      <c r="B893" s="20" t="n">
        <v>46464</v>
      </c>
      <c r="C893" s="21" t="n">
        <v>6</v>
      </c>
      <c r="D893" s="25" t="inlineStr">
        <is>
          <t>Payout</t>
        </is>
      </c>
      <c r="E893" s="19" t="inlineStr">
        <is>
          <t>FTMO Futures</t>
        </is>
      </c>
      <c r="F893" s="19" t="inlineStr">
        <is>
          <t>#214 1 Step 150k</t>
        </is>
      </c>
      <c r="G893" s="22" t="n">
        <v>150000</v>
      </c>
      <c r="H893" s="22" t="n">
        <v>13500</v>
      </c>
      <c r="I893" s="22" t="n">
        <v>1923847.15</v>
      </c>
      <c r="J893" s="19" t="inlineStr">
        <is>
          <t>10 % × 150,000 × split 90%</t>
        </is>
      </c>
    </row>
    <row r="894">
      <c r="A894" s="13" t="n">
        <v>893</v>
      </c>
      <c r="B894" s="14" t="n">
        <v>46464</v>
      </c>
      <c r="C894" s="15" t="n">
        <v>6</v>
      </c>
      <c r="D894" s="25" t="inlineStr">
        <is>
          <t>Payout</t>
        </is>
      </c>
      <c r="E894" s="13" t="inlineStr">
        <is>
          <t>FTMO Futures</t>
        </is>
      </c>
      <c r="F894" s="13" t="inlineStr">
        <is>
          <t>#215 1 Step 150k</t>
        </is>
      </c>
      <c r="G894" s="17" t="n">
        <v>150000</v>
      </c>
      <c r="H894" s="17" t="n">
        <v>13500</v>
      </c>
      <c r="I894" s="17" t="n">
        <v>1937347.15</v>
      </c>
      <c r="J894" s="13" t="inlineStr">
        <is>
          <t>10 % × 150,000 × split 90%</t>
        </is>
      </c>
    </row>
    <row r="895">
      <c r="A895" s="19" t="n">
        <v>894</v>
      </c>
      <c r="B895" s="20" t="n">
        <v>46464</v>
      </c>
      <c r="C895" s="21" t="n">
        <v>6</v>
      </c>
      <c r="D895" s="25" t="inlineStr">
        <is>
          <t>Payout</t>
        </is>
      </c>
      <c r="E895" s="19" t="inlineStr">
        <is>
          <t>Halcyon Trader Funding</t>
        </is>
      </c>
      <c r="F895" s="19" t="inlineStr">
        <is>
          <t>#216 1 Step 150k</t>
        </is>
      </c>
      <c r="G895" s="22" t="n">
        <v>150000</v>
      </c>
      <c r="H895" s="22" t="n">
        <v>13500</v>
      </c>
      <c r="I895" s="22" t="n">
        <v>1950847.15</v>
      </c>
      <c r="J895" s="19" t="inlineStr">
        <is>
          <t>10 % × 150,000 × split 90%</t>
        </is>
      </c>
    </row>
    <row r="896">
      <c r="A896" s="13" t="n">
        <v>895</v>
      </c>
      <c r="B896" s="14" t="n">
        <v>46464</v>
      </c>
      <c r="C896" s="15" t="n">
        <v>6</v>
      </c>
      <c r="D896" s="25" t="inlineStr">
        <is>
          <t>Payout</t>
        </is>
      </c>
      <c r="E896" s="13" t="inlineStr">
        <is>
          <t>Halcyon Trader Funding</t>
        </is>
      </c>
      <c r="F896" s="13" t="inlineStr">
        <is>
          <t>#217 1 Step 150k</t>
        </is>
      </c>
      <c r="G896" s="17" t="n">
        <v>150000</v>
      </c>
      <c r="H896" s="17" t="n">
        <v>13500</v>
      </c>
      <c r="I896" s="17" t="n">
        <v>1964347.15</v>
      </c>
      <c r="J896" s="13" t="inlineStr">
        <is>
          <t>10 % × 150,000 × split 90%</t>
        </is>
      </c>
    </row>
    <row r="897">
      <c r="A897" s="19" t="n">
        <v>896</v>
      </c>
      <c r="B897" s="20" t="n">
        <v>46464</v>
      </c>
      <c r="C897" s="21" t="n">
        <v>6</v>
      </c>
      <c r="D897" s="25" t="inlineStr">
        <is>
          <t>Payout</t>
        </is>
      </c>
      <c r="E897" s="19" t="inlineStr">
        <is>
          <t>Halcyon Trader Funding</t>
        </is>
      </c>
      <c r="F897" s="19" t="inlineStr">
        <is>
          <t>#218 1 Step 150k</t>
        </is>
      </c>
      <c r="G897" s="22" t="n">
        <v>150000</v>
      </c>
      <c r="H897" s="22" t="n">
        <v>13500</v>
      </c>
      <c r="I897" s="22" t="n">
        <v>1977847.15</v>
      </c>
      <c r="J897" s="19" t="inlineStr">
        <is>
          <t>10 % × 150,000 × split 90%</t>
        </is>
      </c>
    </row>
    <row r="898">
      <c r="A898" s="13" t="n">
        <v>897</v>
      </c>
      <c r="B898" s="14" t="n">
        <v>46464</v>
      </c>
      <c r="C898" s="15" t="n">
        <v>6</v>
      </c>
      <c r="D898" s="25" t="inlineStr">
        <is>
          <t>Payout</t>
        </is>
      </c>
      <c r="E898" s="13" t="inlineStr">
        <is>
          <t>Astrofund</t>
        </is>
      </c>
      <c r="F898" s="13" t="inlineStr">
        <is>
          <t>#219 1 Step 100k</t>
        </is>
      </c>
      <c r="G898" s="17" t="n">
        <v>100000</v>
      </c>
      <c r="H898" s="17" t="n">
        <v>9000</v>
      </c>
      <c r="I898" s="17" t="n">
        <v>1986847.15</v>
      </c>
      <c r="J898" s="13" t="inlineStr">
        <is>
          <t>10 % × 100,000 × split 90%</t>
        </is>
      </c>
    </row>
    <row r="899">
      <c r="A899" s="19" t="n">
        <v>898</v>
      </c>
      <c r="B899" s="20" t="n">
        <v>46464</v>
      </c>
      <c r="C899" s="21" t="n">
        <v>6</v>
      </c>
      <c r="D899" s="25" t="inlineStr">
        <is>
          <t>Payout</t>
        </is>
      </c>
      <c r="E899" s="19" t="inlineStr">
        <is>
          <t>Astrofund</t>
        </is>
      </c>
      <c r="F899" s="19" t="inlineStr">
        <is>
          <t>#220 1 Step 100k</t>
        </is>
      </c>
      <c r="G899" s="22" t="n">
        <v>100000</v>
      </c>
      <c r="H899" s="22" t="n">
        <v>9000</v>
      </c>
      <c r="I899" s="22" t="n">
        <v>1995847.15</v>
      </c>
      <c r="J899" s="19" t="inlineStr">
        <is>
          <t>10 % × 100,000 × split 90%</t>
        </is>
      </c>
    </row>
    <row r="900">
      <c r="A900" s="13" t="n">
        <v>899</v>
      </c>
      <c r="B900" s="14" t="n">
        <v>46464</v>
      </c>
      <c r="C900" s="15" t="n">
        <v>6</v>
      </c>
      <c r="D900" s="25" t="inlineStr">
        <is>
          <t>Payout</t>
        </is>
      </c>
      <c r="E900" s="13" t="inlineStr">
        <is>
          <t>Astrofund</t>
        </is>
      </c>
      <c r="F900" s="13" t="inlineStr">
        <is>
          <t>#221 1 Step 100k</t>
        </is>
      </c>
      <c r="G900" s="17" t="n">
        <v>100000</v>
      </c>
      <c r="H900" s="17" t="n">
        <v>9000</v>
      </c>
      <c r="I900" s="17" t="n">
        <v>2004847.15</v>
      </c>
      <c r="J900" s="13" t="inlineStr">
        <is>
          <t>10 % × 100,000 × split 90%</t>
        </is>
      </c>
    </row>
    <row r="901">
      <c r="A901" s="19" t="n">
        <v>900</v>
      </c>
      <c r="B901" s="20" t="n">
        <v>46464</v>
      </c>
      <c r="C901" s="21" t="n">
        <v>6</v>
      </c>
      <c r="D901" s="25" t="inlineStr">
        <is>
          <t>Payout</t>
        </is>
      </c>
      <c r="E901" s="19" t="inlineStr">
        <is>
          <t>Astrofund</t>
        </is>
      </c>
      <c r="F901" s="19" t="inlineStr">
        <is>
          <t>#222 1 Step 100k</t>
        </is>
      </c>
      <c r="G901" s="22" t="n">
        <v>100000</v>
      </c>
      <c r="H901" s="22" t="n">
        <v>9000</v>
      </c>
      <c r="I901" s="22" t="n">
        <v>2013847.15</v>
      </c>
      <c r="J901" s="19" t="inlineStr">
        <is>
          <t>10 % × 100,000 × split 90%</t>
        </is>
      </c>
    </row>
    <row r="902">
      <c r="A902" s="13" t="n">
        <v>901</v>
      </c>
      <c r="B902" s="14" t="n">
        <v>46464</v>
      </c>
      <c r="C902" s="15" t="n">
        <v>6</v>
      </c>
      <c r="D902" s="25" t="inlineStr">
        <is>
          <t>Payout</t>
        </is>
      </c>
      <c r="E902" s="13" t="inlineStr">
        <is>
          <t>BrightFunded</t>
        </is>
      </c>
      <c r="F902" s="13" t="inlineStr">
        <is>
          <t>#223 1 Step 200k</t>
        </is>
      </c>
      <c r="G902" s="17" t="n">
        <v>200000</v>
      </c>
      <c r="H902" s="17" t="n">
        <v>20000</v>
      </c>
      <c r="I902" s="17" t="n">
        <v>2033847.15</v>
      </c>
      <c r="J902" s="13" t="inlineStr">
        <is>
          <t>10 % × 200,000 × split 100%</t>
        </is>
      </c>
    </row>
    <row r="903">
      <c r="A903" s="19" t="n">
        <v>902</v>
      </c>
      <c r="B903" s="20" t="n">
        <v>46464</v>
      </c>
      <c r="C903" s="21" t="n">
        <v>6</v>
      </c>
      <c r="D903" s="25" t="inlineStr">
        <is>
          <t>Payout</t>
        </is>
      </c>
      <c r="E903" s="19" t="inlineStr">
        <is>
          <t>BrightFunded</t>
        </is>
      </c>
      <c r="F903" s="19" t="inlineStr">
        <is>
          <t>#224 1 Step 200k</t>
        </is>
      </c>
      <c r="G903" s="22" t="n">
        <v>200000</v>
      </c>
      <c r="H903" s="22" t="n">
        <v>20000</v>
      </c>
      <c r="I903" s="22" t="n">
        <v>2053847.15</v>
      </c>
      <c r="J903" s="19" t="inlineStr">
        <is>
          <t>10 % × 200,000 × split 100%</t>
        </is>
      </c>
    </row>
    <row r="904">
      <c r="A904" s="13" t="n">
        <v>903</v>
      </c>
      <c r="B904" s="14" t="n">
        <v>46464</v>
      </c>
      <c r="C904" s="15" t="n">
        <v>6</v>
      </c>
      <c r="D904" s="25" t="inlineStr">
        <is>
          <t>Payout</t>
        </is>
      </c>
      <c r="E904" s="13" t="inlineStr">
        <is>
          <t>FTMO</t>
        </is>
      </c>
      <c r="F904" s="13" t="inlineStr">
        <is>
          <t>#227 1 Step 200k</t>
        </is>
      </c>
      <c r="G904" s="17" t="n">
        <v>200000</v>
      </c>
      <c r="H904" s="17" t="n">
        <v>16000</v>
      </c>
      <c r="I904" s="17" t="n">
        <v>2069847.15</v>
      </c>
      <c r="J904" s="13" t="inlineStr">
        <is>
          <t>10 % × 200,000 × split 80%</t>
        </is>
      </c>
    </row>
    <row r="905">
      <c r="A905" s="19" t="n">
        <v>904</v>
      </c>
      <c r="B905" s="20" t="n">
        <v>46464</v>
      </c>
      <c r="C905" s="21" t="n">
        <v>6</v>
      </c>
      <c r="D905" s="25" t="inlineStr">
        <is>
          <t>Payout</t>
        </is>
      </c>
      <c r="E905" s="19" t="inlineStr">
        <is>
          <t>FTMO</t>
        </is>
      </c>
      <c r="F905" s="19" t="inlineStr">
        <is>
          <t>#228 1 Step 200k</t>
        </is>
      </c>
      <c r="G905" s="22" t="n">
        <v>200000</v>
      </c>
      <c r="H905" s="22" t="n">
        <v>16000</v>
      </c>
      <c r="I905" s="22" t="n">
        <v>2085847.15</v>
      </c>
      <c r="J905" s="19" t="inlineStr">
        <is>
          <t>10 % × 200,000 × split 80%</t>
        </is>
      </c>
    </row>
    <row r="906">
      <c r="A906" s="13" t="n">
        <v>905</v>
      </c>
      <c r="B906" s="14" t="n">
        <v>46464</v>
      </c>
      <c r="C906" s="15" t="n">
        <v>6</v>
      </c>
      <c r="D906" s="25" t="inlineStr">
        <is>
          <t>Payout</t>
        </is>
      </c>
      <c r="E906" s="13" t="inlineStr">
        <is>
          <t>Funded X</t>
        </is>
      </c>
      <c r="F906" s="13" t="inlineStr">
        <is>
          <t>#229 1 Step 200k</t>
        </is>
      </c>
      <c r="G906" s="17" t="n">
        <v>200000</v>
      </c>
      <c r="H906" s="17" t="n">
        <v>20000</v>
      </c>
      <c r="I906" s="17" t="n">
        <v>2105847.15</v>
      </c>
      <c r="J906" s="13" t="inlineStr">
        <is>
          <t>10 % × 200,000 × split 100%</t>
        </is>
      </c>
    </row>
    <row r="907">
      <c r="A907" s="19" t="n">
        <v>906</v>
      </c>
      <c r="B907" s="20" t="n">
        <v>46464</v>
      </c>
      <c r="C907" s="21" t="n">
        <v>6</v>
      </c>
      <c r="D907" s="25" t="inlineStr">
        <is>
          <t>Payout</t>
        </is>
      </c>
      <c r="E907" s="19" t="inlineStr">
        <is>
          <t>Funded X</t>
        </is>
      </c>
      <c r="F907" s="19" t="inlineStr">
        <is>
          <t>#230 1 Step 200k</t>
        </is>
      </c>
      <c r="G907" s="22" t="n">
        <v>200000</v>
      </c>
      <c r="H907" s="22" t="n">
        <v>20000</v>
      </c>
      <c r="I907" s="22" t="n">
        <v>2125847.15</v>
      </c>
      <c r="J907" s="19" t="inlineStr">
        <is>
          <t>10 % × 200,000 × split 100%</t>
        </is>
      </c>
    </row>
    <row r="908">
      <c r="A908" s="13" t="n">
        <v>907</v>
      </c>
      <c r="B908" s="14" t="n">
        <v>46464</v>
      </c>
      <c r="C908" s="15" t="n">
        <v>6</v>
      </c>
      <c r="D908" s="26" t="inlineStr">
        <is>
          <t>Achat challenge</t>
        </is>
      </c>
      <c r="E908" s="13" t="inlineStr">
        <is>
          <t>LifeUp Trading</t>
        </is>
      </c>
      <c r="F908" s="13" t="inlineStr">
        <is>
          <t>#257 1 Step 150k</t>
        </is>
      </c>
      <c r="G908" s="17" t="n">
        <v>150000</v>
      </c>
      <c r="H908" s="17" t="n">
        <v>-320000</v>
      </c>
      <c r="I908" s="17" t="n">
        <v>1805847.15</v>
      </c>
      <c r="J908" s="13" t="inlineStr">
        <is>
          <t>Groupe B – rang 50 – financement prévu le 15/04/2027 (objectif objectif par défaut (non renseigné))</t>
        </is>
      </c>
    </row>
    <row r="909">
      <c r="A909" s="19" t="n">
        <v>908</v>
      </c>
      <c r="B909" s="20" t="n">
        <v>46464</v>
      </c>
      <c r="C909" s="21" t="n">
        <v>6</v>
      </c>
      <c r="D909" s="26" t="inlineStr">
        <is>
          <t>Achat challenge</t>
        </is>
      </c>
      <c r="E909" s="19" t="inlineStr">
        <is>
          <t>MFunded (MarketsVox)</t>
        </is>
      </c>
      <c r="F909" s="19" t="inlineStr">
        <is>
          <t>#258 2 Step 100k</t>
        </is>
      </c>
      <c r="G909" s="22" t="n">
        <v>100000</v>
      </c>
      <c r="H909" s="22" t="n">
        <v>-399</v>
      </c>
      <c r="I909" s="22" t="n">
        <v>1805448.15</v>
      </c>
      <c r="J909" s="19" t="inlineStr">
        <is>
          <t>Groupe B – rang 83 – financement prévu le 29/04/2027 (objectif objectif par défaut (non renseigné))</t>
        </is>
      </c>
    </row>
    <row r="910">
      <c r="A910" s="13" t="n">
        <v>909</v>
      </c>
      <c r="B910" s="14" t="n">
        <v>46464</v>
      </c>
      <c r="C910" s="15" t="n">
        <v>6</v>
      </c>
      <c r="D910" s="26" t="inlineStr">
        <is>
          <t>Achat challenge</t>
        </is>
      </c>
      <c r="E910" s="13" t="inlineStr">
        <is>
          <t>Monevis</t>
        </is>
      </c>
      <c r="F910" s="13" t="inlineStr">
        <is>
          <t>#259 3 Step 100k</t>
        </is>
      </c>
      <c r="G910" s="17" t="n">
        <v>100000</v>
      </c>
      <c r="H910" s="17" t="n">
        <v>-385</v>
      </c>
      <c r="I910" s="17" t="n">
        <v>1805063.15</v>
      </c>
      <c r="J910" s="13" t="inlineStr">
        <is>
          <t>Groupe B – rang 84 – financement prévu le 29/04/2027 (objectif 4% (+5 % par phase non renseignée))</t>
        </is>
      </c>
    </row>
    <row r="911">
      <c r="A911" s="19" t="n">
        <v>910</v>
      </c>
      <c r="B911" s="20" t="n">
        <v>46478</v>
      </c>
      <c r="C911" s="21" t="n">
        <v>6.5</v>
      </c>
      <c r="D911" s="24" t="inlineStr">
        <is>
          <t>Financement</t>
        </is>
      </c>
      <c r="E911" s="19" t="inlineStr">
        <is>
          <t>Fundora</t>
        </is>
      </c>
      <c r="F911" s="19" t="inlineStr">
        <is>
          <t>#236 2 Step 400k</t>
        </is>
      </c>
      <c r="G911" s="22" t="n">
        <v>400000</v>
      </c>
      <c r="H911" s="22" t="n">
        <v>0</v>
      </c>
      <c r="I911" s="22" t="n">
        <v>1805063.15</v>
      </c>
      <c r="J911" s="19" t="inlineStr">
        <is>
          <t>Évaluation réussie (objectif par défaut (non renseigné)) – 1er payout le 29/04/2027</t>
        </is>
      </c>
    </row>
    <row r="912">
      <c r="A912" s="13" t="n">
        <v>911</v>
      </c>
      <c r="B912" s="14" t="n">
        <v>46478</v>
      </c>
      <c r="C912" s="15" t="n">
        <v>6.5</v>
      </c>
      <c r="D912" s="24" t="inlineStr">
        <is>
          <t>Financement</t>
        </is>
      </c>
      <c r="E912" s="13" t="inlineStr">
        <is>
          <t>Lion Heart Funding</t>
        </is>
      </c>
      <c r="F912" s="13" t="inlineStr">
        <is>
          <t>#242 2 Step 400k</t>
        </is>
      </c>
      <c r="G912" s="17" t="n">
        <v>400000</v>
      </c>
      <c r="H912" s="17" t="n">
        <v>0</v>
      </c>
      <c r="I912" s="17" t="n">
        <v>1805063.15</v>
      </c>
      <c r="J912" s="13" t="inlineStr">
        <is>
          <t>Évaluation réussie (8%-5%) – 1er payout le 29/04/2027</t>
        </is>
      </c>
    </row>
    <row r="913">
      <c r="A913" s="19" t="n">
        <v>912</v>
      </c>
      <c r="B913" s="20" t="n">
        <v>46478</v>
      </c>
      <c r="C913" s="21" t="n">
        <v>6.5</v>
      </c>
      <c r="D913" s="24" t="inlineStr">
        <is>
          <t>Financement</t>
        </is>
      </c>
      <c r="E913" s="19" t="inlineStr">
        <is>
          <t>FX2 Funding</t>
        </is>
      </c>
      <c r="F913" s="19" t="inlineStr">
        <is>
          <t>#243 2 Step 100k</t>
        </is>
      </c>
      <c r="G913" s="22" t="n">
        <v>100000</v>
      </c>
      <c r="H913" s="22" t="n">
        <v>0</v>
      </c>
      <c r="I913" s="22" t="n">
        <v>1805063.15</v>
      </c>
      <c r="J913" s="19" t="inlineStr">
        <is>
          <t>Évaluation réussie (8% - 5%) – 1er payout le 29/04/2027</t>
        </is>
      </c>
    </row>
    <row r="914">
      <c r="A914" s="13" t="n">
        <v>913</v>
      </c>
      <c r="B914" s="14" t="n">
        <v>46478</v>
      </c>
      <c r="C914" s="15" t="n">
        <v>6.5</v>
      </c>
      <c r="D914" s="24" t="inlineStr">
        <is>
          <t>Financement</t>
        </is>
      </c>
      <c r="E914" s="13" t="inlineStr">
        <is>
          <t>FX2 Funding</t>
        </is>
      </c>
      <c r="F914" s="13" t="inlineStr">
        <is>
          <t>#244 2 Step 100k</t>
        </is>
      </c>
      <c r="G914" s="17" t="n">
        <v>100000</v>
      </c>
      <c r="H914" s="17" t="n">
        <v>0</v>
      </c>
      <c r="I914" s="17" t="n">
        <v>1805063.15</v>
      </c>
      <c r="J914" s="13" t="inlineStr">
        <is>
          <t>Évaluation réussie (8% - 5%) – 1er payout le 29/04/2027</t>
        </is>
      </c>
    </row>
    <row r="915">
      <c r="A915" s="19" t="n">
        <v>914</v>
      </c>
      <c r="B915" s="20" t="n">
        <v>46478</v>
      </c>
      <c r="C915" s="21" t="n">
        <v>6.5</v>
      </c>
      <c r="D915" s="24" t="inlineStr">
        <is>
          <t>Financement</t>
        </is>
      </c>
      <c r="E915" s="19" t="inlineStr">
        <is>
          <t>FX2 Funding</t>
        </is>
      </c>
      <c r="F915" s="19" t="inlineStr">
        <is>
          <t>#245 2 Step 100k</t>
        </is>
      </c>
      <c r="G915" s="22" t="n">
        <v>100000</v>
      </c>
      <c r="H915" s="22" t="n">
        <v>0</v>
      </c>
      <c r="I915" s="22" t="n">
        <v>1805063.15</v>
      </c>
      <c r="J915" s="19" t="inlineStr">
        <is>
          <t>Évaluation réussie (8% - 5%) – 1er payout le 29/04/2027</t>
        </is>
      </c>
    </row>
    <row r="916">
      <c r="A916" s="13" t="n">
        <v>915</v>
      </c>
      <c r="B916" s="14" t="n">
        <v>46478</v>
      </c>
      <c r="C916" s="15" t="n">
        <v>6.5</v>
      </c>
      <c r="D916" s="24" t="inlineStr">
        <is>
          <t>Financement</t>
        </is>
      </c>
      <c r="E916" s="13" t="inlineStr">
        <is>
          <t>AIFO</t>
        </is>
      </c>
      <c r="F916" s="13" t="inlineStr">
        <is>
          <t>#247 2 Step 200k</t>
        </is>
      </c>
      <c r="G916" s="17" t="n">
        <v>200000</v>
      </c>
      <c r="H916" s="17" t="n">
        <v>0</v>
      </c>
      <c r="I916" s="17" t="n">
        <v>1805063.15</v>
      </c>
      <c r="J916" s="13" t="inlineStr">
        <is>
          <t>Évaluation réussie (objectif par défaut (non renseigné)) – 1er payout le 29/04/2027</t>
        </is>
      </c>
    </row>
    <row r="917">
      <c r="A917" s="19" t="n">
        <v>916</v>
      </c>
      <c r="B917" s="20" t="n">
        <v>46478</v>
      </c>
      <c r="C917" s="21" t="n">
        <v>6.5</v>
      </c>
      <c r="D917" s="24" t="inlineStr">
        <is>
          <t>Financement</t>
        </is>
      </c>
      <c r="E917" s="19" t="inlineStr">
        <is>
          <t>BEM Funding</t>
        </is>
      </c>
      <c r="F917" s="19" t="inlineStr">
        <is>
          <t>#248 2 Step 100k</t>
        </is>
      </c>
      <c r="G917" s="22" t="n">
        <v>100000</v>
      </c>
      <c r="H917" s="22" t="n">
        <v>0</v>
      </c>
      <c r="I917" s="22" t="n">
        <v>1805063.15</v>
      </c>
      <c r="J917" s="19" t="inlineStr">
        <is>
          <t>Évaluation réussie (9%-4.5%) – 1er payout le 29/04/2027</t>
        </is>
      </c>
    </row>
    <row r="918">
      <c r="A918" s="13" t="n">
        <v>917</v>
      </c>
      <c r="B918" s="14" t="n">
        <v>46478</v>
      </c>
      <c r="C918" s="15" t="n">
        <v>6.5</v>
      </c>
      <c r="D918" s="24" t="inlineStr">
        <is>
          <t>Financement</t>
        </is>
      </c>
      <c r="E918" s="13" t="inlineStr">
        <is>
          <t>BullRush</t>
        </is>
      </c>
      <c r="F918" s="13" t="inlineStr">
        <is>
          <t>#250 2 Step 200k</t>
        </is>
      </c>
      <c r="G918" s="17" t="n">
        <v>200000</v>
      </c>
      <c r="H918" s="17" t="n">
        <v>0</v>
      </c>
      <c r="I918" s="17" t="n">
        <v>1805063.15</v>
      </c>
      <c r="J918" s="13" t="inlineStr">
        <is>
          <t>Évaluation réussie (10%-5%) – 1er payout le 29/04/2027</t>
        </is>
      </c>
    </row>
    <row r="919">
      <c r="A919" s="19" t="n">
        <v>918</v>
      </c>
      <c r="B919" s="20" t="n">
        <v>46478</v>
      </c>
      <c r="C919" s="21" t="n">
        <v>6.5</v>
      </c>
      <c r="D919" s="24" t="inlineStr">
        <is>
          <t>Financement</t>
        </is>
      </c>
      <c r="E919" s="19" t="inlineStr">
        <is>
          <t>Exclusive Funded Programme</t>
        </is>
      </c>
      <c r="F919" s="19" t="inlineStr">
        <is>
          <t>#251 2 Step 200k</t>
        </is>
      </c>
      <c r="G919" s="22" t="n">
        <v>200000</v>
      </c>
      <c r="H919" s="22" t="n">
        <v>0</v>
      </c>
      <c r="I919" s="22" t="n">
        <v>1805063.15</v>
      </c>
      <c r="J919" s="19" t="inlineStr">
        <is>
          <t>Évaluation réussie (7%-5%) – 1er payout le 29/04/2027</t>
        </is>
      </c>
    </row>
    <row r="920">
      <c r="A920" s="13" t="n">
        <v>919</v>
      </c>
      <c r="B920" s="14" t="n">
        <v>46478</v>
      </c>
      <c r="C920" s="15" t="n">
        <v>6.5</v>
      </c>
      <c r="D920" s="24" t="inlineStr">
        <is>
          <t>Financement</t>
        </is>
      </c>
      <c r="E920" s="13" t="inlineStr">
        <is>
          <t>FunderPro</t>
        </is>
      </c>
      <c r="F920" s="13" t="inlineStr">
        <is>
          <t>#252 1 Step 200k</t>
        </is>
      </c>
      <c r="G920" s="17" t="n">
        <v>200000</v>
      </c>
      <c r="H920" s="17" t="n">
        <v>0</v>
      </c>
      <c r="I920" s="17" t="n">
        <v>1805063.15</v>
      </c>
      <c r="J920" s="13" t="inlineStr">
        <is>
          <t>Évaluation réussie (14%) – 1er payout le 29/04/2027</t>
        </is>
      </c>
    </row>
    <row r="921">
      <c r="A921" s="19" t="n">
        <v>920</v>
      </c>
      <c r="B921" s="20" t="n">
        <v>46478</v>
      </c>
      <c r="C921" s="21" t="n">
        <v>6.5</v>
      </c>
      <c r="D921" s="24" t="inlineStr">
        <is>
          <t>Financement</t>
        </is>
      </c>
      <c r="E921" s="19" t="inlineStr">
        <is>
          <t>Funding Your Trades</t>
        </is>
      </c>
      <c r="F921" s="19" t="inlineStr">
        <is>
          <t>#253 2 Step 100k</t>
        </is>
      </c>
      <c r="G921" s="22" t="n">
        <v>100000</v>
      </c>
      <c r="H921" s="22" t="n">
        <v>0</v>
      </c>
      <c r="I921" s="22" t="n">
        <v>1805063.15</v>
      </c>
      <c r="J921" s="19" t="inlineStr">
        <is>
          <t>Évaluation réussie (10% (+5 % par phase non renseignée)) – 1er payout le 29/04/2027</t>
        </is>
      </c>
    </row>
    <row r="922">
      <c r="A922" s="13" t="n">
        <v>921</v>
      </c>
      <c r="B922" s="14" t="n">
        <v>46478</v>
      </c>
      <c r="C922" s="15" t="n">
        <v>6.5</v>
      </c>
      <c r="D922" s="24" t="inlineStr">
        <is>
          <t>Financement</t>
        </is>
      </c>
      <c r="E922" s="13" t="inlineStr">
        <is>
          <t>Mubite</t>
        </is>
      </c>
      <c r="F922" s="13" t="inlineStr">
        <is>
          <t>#255 2 Step 200k</t>
        </is>
      </c>
      <c r="G922" s="17" t="n">
        <v>200000</v>
      </c>
      <c r="H922" s="17" t="n">
        <v>0</v>
      </c>
      <c r="I922" s="17" t="n">
        <v>1805063.15</v>
      </c>
      <c r="J922" s="13" t="inlineStr">
        <is>
          <t>Évaluation réussie (10%-5%) – 1er payout le 29/04/2027</t>
        </is>
      </c>
    </row>
    <row r="923">
      <c r="A923" s="19" t="n">
        <v>922</v>
      </c>
      <c r="B923" s="20" t="n">
        <v>46478</v>
      </c>
      <c r="C923" s="21" t="n">
        <v>6.5</v>
      </c>
      <c r="D923" s="25" t="inlineStr">
        <is>
          <t>Payout</t>
        </is>
      </c>
      <c r="E923" s="19" t="inlineStr">
        <is>
          <t>BestProp4U</t>
        </is>
      </c>
      <c r="F923" s="19" t="inlineStr">
        <is>
          <t>#149 2 Step 400k</t>
        </is>
      </c>
      <c r="G923" s="22" t="n">
        <v>400000</v>
      </c>
      <c r="H923" s="22" t="n">
        <v>24000</v>
      </c>
      <c r="I923" s="22" t="n">
        <v>1829063.15</v>
      </c>
      <c r="J923" s="19" t="inlineStr">
        <is>
          <t>10 % × 400,000 × split 60%</t>
        </is>
      </c>
    </row>
    <row r="924">
      <c r="A924" s="13" t="n">
        <v>923</v>
      </c>
      <c r="B924" s="14" t="n">
        <v>46478</v>
      </c>
      <c r="C924" s="15" t="n">
        <v>6.5</v>
      </c>
      <c r="D924" s="25" t="inlineStr">
        <is>
          <t>Payout</t>
        </is>
      </c>
      <c r="E924" s="13" t="inlineStr">
        <is>
          <t>BestProp4U</t>
        </is>
      </c>
      <c r="F924" s="13" t="inlineStr">
        <is>
          <t>#150 2 Step 400k</t>
        </is>
      </c>
      <c r="G924" s="17" t="n">
        <v>400000</v>
      </c>
      <c r="H924" s="17" t="n">
        <v>24000</v>
      </c>
      <c r="I924" s="17" t="n">
        <v>1853063.15</v>
      </c>
      <c r="J924" s="13" t="inlineStr">
        <is>
          <t>10 % × 400,000 × split 60%</t>
        </is>
      </c>
    </row>
    <row r="925">
      <c r="A925" s="19" t="n">
        <v>924</v>
      </c>
      <c r="B925" s="20" t="n">
        <v>46478</v>
      </c>
      <c r="C925" s="21" t="n">
        <v>6.5</v>
      </c>
      <c r="D925" s="25" t="inlineStr">
        <is>
          <t>Payout</t>
        </is>
      </c>
      <c r="E925" s="19" t="inlineStr">
        <is>
          <t>Blink Funding</t>
        </is>
      </c>
      <c r="F925" s="19" t="inlineStr">
        <is>
          <t>#151 3 Step 500k</t>
        </is>
      </c>
      <c r="G925" s="22" t="n">
        <v>500000</v>
      </c>
      <c r="H925" s="22" t="n">
        <v>37500</v>
      </c>
      <c r="I925" s="22" t="n">
        <v>1890563.15</v>
      </c>
      <c r="J925" s="19" t="inlineStr">
        <is>
          <t>10 % × 500,000 × split 75%</t>
        </is>
      </c>
    </row>
    <row r="926">
      <c r="A926" s="13" t="n">
        <v>925</v>
      </c>
      <c r="B926" s="14" t="n">
        <v>46478</v>
      </c>
      <c r="C926" s="15" t="n">
        <v>6.5</v>
      </c>
      <c r="D926" s="25" t="inlineStr">
        <is>
          <t>Payout</t>
        </is>
      </c>
      <c r="E926" s="13" t="inlineStr">
        <is>
          <t>Blink Funding</t>
        </is>
      </c>
      <c r="F926" s="13" t="inlineStr">
        <is>
          <t>#152 3 Step 500k</t>
        </is>
      </c>
      <c r="G926" s="17" t="n">
        <v>500000</v>
      </c>
      <c r="H926" s="17" t="n">
        <v>37500</v>
      </c>
      <c r="I926" s="17" t="n">
        <v>1928063.15</v>
      </c>
      <c r="J926" s="13" t="inlineStr">
        <is>
          <t>10 % × 500,000 × split 75%</t>
        </is>
      </c>
    </row>
    <row r="927">
      <c r="A927" s="19" t="n">
        <v>926</v>
      </c>
      <c r="B927" s="20" t="n">
        <v>46478</v>
      </c>
      <c r="C927" s="21" t="n">
        <v>6.5</v>
      </c>
      <c r="D927" s="25" t="inlineStr">
        <is>
          <t>Payout</t>
        </is>
      </c>
      <c r="E927" s="19" t="inlineStr">
        <is>
          <t>Investiqa</t>
        </is>
      </c>
      <c r="F927" s="19" t="inlineStr">
        <is>
          <t>#162 2 Step 500k</t>
        </is>
      </c>
      <c r="G927" s="22" t="n">
        <v>500000</v>
      </c>
      <c r="H927" s="22" t="n">
        <v>40000</v>
      </c>
      <c r="I927" s="22" t="n">
        <v>1968063.15</v>
      </c>
      <c r="J927" s="19" t="inlineStr">
        <is>
          <t>10 % × 500,000 × split 80%</t>
        </is>
      </c>
    </row>
    <row r="928">
      <c r="A928" s="13" t="n">
        <v>927</v>
      </c>
      <c r="B928" s="14" t="n">
        <v>46478</v>
      </c>
      <c r="C928" s="15" t="n">
        <v>6.5</v>
      </c>
      <c r="D928" s="25" t="inlineStr">
        <is>
          <t>Payout</t>
        </is>
      </c>
      <c r="E928" s="13" t="inlineStr">
        <is>
          <t>Investiqa</t>
        </is>
      </c>
      <c r="F928" s="13" t="inlineStr">
        <is>
          <t>#163 2 Step 500k</t>
        </is>
      </c>
      <c r="G928" s="17" t="n">
        <v>500000</v>
      </c>
      <c r="H928" s="17" t="n">
        <v>40000</v>
      </c>
      <c r="I928" s="17" t="n">
        <v>2008063.15</v>
      </c>
      <c r="J928" s="13" t="inlineStr">
        <is>
          <t>10 % × 500,000 × split 80%</t>
        </is>
      </c>
    </row>
    <row r="929">
      <c r="A929" s="19" t="n">
        <v>928</v>
      </c>
      <c r="B929" s="20" t="n">
        <v>46478</v>
      </c>
      <c r="C929" s="21" t="n">
        <v>6.5</v>
      </c>
      <c r="D929" s="25" t="inlineStr">
        <is>
          <t>Payout</t>
        </is>
      </c>
      <c r="E929" s="19" t="inlineStr">
        <is>
          <t>FXIFY</t>
        </is>
      </c>
      <c r="F929" s="19" t="inlineStr">
        <is>
          <t>#166 3 Step 400k</t>
        </is>
      </c>
      <c r="G929" s="22" t="n">
        <v>400000</v>
      </c>
      <c r="H929" s="22" t="n">
        <v>36000</v>
      </c>
      <c r="I929" s="22" t="n">
        <v>2044063.15</v>
      </c>
      <c r="J929" s="19" t="inlineStr">
        <is>
          <t>10 % × 400,000 × split 90%</t>
        </is>
      </c>
    </row>
    <row r="930">
      <c r="A930" s="13" t="n">
        <v>929</v>
      </c>
      <c r="B930" s="14" t="n">
        <v>46478</v>
      </c>
      <c r="C930" s="15" t="n">
        <v>6.5</v>
      </c>
      <c r="D930" s="25" t="inlineStr">
        <is>
          <t>Payout</t>
        </is>
      </c>
      <c r="E930" s="13" t="inlineStr">
        <is>
          <t>FXIFY</t>
        </is>
      </c>
      <c r="F930" s="13" t="inlineStr">
        <is>
          <t>#167 3 Step 400k</t>
        </is>
      </c>
      <c r="G930" s="17" t="n">
        <v>400000</v>
      </c>
      <c r="H930" s="17" t="n">
        <v>36000</v>
      </c>
      <c r="I930" s="17" t="n">
        <v>2080063.15</v>
      </c>
      <c r="J930" s="13" t="inlineStr">
        <is>
          <t>10 % × 400,000 × split 90%</t>
        </is>
      </c>
    </row>
    <row r="931">
      <c r="A931" s="19" t="n">
        <v>930</v>
      </c>
      <c r="B931" s="20" t="n">
        <v>46478</v>
      </c>
      <c r="C931" s="21" t="n">
        <v>6.5</v>
      </c>
      <c r="D931" s="25" t="inlineStr">
        <is>
          <t>Payout</t>
        </is>
      </c>
      <c r="E931" s="19" t="inlineStr">
        <is>
          <t>Funded Squad</t>
        </is>
      </c>
      <c r="F931" s="19" t="inlineStr">
        <is>
          <t>#168 2 Step 200k</t>
        </is>
      </c>
      <c r="G931" s="22" t="n">
        <v>200000</v>
      </c>
      <c r="H931" s="22" t="n">
        <v>20000</v>
      </c>
      <c r="I931" s="22" t="n">
        <v>2100063.15</v>
      </c>
      <c r="J931" s="19" t="inlineStr">
        <is>
          <t>10 % × 200,000 × split 100%</t>
        </is>
      </c>
    </row>
    <row r="932">
      <c r="A932" s="13" t="n">
        <v>931</v>
      </c>
      <c r="B932" s="14" t="n">
        <v>46478</v>
      </c>
      <c r="C932" s="15" t="n">
        <v>6.5</v>
      </c>
      <c r="D932" s="25" t="inlineStr">
        <is>
          <t>Payout</t>
        </is>
      </c>
      <c r="E932" s="13" t="inlineStr">
        <is>
          <t>Funded Squad</t>
        </is>
      </c>
      <c r="F932" s="13" t="inlineStr">
        <is>
          <t>#169 2 Step 200k</t>
        </is>
      </c>
      <c r="G932" s="17" t="n">
        <v>200000</v>
      </c>
      <c r="H932" s="17" t="n">
        <v>20000</v>
      </c>
      <c r="I932" s="17" t="n">
        <v>2120063.15</v>
      </c>
      <c r="J932" s="13" t="inlineStr">
        <is>
          <t>10 % × 200,000 × split 100%</t>
        </is>
      </c>
    </row>
    <row r="933">
      <c r="A933" s="19" t="n">
        <v>932</v>
      </c>
      <c r="B933" s="20" t="n">
        <v>46478</v>
      </c>
      <c r="C933" s="21" t="n">
        <v>6.5</v>
      </c>
      <c r="D933" s="25" t="inlineStr">
        <is>
          <t>Payout</t>
        </is>
      </c>
      <c r="E933" s="19" t="inlineStr">
        <is>
          <t>Funded Squad</t>
        </is>
      </c>
      <c r="F933" s="19" t="inlineStr">
        <is>
          <t>#170 2 Step 200k</t>
        </is>
      </c>
      <c r="G933" s="22" t="n">
        <v>200000</v>
      </c>
      <c r="H933" s="22" t="n">
        <v>20000</v>
      </c>
      <c r="I933" s="22" t="n">
        <v>2140063.15</v>
      </c>
      <c r="J933" s="19" t="inlineStr">
        <is>
          <t>10 % × 200,000 × split 100%</t>
        </is>
      </c>
    </row>
    <row r="934">
      <c r="A934" s="13" t="n">
        <v>933</v>
      </c>
      <c r="B934" s="14" t="n">
        <v>46478</v>
      </c>
      <c r="C934" s="15" t="n">
        <v>6.5</v>
      </c>
      <c r="D934" s="25" t="inlineStr">
        <is>
          <t>Payout</t>
        </is>
      </c>
      <c r="E934" s="13" t="inlineStr">
        <is>
          <t>Funded Squad</t>
        </is>
      </c>
      <c r="F934" s="13" t="inlineStr">
        <is>
          <t>#171 2 Step 200k</t>
        </is>
      </c>
      <c r="G934" s="17" t="n">
        <v>200000</v>
      </c>
      <c r="H934" s="17" t="n">
        <v>20000</v>
      </c>
      <c r="I934" s="17" t="n">
        <v>2160063.15</v>
      </c>
      <c r="J934" s="13" t="inlineStr">
        <is>
          <t>10 % × 200,000 × split 100%</t>
        </is>
      </c>
    </row>
    <row r="935">
      <c r="A935" s="19" t="n">
        <v>934</v>
      </c>
      <c r="B935" s="20" t="n">
        <v>46478</v>
      </c>
      <c r="C935" s="21" t="n">
        <v>6.5</v>
      </c>
      <c r="D935" s="25" t="inlineStr">
        <is>
          <t>Payout</t>
        </is>
      </c>
      <c r="E935" s="19" t="inlineStr">
        <is>
          <t>Fintokei</t>
        </is>
      </c>
      <c r="F935" s="19" t="inlineStr">
        <is>
          <t>#189 3 Step 100k</t>
        </is>
      </c>
      <c r="G935" s="22" t="n">
        <v>100000</v>
      </c>
      <c r="H935" s="22" t="n">
        <v>10000</v>
      </c>
      <c r="I935" s="22" t="n">
        <v>2170063.15</v>
      </c>
      <c r="J935" s="19" t="inlineStr">
        <is>
          <t>10 % × 100,000 × split 100%</t>
        </is>
      </c>
    </row>
    <row r="936">
      <c r="A936" s="13" t="n">
        <v>935</v>
      </c>
      <c r="B936" s="14" t="n">
        <v>46478</v>
      </c>
      <c r="C936" s="15" t="n">
        <v>6.5</v>
      </c>
      <c r="D936" s="25" t="inlineStr">
        <is>
          <t>Payout</t>
        </is>
      </c>
      <c r="E936" s="13" t="inlineStr">
        <is>
          <t>Fintokei</t>
        </is>
      </c>
      <c r="F936" s="13" t="inlineStr">
        <is>
          <t>#190 3 Step 100k</t>
        </is>
      </c>
      <c r="G936" s="17" t="n">
        <v>100000</v>
      </c>
      <c r="H936" s="17" t="n">
        <v>10000</v>
      </c>
      <c r="I936" s="17" t="n">
        <v>2180063.15</v>
      </c>
      <c r="J936" s="13" t="inlineStr">
        <is>
          <t>10 % × 100,000 × split 100%</t>
        </is>
      </c>
    </row>
    <row r="937">
      <c r="A937" s="19" t="n">
        <v>936</v>
      </c>
      <c r="B937" s="20" t="n">
        <v>46478</v>
      </c>
      <c r="C937" s="21" t="n">
        <v>6.5</v>
      </c>
      <c r="D937" s="25" t="inlineStr">
        <is>
          <t>Payout</t>
        </is>
      </c>
      <c r="E937" s="19" t="inlineStr">
        <is>
          <t>Fintokei</t>
        </is>
      </c>
      <c r="F937" s="19" t="inlineStr">
        <is>
          <t>#191 3 Step 100k</t>
        </is>
      </c>
      <c r="G937" s="22" t="n">
        <v>100000</v>
      </c>
      <c r="H937" s="22" t="n">
        <v>10000</v>
      </c>
      <c r="I937" s="22" t="n">
        <v>2190063.15</v>
      </c>
      <c r="J937" s="19" t="inlineStr">
        <is>
          <t>10 % × 100,000 × split 100%</t>
        </is>
      </c>
    </row>
    <row r="938">
      <c r="A938" s="13" t="n">
        <v>937</v>
      </c>
      <c r="B938" s="14" t="n">
        <v>46478</v>
      </c>
      <c r="C938" s="15" t="n">
        <v>6.5</v>
      </c>
      <c r="D938" s="25" t="inlineStr">
        <is>
          <t>Payout</t>
        </is>
      </c>
      <c r="E938" s="13" t="inlineStr">
        <is>
          <t>Fintokei</t>
        </is>
      </c>
      <c r="F938" s="13" t="inlineStr">
        <is>
          <t>#192 3 Step 100k</t>
        </is>
      </c>
      <c r="G938" s="17" t="n">
        <v>100000</v>
      </c>
      <c r="H938" s="17" t="n">
        <v>10000</v>
      </c>
      <c r="I938" s="17" t="n">
        <v>2200063.15</v>
      </c>
      <c r="J938" s="13" t="inlineStr">
        <is>
          <t>10 % × 100,000 × split 100%</t>
        </is>
      </c>
    </row>
    <row r="939">
      <c r="A939" s="19" t="n">
        <v>938</v>
      </c>
      <c r="B939" s="20" t="n">
        <v>46478</v>
      </c>
      <c r="C939" s="21" t="n">
        <v>6.5</v>
      </c>
      <c r="D939" s="25" t="inlineStr">
        <is>
          <t>Payout</t>
        </is>
      </c>
      <c r="E939" s="19" t="inlineStr">
        <is>
          <t>Fintokei</t>
        </is>
      </c>
      <c r="F939" s="19" t="inlineStr">
        <is>
          <t>#193 3 Step 100k</t>
        </is>
      </c>
      <c r="G939" s="22" t="n">
        <v>100000</v>
      </c>
      <c r="H939" s="22" t="n">
        <v>10000</v>
      </c>
      <c r="I939" s="22" t="n">
        <v>2210063.15</v>
      </c>
      <c r="J939" s="19" t="inlineStr">
        <is>
          <t>10 % × 100,000 × split 100%</t>
        </is>
      </c>
    </row>
    <row r="940">
      <c r="A940" s="13" t="n">
        <v>939</v>
      </c>
      <c r="B940" s="14" t="n">
        <v>46478</v>
      </c>
      <c r="C940" s="15" t="n">
        <v>6.5</v>
      </c>
      <c r="D940" s="25" t="inlineStr">
        <is>
          <t>Payout</t>
        </is>
      </c>
      <c r="E940" s="13" t="inlineStr">
        <is>
          <t>Fintokei</t>
        </is>
      </c>
      <c r="F940" s="13" t="inlineStr">
        <is>
          <t>#194 3 Step 100k</t>
        </is>
      </c>
      <c r="G940" s="17" t="n">
        <v>100000</v>
      </c>
      <c r="H940" s="17" t="n">
        <v>10000</v>
      </c>
      <c r="I940" s="17" t="n">
        <v>2220063.15</v>
      </c>
      <c r="J940" s="13" t="inlineStr">
        <is>
          <t>10 % × 100,000 × split 100%</t>
        </is>
      </c>
    </row>
    <row r="941">
      <c r="A941" s="19" t="n">
        <v>940</v>
      </c>
      <c r="B941" s="20" t="n">
        <v>46478</v>
      </c>
      <c r="C941" s="21" t="n">
        <v>6.5</v>
      </c>
      <c r="D941" s="25" t="inlineStr">
        <is>
          <t>Payout</t>
        </is>
      </c>
      <c r="E941" s="19" t="inlineStr">
        <is>
          <t>Fintokei</t>
        </is>
      </c>
      <c r="F941" s="19" t="inlineStr">
        <is>
          <t>#195 3 Step 100k</t>
        </is>
      </c>
      <c r="G941" s="22" t="n">
        <v>100000</v>
      </c>
      <c r="H941" s="22" t="n">
        <v>10000</v>
      </c>
      <c r="I941" s="22" t="n">
        <v>2230063.15</v>
      </c>
      <c r="J941" s="19" t="inlineStr">
        <is>
          <t>10 % × 100,000 × split 100%</t>
        </is>
      </c>
    </row>
    <row r="942">
      <c r="A942" s="13" t="n">
        <v>941</v>
      </c>
      <c r="B942" s="14" t="n">
        <v>46478</v>
      </c>
      <c r="C942" s="15" t="n">
        <v>6.5</v>
      </c>
      <c r="D942" s="25" t="inlineStr">
        <is>
          <t>Payout</t>
        </is>
      </c>
      <c r="E942" s="13" t="inlineStr">
        <is>
          <t>DNA Funded</t>
        </is>
      </c>
      <c r="F942" s="13" t="inlineStr">
        <is>
          <t>#196 2 Step 200k</t>
        </is>
      </c>
      <c r="G942" s="17" t="n">
        <v>200000</v>
      </c>
      <c r="H942" s="17" t="n">
        <v>18000</v>
      </c>
      <c r="I942" s="17" t="n">
        <v>2248063.15</v>
      </c>
      <c r="J942" s="13" t="inlineStr">
        <is>
          <t>10 % × 200,000 × split 90%</t>
        </is>
      </c>
    </row>
    <row r="943">
      <c r="A943" s="19" t="n">
        <v>942</v>
      </c>
      <c r="B943" s="20" t="n">
        <v>46478</v>
      </c>
      <c r="C943" s="21" t="n">
        <v>6.5</v>
      </c>
      <c r="D943" s="25" t="inlineStr">
        <is>
          <t>Payout</t>
        </is>
      </c>
      <c r="E943" s="19" t="inlineStr">
        <is>
          <t>DNA Funded</t>
        </is>
      </c>
      <c r="F943" s="19" t="inlineStr">
        <is>
          <t>#197 2 Step 200k</t>
        </is>
      </c>
      <c r="G943" s="22" t="n">
        <v>200000</v>
      </c>
      <c r="H943" s="22" t="n">
        <v>18000</v>
      </c>
      <c r="I943" s="22" t="n">
        <v>2266063.15</v>
      </c>
      <c r="J943" s="19" t="inlineStr">
        <is>
          <t>10 % × 200,000 × split 90%</t>
        </is>
      </c>
    </row>
    <row r="944">
      <c r="A944" s="13" t="n">
        <v>943</v>
      </c>
      <c r="B944" s="14" t="n">
        <v>46478</v>
      </c>
      <c r="C944" s="15" t="n">
        <v>6.5</v>
      </c>
      <c r="D944" s="25" t="inlineStr">
        <is>
          <t>Payout</t>
        </is>
      </c>
      <c r="E944" s="13" t="inlineStr">
        <is>
          <t>DNA Funded</t>
        </is>
      </c>
      <c r="F944" s="13" t="inlineStr">
        <is>
          <t>#198 2 Step 200k</t>
        </is>
      </c>
      <c r="G944" s="17" t="n">
        <v>200000</v>
      </c>
      <c r="H944" s="17" t="n">
        <v>18000</v>
      </c>
      <c r="I944" s="17" t="n">
        <v>2284063.15</v>
      </c>
      <c r="J944" s="13" t="inlineStr">
        <is>
          <t>10 % × 200,000 × split 90%</t>
        </is>
      </c>
    </row>
    <row r="945">
      <c r="A945" s="19" t="n">
        <v>944</v>
      </c>
      <c r="B945" s="20" t="n">
        <v>46478</v>
      </c>
      <c r="C945" s="21" t="n">
        <v>6.5</v>
      </c>
      <c r="D945" s="25" t="inlineStr">
        <is>
          <t>Payout</t>
        </is>
      </c>
      <c r="E945" s="19" t="inlineStr">
        <is>
          <t>Eightcap Challenges</t>
        </is>
      </c>
      <c r="F945" s="19" t="inlineStr">
        <is>
          <t>#199 2 Step 200k</t>
        </is>
      </c>
      <c r="G945" s="22" t="n">
        <v>200000</v>
      </c>
      <c r="H945" s="22" t="n">
        <v>16000</v>
      </c>
      <c r="I945" s="22" t="n">
        <v>2300063.15</v>
      </c>
      <c r="J945" s="19" t="inlineStr">
        <is>
          <t>10 % × 200,000 × split 80%</t>
        </is>
      </c>
    </row>
    <row r="946">
      <c r="A946" s="13" t="n">
        <v>945</v>
      </c>
      <c r="B946" s="14" t="n">
        <v>46478</v>
      </c>
      <c r="C946" s="15" t="n">
        <v>6.5</v>
      </c>
      <c r="D946" s="25" t="inlineStr">
        <is>
          <t>Payout</t>
        </is>
      </c>
      <c r="E946" s="13" t="inlineStr">
        <is>
          <t>Eightcap Challenges</t>
        </is>
      </c>
      <c r="F946" s="13" t="inlineStr">
        <is>
          <t>#200 2 Step 200k</t>
        </is>
      </c>
      <c r="G946" s="17" t="n">
        <v>200000</v>
      </c>
      <c r="H946" s="17" t="n">
        <v>16000</v>
      </c>
      <c r="I946" s="17" t="n">
        <v>2316063.15</v>
      </c>
      <c r="J946" s="13" t="inlineStr">
        <is>
          <t>10 % × 200,000 × split 80%</t>
        </is>
      </c>
    </row>
    <row r="947">
      <c r="A947" s="19" t="n">
        <v>946</v>
      </c>
      <c r="B947" s="20" t="n">
        <v>46478</v>
      </c>
      <c r="C947" s="21" t="n">
        <v>6.5</v>
      </c>
      <c r="D947" s="25" t="inlineStr">
        <is>
          <t>Payout</t>
        </is>
      </c>
      <c r="E947" s="19" t="inlineStr">
        <is>
          <t>Eightcap Challenges</t>
        </is>
      </c>
      <c r="F947" s="19" t="inlineStr">
        <is>
          <t>#201 2 Step 200k</t>
        </is>
      </c>
      <c r="G947" s="22" t="n">
        <v>200000</v>
      </c>
      <c r="H947" s="22" t="n">
        <v>16000</v>
      </c>
      <c r="I947" s="22" t="n">
        <v>2332063.15</v>
      </c>
      <c r="J947" s="19" t="inlineStr">
        <is>
          <t>10 % × 200,000 × split 80%</t>
        </is>
      </c>
    </row>
    <row r="948">
      <c r="A948" s="13" t="n">
        <v>947</v>
      </c>
      <c r="B948" s="14" t="n">
        <v>46478</v>
      </c>
      <c r="C948" s="15" t="n">
        <v>6.5</v>
      </c>
      <c r="D948" s="25" t="inlineStr">
        <is>
          <t>Payout</t>
        </is>
      </c>
      <c r="E948" s="13" t="inlineStr">
        <is>
          <t>E8 Markets</t>
        </is>
      </c>
      <c r="F948" s="13" t="inlineStr">
        <is>
          <t>#203 2 Step 150k</t>
        </is>
      </c>
      <c r="G948" s="17" t="n">
        <v>150000</v>
      </c>
      <c r="H948" s="17" t="n">
        <v>12000</v>
      </c>
      <c r="I948" s="17" t="n">
        <v>2344063.15</v>
      </c>
      <c r="J948" s="13" t="inlineStr">
        <is>
          <t>10 % × 150,000 × split 80%</t>
        </is>
      </c>
    </row>
    <row r="949">
      <c r="A949" s="19" t="n">
        <v>948</v>
      </c>
      <c r="B949" s="20" t="n">
        <v>46478</v>
      </c>
      <c r="C949" s="21" t="n">
        <v>6.5</v>
      </c>
      <c r="D949" s="25" t="inlineStr">
        <is>
          <t>Payout</t>
        </is>
      </c>
      <c r="E949" s="19" t="inlineStr">
        <is>
          <t>E8 Markets</t>
        </is>
      </c>
      <c r="F949" s="19" t="inlineStr">
        <is>
          <t>#204 2 Step 150k</t>
        </is>
      </c>
      <c r="G949" s="22" t="n">
        <v>150000</v>
      </c>
      <c r="H949" s="22" t="n">
        <v>12000</v>
      </c>
      <c r="I949" s="22" t="n">
        <v>2356063.15</v>
      </c>
      <c r="J949" s="19" t="inlineStr">
        <is>
          <t>10 % × 150,000 × split 80%</t>
        </is>
      </c>
    </row>
    <row r="950">
      <c r="A950" s="13" t="n">
        <v>949</v>
      </c>
      <c r="B950" s="14" t="n">
        <v>46478</v>
      </c>
      <c r="C950" s="15" t="n">
        <v>6.5</v>
      </c>
      <c r="D950" s="25" t="inlineStr">
        <is>
          <t>Payout</t>
        </is>
      </c>
      <c r="E950" s="13" t="inlineStr">
        <is>
          <t>E8 Markets</t>
        </is>
      </c>
      <c r="F950" s="13" t="inlineStr">
        <is>
          <t>#205 2 Step 150k</t>
        </is>
      </c>
      <c r="G950" s="17" t="n">
        <v>150000</v>
      </c>
      <c r="H950" s="17" t="n">
        <v>12000</v>
      </c>
      <c r="I950" s="17" t="n">
        <v>2368063.15</v>
      </c>
      <c r="J950" s="13" t="inlineStr">
        <is>
          <t>10 % × 150,000 × split 80%</t>
        </is>
      </c>
    </row>
    <row r="951">
      <c r="A951" s="19" t="n">
        <v>950</v>
      </c>
      <c r="B951" s="20" t="n">
        <v>46478</v>
      </c>
      <c r="C951" s="21" t="n">
        <v>6.5</v>
      </c>
      <c r="D951" s="25" t="inlineStr">
        <is>
          <t>Payout</t>
        </is>
      </c>
      <c r="E951" s="19" t="inlineStr">
        <is>
          <t>IC Funded</t>
        </is>
      </c>
      <c r="F951" s="19" t="inlineStr">
        <is>
          <t>#209 2 Step 500k</t>
        </is>
      </c>
      <c r="G951" s="22" t="n">
        <v>500000</v>
      </c>
      <c r="H951" s="22" t="n">
        <v>45000</v>
      </c>
      <c r="I951" s="22" t="n">
        <v>2413063.15</v>
      </c>
      <c r="J951" s="19" t="inlineStr">
        <is>
          <t>10 % × 500,000 × split 90%</t>
        </is>
      </c>
    </row>
    <row r="952">
      <c r="A952" s="13" t="n">
        <v>951</v>
      </c>
      <c r="B952" s="14" t="n">
        <v>46478</v>
      </c>
      <c r="C952" s="15" t="n">
        <v>6.5</v>
      </c>
      <c r="D952" s="25" t="inlineStr">
        <is>
          <t>Payout</t>
        </is>
      </c>
      <c r="E952" s="13" t="inlineStr">
        <is>
          <t>Blueberry Futures</t>
        </is>
      </c>
      <c r="F952" s="13" t="inlineStr">
        <is>
          <t>#210 1 Step 150k</t>
        </is>
      </c>
      <c r="G952" s="17" t="n">
        <v>150000</v>
      </c>
      <c r="H952" s="17" t="n">
        <v>13500</v>
      </c>
      <c r="I952" s="17" t="n">
        <v>2426563.15</v>
      </c>
      <c r="J952" s="13" t="inlineStr">
        <is>
          <t>10 % × 150,000 × split 90%</t>
        </is>
      </c>
    </row>
    <row r="953">
      <c r="A953" s="19" t="n">
        <v>952</v>
      </c>
      <c r="B953" s="20" t="n">
        <v>46478</v>
      </c>
      <c r="C953" s="21" t="n">
        <v>6.5</v>
      </c>
      <c r="D953" s="25" t="inlineStr">
        <is>
          <t>Payout</t>
        </is>
      </c>
      <c r="E953" s="19" t="inlineStr">
        <is>
          <t>Blueberry Futures</t>
        </is>
      </c>
      <c r="F953" s="19" t="inlineStr">
        <is>
          <t>#211 1 Step 150k</t>
        </is>
      </c>
      <c r="G953" s="22" t="n">
        <v>150000</v>
      </c>
      <c r="H953" s="22" t="n">
        <v>13500</v>
      </c>
      <c r="I953" s="22" t="n">
        <v>2440063.15</v>
      </c>
      <c r="J953" s="19" t="inlineStr">
        <is>
          <t>10 % × 150,000 × split 90%</t>
        </is>
      </c>
    </row>
    <row r="954">
      <c r="A954" s="13" t="n">
        <v>953</v>
      </c>
      <c r="B954" s="14" t="n">
        <v>46478</v>
      </c>
      <c r="C954" s="15" t="n">
        <v>6.5</v>
      </c>
      <c r="D954" s="25" t="inlineStr">
        <is>
          <t>Payout</t>
        </is>
      </c>
      <c r="E954" s="13" t="inlineStr">
        <is>
          <t>Blueberry Futures</t>
        </is>
      </c>
      <c r="F954" s="13" t="inlineStr">
        <is>
          <t>#212 1 Step 150k</t>
        </is>
      </c>
      <c r="G954" s="17" t="n">
        <v>150000</v>
      </c>
      <c r="H954" s="17" t="n">
        <v>13500</v>
      </c>
      <c r="I954" s="17" t="n">
        <v>2453563.15</v>
      </c>
      <c r="J954" s="13" t="inlineStr">
        <is>
          <t>10 % × 150,000 × split 90%</t>
        </is>
      </c>
    </row>
    <row r="955">
      <c r="A955" s="19" t="n">
        <v>954</v>
      </c>
      <c r="B955" s="20" t="n">
        <v>46478</v>
      </c>
      <c r="C955" s="21" t="n">
        <v>6.5</v>
      </c>
      <c r="D955" s="25" t="inlineStr">
        <is>
          <t>Payout</t>
        </is>
      </c>
      <c r="E955" s="19" t="inlineStr">
        <is>
          <t>Direct Funded Trader</t>
        </is>
      </c>
      <c r="F955" s="19" t="inlineStr">
        <is>
          <t>#225 2 Step 200k</t>
        </is>
      </c>
      <c r="G955" s="22" t="n">
        <v>200000</v>
      </c>
      <c r="H955" s="22" t="n">
        <v>16000</v>
      </c>
      <c r="I955" s="22" t="n">
        <v>2469563.15</v>
      </c>
      <c r="J955" s="19" t="inlineStr">
        <is>
          <t>10 % × 200,000 × split 80%</t>
        </is>
      </c>
    </row>
    <row r="956">
      <c r="A956" s="13" t="n">
        <v>955</v>
      </c>
      <c r="B956" s="14" t="n">
        <v>46478</v>
      </c>
      <c r="C956" s="15" t="n">
        <v>6.5</v>
      </c>
      <c r="D956" s="25" t="inlineStr">
        <is>
          <t>Payout</t>
        </is>
      </c>
      <c r="E956" s="13" t="inlineStr">
        <is>
          <t>Direct Funded Trader</t>
        </is>
      </c>
      <c r="F956" s="13" t="inlineStr">
        <is>
          <t>#226 2 Step 200k</t>
        </is>
      </c>
      <c r="G956" s="17" t="n">
        <v>200000</v>
      </c>
      <c r="H956" s="17" t="n">
        <v>16000</v>
      </c>
      <c r="I956" s="17" t="n">
        <v>2485563.15</v>
      </c>
      <c r="J956" s="13" t="inlineStr">
        <is>
          <t>10 % × 200,000 × split 80%</t>
        </is>
      </c>
    </row>
    <row r="957">
      <c r="A957" s="19" t="n">
        <v>956</v>
      </c>
      <c r="B957" s="20" t="n">
        <v>46492</v>
      </c>
      <c r="C957" s="21" t="n">
        <v>7</v>
      </c>
      <c r="D957" s="24" t="inlineStr">
        <is>
          <t>Financement</t>
        </is>
      </c>
      <c r="E957" s="19" t="inlineStr">
        <is>
          <t>Get Crypto Funded</t>
        </is>
      </c>
      <c r="F957" s="19" t="inlineStr">
        <is>
          <t>#237 3 Step 200k</t>
        </is>
      </c>
      <c r="G957" s="22" t="n">
        <v>200000</v>
      </c>
      <c r="H957" s="22" t="n">
        <v>0</v>
      </c>
      <c r="I957" s="22" t="n">
        <v>2485563.15</v>
      </c>
      <c r="J957" s="19" t="inlineStr">
        <is>
          <t>Évaluation réussie (6%-6%-6%) – 1er payout le 13/05/2027</t>
        </is>
      </c>
    </row>
    <row r="958">
      <c r="A958" s="13" t="n">
        <v>957</v>
      </c>
      <c r="B958" s="14" t="n">
        <v>46492</v>
      </c>
      <c r="C958" s="15" t="n">
        <v>7</v>
      </c>
      <c r="D958" s="24" t="inlineStr">
        <is>
          <t>Financement</t>
        </is>
      </c>
      <c r="E958" s="13" t="inlineStr">
        <is>
          <t>Get Crypto Funded</t>
        </is>
      </c>
      <c r="F958" s="13" t="inlineStr">
        <is>
          <t>#238 3 Step 200k</t>
        </is>
      </c>
      <c r="G958" s="17" t="n">
        <v>200000</v>
      </c>
      <c r="H958" s="17" t="n">
        <v>0</v>
      </c>
      <c r="I958" s="17" t="n">
        <v>2485563.15</v>
      </c>
      <c r="J958" s="13" t="inlineStr">
        <is>
          <t>Évaluation réussie (6%-6%-6%) – 1er payout le 13/05/2027</t>
        </is>
      </c>
    </row>
    <row r="959">
      <c r="A959" s="19" t="n">
        <v>958</v>
      </c>
      <c r="B959" s="20" t="n">
        <v>46492</v>
      </c>
      <c r="C959" s="21" t="n">
        <v>7</v>
      </c>
      <c r="D959" s="24" t="inlineStr">
        <is>
          <t>Financement</t>
        </is>
      </c>
      <c r="E959" s="19" t="inlineStr">
        <is>
          <t>Hantec Trader</t>
        </is>
      </c>
      <c r="F959" s="19" t="inlineStr">
        <is>
          <t>#241 3 Step 200k</t>
        </is>
      </c>
      <c r="G959" s="22" t="n">
        <v>200000</v>
      </c>
      <c r="H959" s="22" t="n">
        <v>0</v>
      </c>
      <c r="I959" s="22" t="n">
        <v>2485563.15</v>
      </c>
      <c r="J959" s="19" t="inlineStr">
        <is>
          <t>Évaluation réussie (6% (+5 % par phase non renseignée)) – 1er payout le 13/05/2027</t>
        </is>
      </c>
    </row>
    <row r="960">
      <c r="A960" s="13" t="n">
        <v>959</v>
      </c>
      <c r="B960" s="14" t="n">
        <v>46492</v>
      </c>
      <c r="C960" s="15" t="n">
        <v>7</v>
      </c>
      <c r="D960" s="24" t="inlineStr">
        <is>
          <t>Financement</t>
        </is>
      </c>
      <c r="E960" s="13" t="inlineStr">
        <is>
          <t>LifeUp Trading</t>
        </is>
      </c>
      <c r="F960" s="13" t="inlineStr">
        <is>
          <t>#257 1 Step 150k</t>
        </is>
      </c>
      <c r="G960" s="17" t="n">
        <v>150000</v>
      </c>
      <c r="H960" s="17" t="n">
        <v>0</v>
      </c>
      <c r="I960" s="17" t="n">
        <v>2485563.15</v>
      </c>
      <c r="J960" s="13" t="inlineStr">
        <is>
          <t>Évaluation réussie (objectif par défaut (non renseigné)) – 1er payout le 13/05/2027</t>
        </is>
      </c>
    </row>
    <row r="961">
      <c r="A961" s="19" t="n">
        <v>960</v>
      </c>
      <c r="B961" s="20" t="n">
        <v>46492</v>
      </c>
      <c r="C961" s="21" t="n">
        <v>7</v>
      </c>
      <c r="D961" s="25" t="inlineStr">
        <is>
          <t>Payout</t>
        </is>
      </c>
      <c r="E961" s="19" t="inlineStr">
        <is>
          <t>FundedNext</t>
        </is>
      </c>
      <c r="F961" s="19" t="inlineStr">
        <is>
          <t>#1 Départ 10k</t>
        </is>
      </c>
      <c r="G961" s="22" t="n">
        <v>10000</v>
      </c>
      <c r="H961" s="22" t="n">
        <v>800</v>
      </c>
      <c r="I961" s="22" t="n">
        <v>2486363.15</v>
      </c>
      <c r="J961" s="19" t="inlineStr">
        <is>
          <t>10 % × 10,000 × split 80%</t>
        </is>
      </c>
    </row>
    <row r="962">
      <c r="A962" s="13" t="n">
        <v>961</v>
      </c>
      <c r="B962" s="14" t="n">
        <v>46492</v>
      </c>
      <c r="C962" s="15" t="n">
        <v>7</v>
      </c>
      <c r="D962" s="25" t="inlineStr">
        <is>
          <t>Payout</t>
        </is>
      </c>
      <c r="E962" s="13" t="inlineStr">
        <is>
          <t>Moneta Funded</t>
        </is>
      </c>
      <c r="F962" s="13" t="inlineStr">
        <is>
          <t>#2 Instant-Direct 100k</t>
        </is>
      </c>
      <c r="G962" s="17" t="n">
        <v>100000</v>
      </c>
      <c r="H962" s="17" t="n">
        <v>8000</v>
      </c>
      <c r="I962" s="17" t="n">
        <v>2494363.15</v>
      </c>
      <c r="J962" s="13" t="inlineStr">
        <is>
          <t>10 % × 100,000 × split 80%</t>
        </is>
      </c>
    </row>
    <row r="963">
      <c r="A963" s="19" t="n">
        <v>962</v>
      </c>
      <c r="B963" s="20" t="n">
        <v>46492</v>
      </c>
      <c r="C963" s="21" t="n">
        <v>7</v>
      </c>
      <c r="D963" s="25" t="inlineStr">
        <is>
          <t>Payout</t>
        </is>
      </c>
      <c r="E963" s="19" t="inlineStr">
        <is>
          <t>Moneta Funded</t>
        </is>
      </c>
      <c r="F963" s="19" t="inlineStr">
        <is>
          <t>#3 Instant-Direct 100k</t>
        </is>
      </c>
      <c r="G963" s="22" t="n">
        <v>100000</v>
      </c>
      <c r="H963" s="22" t="n">
        <v>8000</v>
      </c>
      <c r="I963" s="22" t="n">
        <v>2502363.15</v>
      </c>
      <c r="J963" s="19" t="inlineStr">
        <is>
          <t>10 % × 100,000 × split 80%</t>
        </is>
      </c>
    </row>
    <row r="964">
      <c r="A964" s="13" t="n">
        <v>963</v>
      </c>
      <c r="B964" s="14" t="n">
        <v>46492</v>
      </c>
      <c r="C964" s="15" t="n">
        <v>7</v>
      </c>
      <c r="D964" s="25" t="inlineStr">
        <is>
          <t>Payout</t>
        </is>
      </c>
      <c r="E964" s="13" t="inlineStr">
        <is>
          <t>Moneta Funded</t>
        </is>
      </c>
      <c r="F964" s="13" t="inlineStr">
        <is>
          <t>#4 Instant-Direct 100k</t>
        </is>
      </c>
      <c r="G964" s="17" t="n">
        <v>100000</v>
      </c>
      <c r="H964" s="17" t="n">
        <v>8000</v>
      </c>
      <c r="I964" s="17" t="n">
        <v>2510363.15</v>
      </c>
      <c r="J964" s="13" t="inlineStr">
        <is>
          <t>10 % × 100,000 × split 80%</t>
        </is>
      </c>
    </row>
    <row r="965">
      <c r="A965" s="19" t="n">
        <v>964</v>
      </c>
      <c r="B965" s="20" t="n">
        <v>46492</v>
      </c>
      <c r="C965" s="21" t="n">
        <v>7</v>
      </c>
      <c r="D965" s="25" t="inlineStr">
        <is>
          <t>Payout</t>
        </is>
      </c>
      <c r="E965" s="19" t="inlineStr">
        <is>
          <t>Moneta Funded</t>
        </is>
      </c>
      <c r="F965" s="19" t="inlineStr">
        <is>
          <t>#5 Instant-Direct 100k</t>
        </is>
      </c>
      <c r="G965" s="22" t="n">
        <v>100000</v>
      </c>
      <c r="H965" s="22" t="n">
        <v>8000</v>
      </c>
      <c r="I965" s="22" t="n">
        <v>2518363.15</v>
      </c>
      <c r="J965" s="19" t="inlineStr">
        <is>
          <t>10 % × 100,000 × split 80%</t>
        </is>
      </c>
    </row>
    <row r="966">
      <c r="A966" s="13" t="n">
        <v>965</v>
      </c>
      <c r="B966" s="14" t="n">
        <v>46492</v>
      </c>
      <c r="C966" s="15" t="n">
        <v>7</v>
      </c>
      <c r="D966" s="25" t="inlineStr">
        <is>
          <t>Payout</t>
        </is>
      </c>
      <c r="E966" s="13" t="inlineStr">
        <is>
          <t>Moneta Funded</t>
        </is>
      </c>
      <c r="F966" s="13" t="inlineStr">
        <is>
          <t>#6 Instant-Direct 100k</t>
        </is>
      </c>
      <c r="G966" s="17" t="n">
        <v>100000</v>
      </c>
      <c r="H966" s="17" t="n">
        <v>8000</v>
      </c>
      <c r="I966" s="17" t="n">
        <v>2526363.15</v>
      </c>
      <c r="J966" s="13" t="inlineStr">
        <is>
          <t>10 % × 100,000 × split 80%</t>
        </is>
      </c>
    </row>
    <row r="967">
      <c r="A967" s="19" t="n">
        <v>966</v>
      </c>
      <c r="B967" s="20" t="n">
        <v>46492</v>
      </c>
      <c r="C967" s="21" t="n">
        <v>7</v>
      </c>
      <c r="D967" s="25" t="inlineStr">
        <is>
          <t>Payout</t>
        </is>
      </c>
      <c r="E967" s="19" t="inlineStr">
        <is>
          <t>Moneta Funded</t>
        </is>
      </c>
      <c r="F967" s="19" t="inlineStr">
        <is>
          <t>#7 Instant-Direct 100k</t>
        </is>
      </c>
      <c r="G967" s="22" t="n">
        <v>100000</v>
      </c>
      <c r="H967" s="22" t="n">
        <v>8000</v>
      </c>
      <c r="I967" s="22" t="n">
        <v>2534363.15</v>
      </c>
      <c r="J967" s="19" t="inlineStr">
        <is>
          <t>10 % × 100,000 × split 80%</t>
        </is>
      </c>
    </row>
    <row r="968">
      <c r="A968" s="13" t="n">
        <v>967</v>
      </c>
      <c r="B968" s="14" t="n">
        <v>46492</v>
      </c>
      <c r="C968" s="15" t="n">
        <v>7</v>
      </c>
      <c r="D968" s="25" t="inlineStr">
        <is>
          <t>Payout</t>
        </is>
      </c>
      <c r="E968" s="13" t="inlineStr">
        <is>
          <t>Moneta Funded</t>
        </is>
      </c>
      <c r="F968" s="13" t="inlineStr">
        <is>
          <t>#8 Instant-Direct 100k</t>
        </is>
      </c>
      <c r="G968" s="17" t="n">
        <v>100000</v>
      </c>
      <c r="H968" s="17" t="n">
        <v>8000</v>
      </c>
      <c r="I968" s="17" t="n">
        <v>2542363.15</v>
      </c>
      <c r="J968" s="13" t="inlineStr">
        <is>
          <t>10 % × 100,000 × split 80%</t>
        </is>
      </c>
    </row>
    <row r="969">
      <c r="A969" s="19" t="n">
        <v>968</v>
      </c>
      <c r="B969" s="20" t="n">
        <v>46492</v>
      </c>
      <c r="C969" s="21" t="n">
        <v>7</v>
      </c>
      <c r="D969" s="25" t="inlineStr">
        <is>
          <t>Payout</t>
        </is>
      </c>
      <c r="E969" s="19" t="inlineStr">
        <is>
          <t>Moneta Funded</t>
        </is>
      </c>
      <c r="F969" s="19" t="inlineStr">
        <is>
          <t>#9 Instant-Direct 100k</t>
        </is>
      </c>
      <c r="G969" s="22" t="n">
        <v>100000</v>
      </c>
      <c r="H969" s="22" t="n">
        <v>8000</v>
      </c>
      <c r="I969" s="22" t="n">
        <v>2550363.15</v>
      </c>
      <c r="J969" s="19" t="inlineStr">
        <is>
          <t>10 % × 100,000 × split 80%</t>
        </is>
      </c>
    </row>
    <row r="970">
      <c r="A970" s="13" t="n">
        <v>969</v>
      </c>
      <c r="B970" s="14" t="n">
        <v>46492</v>
      </c>
      <c r="C970" s="15" t="n">
        <v>7</v>
      </c>
      <c r="D970" s="25" t="inlineStr">
        <is>
          <t>Payout</t>
        </is>
      </c>
      <c r="E970" s="13" t="inlineStr">
        <is>
          <t>Moneta Funded</t>
        </is>
      </c>
      <c r="F970" s="13" t="inlineStr">
        <is>
          <t>#10 Instant-Direct 100k</t>
        </is>
      </c>
      <c r="G970" s="17" t="n">
        <v>100000</v>
      </c>
      <c r="H970" s="17" t="n">
        <v>8000</v>
      </c>
      <c r="I970" s="17" t="n">
        <v>2558363.15</v>
      </c>
      <c r="J970" s="13" t="inlineStr">
        <is>
          <t>10 % × 100,000 × split 80%</t>
        </is>
      </c>
    </row>
    <row r="971">
      <c r="A971" s="19" t="n">
        <v>970</v>
      </c>
      <c r="B971" s="20" t="n">
        <v>46492</v>
      </c>
      <c r="C971" s="21" t="n">
        <v>7</v>
      </c>
      <c r="D971" s="25" t="inlineStr">
        <is>
          <t>Payout</t>
        </is>
      </c>
      <c r="E971" s="19" t="inlineStr">
        <is>
          <t>Moneta Funded</t>
        </is>
      </c>
      <c r="F971" s="19" t="inlineStr">
        <is>
          <t>#11 Instant-Direct 100k</t>
        </is>
      </c>
      <c r="G971" s="22" t="n">
        <v>100000</v>
      </c>
      <c r="H971" s="22" t="n">
        <v>8000</v>
      </c>
      <c r="I971" s="22" t="n">
        <v>2566363.15</v>
      </c>
      <c r="J971" s="19" t="inlineStr">
        <is>
          <t>10 % × 100,000 × split 80%</t>
        </is>
      </c>
    </row>
    <row r="972">
      <c r="A972" s="13" t="n">
        <v>971</v>
      </c>
      <c r="B972" s="14" t="n">
        <v>46492</v>
      </c>
      <c r="C972" s="15" t="n">
        <v>7</v>
      </c>
      <c r="D972" s="25" t="inlineStr">
        <is>
          <t>Payout</t>
        </is>
      </c>
      <c r="E972" s="13" t="inlineStr">
        <is>
          <t>Moneta Funded</t>
        </is>
      </c>
      <c r="F972" s="13" t="inlineStr">
        <is>
          <t>#12 Instant-Direct 100k</t>
        </is>
      </c>
      <c r="G972" s="17" t="n">
        <v>100000</v>
      </c>
      <c r="H972" s="17" t="n">
        <v>8000</v>
      </c>
      <c r="I972" s="17" t="n">
        <v>2574363.15</v>
      </c>
      <c r="J972" s="13" t="inlineStr">
        <is>
          <t>10 % × 100,000 × split 80%</t>
        </is>
      </c>
    </row>
    <row r="973">
      <c r="A973" s="19" t="n">
        <v>972</v>
      </c>
      <c r="B973" s="20" t="n">
        <v>46492</v>
      </c>
      <c r="C973" s="21" t="n">
        <v>7</v>
      </c>
      <c r="D973" s="25" t="inlineStr">
        <is>
          <t>Payout</t>
        </is>
      </c>
      <c r="E973" s="19" t="inlineStr">
        <is>
          <t>Moneta Funded</t>
        </is>
      </c>
      <c r="F973" s="19" t="inlineStr">
        <is>
          <t>#13 Instant-Direct 100k</t>
        </is>
      </c>
      <c r="G973" s="22" t="n">
        <v>100000</v>
      </c>
      <c r="H973" s="22" t="n">
        <v>8000</v>
      </c>
      <c r="I973" s="22" t="n">
        <v>2582363.15</v>
      </c>
      <c r="J973" s="19" t="inlineStr">
        <is>
          <t>10 % × 100,000 × split 80%</t>
        </is>
      </c>
    </row>
    <row r="974">
      <c r="A974" s="13" t="n">
        <v>973</v>
      </c>
      <c r="B974" s="14" t="n">
        <v>46492</v>
      </c>
      <c r="C974" s="15" t="n">
        <v>7</v>
      </c>
      <c r="D974" s="25" t="inlineStr">
        <is>
          <t>Payout</t>
        </is>
      </c>
      <c r="E974" s="13" t="inlineStr">
        <is>
          <t>FunderPro Futures</t>
        </is>
      </c>
      <c r="F974" s="13" t="inlineStr">
        <is>
          <t>#14 1 Step 150k</t>
        </is>
      </c>
      <c r="G974" s="17" t="n">
        <v>150000</v>
      </c>
      <c r="H974" s="17" t="n">
        <v>9000</v>
      </c>
      <c r="I974" s="17" t="n">
        <v>2591363.15</v>
      </c>
      <c r="J974" s="13" t="inlineStr">
        <is>
          <t>10 % × 150,000 × split 60%</t>
        </is>
      </c>
    </row>
    <row r="975">
      <c r="A975" s="19" t="n">
        <v>974</v>
      </c>
      <c r="B975" s="20" t="n">
        <v>46492</v>
      </c>
      <c r="C975" s="21" t="n">
        <v>7</v>
      </c>
      <c r="D975" s="25" t="inlineStr">
        <is>
          <t>Payout</t>
        </is>
      </c>
      <c r="E975" s="19" t="inlineStr">
        <is>
          <t>Moneta Funded</t>
        </is>
      </c>
      <c r="F975" s="19" t="inlineStr">
        <is>
          <t>#15 Instant-Direct 100k</t>
        </is>
      </c>
      <c r="G975" s="22" t="n">
        <v>100000</v>
      </c>
      <c r="H975" s="22" t="n">
        <v>8000</v>
      </c>
      <c r="I975" s="22" t="n">
        <v>2599363.15</v>
      </c>
      <c r="J975" s="19" t="inlineStr">
        <is>
          <t>10 % × 100,000 × split 80%</t>
        </is>
      </c>
    </row>
    <row r="976">
      <c r="A976" s="13" t="n">
        <v>975</v>
      </c>
      <c r="B976" s="14" t="n">
        <v>46492</v>
      </c>
      <c r="C976" s="15" t="n">
        <v>7</v>
      </c>
      <c r="D976" s="25" t="inlineStr">
        <is>
          <t>Payout</t>
        </is>
      </c>
      <c r="E976" s="13" t="inlineStr">
        <is>
          <t>Moneta Funded</t>
        </is>
      </c>
      <c r="F976" s="13" t="inlineStr">
        <is>
          <t>#16 Instant-Direct 100k</t>
        </is>
      </c>
      <c r="G976" s="17" t="n">
        <v>100000</v>
      </c>
      <c r="H976" s="17" t="n">
        <v>8000</v>
      </c>
      <c r="I976" s="17" t="n">
        <v>2607363.15</v>
      </c>
      <c r="J976" s="13" t="inlineStr">
        <is>
          <t>10 % × 100,000 × split 80%</t>
        </is>
      </c>
    </row>
    <row r="977">
      <c r="A977" s="19" t="n">
        <v>976</v>
      </c>
      <c r="B977" s="20" t="n">
        <v>46492</v>
      </c>
      <c r="C977" s="21" t="n">
        <v>7</v>
      </c>
      <c r="D977" s="25" t="inlineStr">
        <is>
          <t>Payout</t>
        </is>
      </c>
      <c r="E977" s="19" t="inlineStr">
        <is>
          <t>Moneta Funded</t>
        </is>
      </c>
      <c r="F977" s="19" t="inlineStr">
        <is>
          <t>#17 Instant-Direct 100k</t>
        </is>
      </c>
      <c r="G977" s="22" t="n">
        <v>100000</v>
      </c>
      <c r="H977" s="22" t="n">
        <v>8000</v>
      </c>
      <c r="I977" s="22" t="n">
        <v>2615363.15</v>
      </c>
      <c r="J977" s="19" t="inlineStr">
        <is>
          <t>10 % × 100,000 × split 80%</t>
        </is>
      </c>
    </row>
    <row r="978">
      <c r="A978" s="13" t="n">
        <v>977</v>
      </c>
      <c r="B978" s="14" t="n">
        <v>46492</v>
      </c>
      <c r="C978" s="15" t="n">
        <v>7</v>
      </c>
      <c r="D978" s="25" t="inlineStr">
        <is>
          <t>Payout</t>
        </is>
      </c>
      <c r="E978" s="13" t="inlineStr">
        <is>
          <t>Moneta Funded</t>
        </is>
      </c>
      <c r="F978" s="13" t="inlineStr">
        <is>
          <t>#18 Instant-Direct 100k</t>
        </is>
      </c>
      <c r="G978" s="17" t="n">
        <v>100000</v>
      </c>
      <c r="H978" s="17" t="n">
        <v>8000</v>
      </c>
      <c r="I978" s="17" t="n">
        <v>2623363.15</v>
      </c>
      <c r="J978" s="13" t="inlineStr">
        <is>
          <t>10 % × 100,000 × split 80%</t>
        </is>
      </c>
    </row>
    <row r="979">
      <c r="A979" s="19" t="n">
        <v>978</v>
      </c>
      <c r="B979" s="20" t="n">
        <v>46492</v>
      </c>
      <c r="C979" s="21" t="n">
        <v>7</v>
      </c>
      <c r="D979" s="25" t="inlineStr">
        <is>
          <t>Payout</t>
        </is>
      </c>
      <c r="E979" s="19" t="inlineStr">
        <is>
          <t>Moneta Funded</t>
        </is>
      </c>
      <c r="F979" s="19" t="inlineStr">
        <is>
          <t>#19 Instant-Direct 100k</t>
        </is>
      </c>
      <c r="G979" s="22" t="n">
        <v>100000</v>
      </c>
      <c r="H979" s="22" t="n">
        <v>8000</v>
      </c>
      <c r="I979" s="22" t="n">
        <v>2631363.15</v>
      </c>
      <c r="J979" s="19" t="inlineStr">
        <is>
          <t>10 % × 100,000 × split 80%</t>
        </is>
      </c>
    </row>
    <row r="980">
      <c r="A980" s="13" t="n">
        <v>979</v>
      </c>
      <c r="B980" s="14" t="n">
        <v>46492</v>
      </c>
      <c r="C980" s="15" t="n">
        <v>7</v>
      </c>
      <c r="D980" s="25" t="inlineStr">
        <is>
          <t>Payout</t>
        </is>
      </c>
      <c r="E980" s="13" t="inlineStr">
        <is>
          <t>Moneta Funded</t>
        </is>
      </c>
      <c r="F980" s="13" t="inlineStr">
        <is>
          <t>#20 Instant-Direct 100k</t>
        </is>
      </c>
      <c r="G980" s="17" t="n">
        <v>100000</v>
      </c>
      <c r="H980" s="17" t="n">
        <v>8000</v>
      </c>
      <c r="I980" s="17" t="n">
        <v>2639363.15</v>
      </c>
      <c r="J980" s="13" t="inlineStr">
        <is>
          <t>10 % × 100,000 × split 80%</t>
        </is>
      </c>
    </row>
    <row r="981">
      <c r="A981" s="19" t="n">
        <v>980</v>
      </c>
      <c r="B981" s="20" t="n">
        <v>46492</v>
      </c>
      <c r="C981" s="21" t="n">
        <v>7</v>
      </c>
      <c r="D981" s="25" t="inlineStr">
        <is>
          <t>Payout</t>
        </is>
      </c>
      <c r="E981" s="19" t="inlineStr">
        <is>
          <t>Moneta Funded</t>
        </is>
      </c>
      <c r="F981" s="19" t="inlineStr">
        <is>
          <t>#21 Instant-Direct 100k</t>
        </is>
      </c>
      <c r="G981" s="22" t="n">
        <v>100000</v>
      </c>
      <c r="H981" s="22" t="n">
        <v>8000</v>
      </c>
      <c r="I981" s="22" t="n">
        <v>2647363.15</v>
      </c>
      <c r="J981" s="19" t="inlineStr">
        <is>
          <t>10 % × 100,000 × split 80%</t>
        </is>
      </c>
    </row>
    <row r="982">
      <c r="A982" s="13" t="n">
        <v>981</v>
      </c>
      <c r="B982" s="14" t="n">
        <v>46492</v>
      </c>
      <c r="C982" s="15" t="n">
        <v>7</v>
      </c>
      <c r="D982" s="25" t="inlineStr">
        <is>
          <t>Payout</t>
        </is>
      </c>
      <c r="E982" s="13" t="inlineStr">
        <is>
          <t>Moneta Funded</t>
        </is>
      </c>
      <c r="F982" s="13" t="inlineStr">
        <is>
          <t>#22 Instant-Direct 100k</t>
        </is>
      </c>
      <c r="G982" s="17" t="n">
        <v>100000</v>
      </c>
      <c r="H982" s="17" t="n">
        <v>8000</v>
      </c>
      <c r="I982" s="17" t="n">
        <v>2655363.15</v>
      </c>
      <c r="J982" s="13" t="inlineStr">
        <is>
          <t>10 % × 100,000 × split 80%</t>
        </is>
      </c>
    </row>
    <row r="983">
      <c r="A983" s="19" t="n">
        <v>982</v>
      </c>
      <c r="B983" s="20" t="n">
        <v>46492</v>
      </c>
      <c r="C983" s="21" t="n">
        <v>7</v>
      </c>
      <c r="D983" s="25" t="inlineStr">
        <is>
          <t>Payout</t>
        </is>
      </c>
      <c r="E983" s="19" t="inlineStr">
        <is>
          <t>Moneta Funded</t>
        </is>
      </c>
      <c r="F983" s="19" t="inlineStr">
        <is>
          <t>#23 Instant-Direct 100k</t>
        </is>
      </c>
      <c r="G983" s="22" t="n">
        <v>100000</v>
      </c>
      <c r="H983" s="22" t="n">
        <v>8000</v>
      </c>
      <c r="I983" s="22" t="n">
        <v>2663363.15</v>
      </c>
      <c r="J983" s="19" t="inlineStr">
        <is>
          <t>10 % × 100,000 × split 80%</t>
        </is>
      </c>
    </row>
    <row r="984">
      <c r="A984" s="13" t="n">
        <v>983</v>
      </c>
      <c r="B984" s="14" t="n">
        <v>46492</v>
      </c>
      <c r="C984" s="15" t="n">
        <v>7</v>
      </c>
      <c r="D984" s="25" t="inlineStr">
        <is>
          <t>Payout</t>
        </is>
      </c>
      <c r="E984" s="13" t="inlineStr">
        <is>
          <t>Moneta Funded</t>
        </is>
      </c>
      <c r="F984" s="13" t="inlineStr">
        <is>
          <t>#24 Instant-Direct 100k</t>
        </is>
      </c>
      <c r="G984" s="17" t="n">
        <v>100000</v>
      </c>
      <c r="H984" s="17" t="n">
        <v>8000</v>
      </c>
      <c r="I984" s="17" t="n">
        <v>2671363.15</v>
      </c>
      <c r="J984" s="13" t="inlineStr">
        <is>
          <t>10 % × 100,000 × split 80%</t>
        </is>
      </c>
    </row>
    <row r="985">
      <c r="A985" s="19" t="n">
        <v>984</v>
      </c>
      <c r="B985" s="20" t="n">
        <v>46492</v>
      </c>
      <c r="C985" s="21" t="n">
        <v>7</v>
      </c>
      <c r="D985" s="25" t="inlineStr">
        <is>
          <t>Payout</t>
        </is>
      </c>
      <c r="E985" s="19" t="inlineStr">
        <is>
          <t>Moneta Funded</t>
        </is>
      </c>
      <c r="F985" s="19" t="inlineStr">
        <is>
          <t>#25 Instant-Direct 100k</t>
        </is>
      </c>
      <c r="G985" s="22" t="n">
        <v>100000</v>
      </c>
      <c r="H985" s="22" t="n">
        <v>8000</v>
      </c>
      <c r="I985" s="22" t="n">
        <v>2679363.15</v>
      </c>
      <c r="J985" s="19" t="inlineStr">
        <is>
          <t>10 % × 100,000 × split 80%</t>
        </is>
      </c>
    </row>
    <row r="986">
      <c r="A986" s="13" t="n">
        <v>985</v>
      </c>
      <c r="B986" s="14" t="n">
        <v>46492</v>
      </c>
      <c r="C986" s="15" t="n">
        <v>7</v>
      </c>
      <c r="D986" s="25" t="inlineStr">
        <is>
          <t>Payout</t>
        </is>
      </c>
      <c r="E986" s="13" t="inlineStr">
        <is>
          <t>IQ Capital</t>
        </is>
      </c>
      <c r="F986" s="13" t="inlineStr">
        <is>
          <t>#26 Instant-Direct 100k</t>
        </is>
      </c>
      <c r="G986" s="17" t="n">
        <v>100000</v>
      </c>
      <c r="H986" s="17" t="n">
        <v>8000</v>
      </c>
      <c r="I986" s="17" t="n">
        <v>2687363.15</v>
      </c>
      <c r="J986" s="13" t="inlineStr">
        <is>
          <t>10 % × 100,000 × split 80%</t>
        </is>
      </c>
    </row>
    <row r="987">
      <c r="A987" s="19" t="n">
        <v>986</v>
      </c>
      <c r="B987" s="20" t="n">
        <v>46492</v>
      </c>
      <c r="C987" s="21" t="n">
        <v>7</v>
      </c>
      <c r="D987" s="25" t="inlineStr">
        <is>
          <t>Payout</t>
        </is>
      </c>
      <c r="E987" s="19" t="inlineStr">
        <is>
          <t>IQ Capital</t>
        </is>
      </c>
      <c r="F987" s="19" t="inlineStr">
        <is>
          <t>#27 Instant-Direct 100k</t>
        </is>
      </c>
      <c r="G987" s="22" t="n">
        <v>100000</v>
      </c>
      <c r="H987" s="22" t="n">
        <v>8000</v>
      </c>
      <c r="I987" s="22" t="n">
        <v>2695363.15</v>
      </c>
      <c r="J987" s="19" t="inlineStr">
        <is>
          <t>10 % × 100,000 × split 80%</t>
        </is>
      </c>
    </row>
    <row r="988">
      <c r="A988" s="13" t="n">
        <v>987</v>
      </c>
      <c r="B988" s="14" t="n">
        <v>46492</v>
      </c>
      <c r="C988" s="15" t="n">
        <v>7</v>
      </c>
      <c r="D988" s="25" t="inlineStr">
        <is>
          <t>Payout</t>
        </is>
      </c>
      <c r="E988" s="13" t="inlineStr">
        <is>
          <t>IQ Capital</t>
        </is>
      </c>
      <c r="F988" s="13" t="inlineStr">
        <is>
          <t>#28 Instant-Direct 100k</t>
        </is>
      </c>
      <c r="G988" s="17" t="n">
        <v>100000</v>
      </c>
      <c r="H988" s="17" t="n">
        <v>8000</v>
      </c>
      <c r="I988" s="17" t="n">
        <v>2703363.15</v>
      </c>
      <c r="J988" s="13" t="inlineStr">
        <is>
          <t>10 % × 100,000 × split 80%</t>
        </is>
      </c>
    </row>
    <row r="989">
      <c r="A989" s="19" t="n">
        <v>988</v>
      </c>
      <c r="B989" s="20" t="n">
        <v>46492</v>
      </c>
      <c r="C989" s="21" t="n">
        <v>7</v>
      </c>
      <c r="D989" s="25" t="inlineStr">
        <is>
          <t>Payout</t>
        </is>
      </c>
      <c r="E989" s="19" t="inlineStr">
        <is>
          <t>IQ Capital</t>
        </is>
      </c>
      <c r="F989" s="19" t="inlineStr">
        <is>
          <t>#29 Instant-Direct 100k</t>
        </is>
      </c>
      <c r="G989" s="22" t="n">
        <v>100000</v>
      </c>
      <c r="H989" s="22" t="n">
        <v>8000</v>
      </c>
      <c r="I989" s="22" t="n">
        <v>2711363.15</v>
      </c>
      <c r="J989" s="19" t="inlineStr">
        <is>
          <t>10 % × 100,000 × split 80%</t>
        </is>
      </c>
    </row>
    <row r="990">
      <c r="A990" s="13" t="n">
        <v>989</v>
      </c>
      <c r="B990" s="14" t="n">
        <v>46492</v>
      </c>
      <c r="C990" s="15" t="n">
        <v>7</v>
      </c>
      <c r="D990" s="25" t="inlineStr">
        <is>
          <t>Payout</t>
        </is>
      </c>
      <c r="E990" s="13" t="inlineStr">
        <is>
          <t>IQ Capital</t>
        </is>
      </c>
      <c r="F990" s="13" t="inlineStr">
        <is>
          <t>#30 Instant-Direct 100k</t>
        </is>
      </c>
      <c r="G990" s="17" t="n">
        <v>100000</v>
      </c>
      <c r="H990" s="17" t="n">
        <v>8000</v>
      </c>
      <c r="I990" s="17" t="n">
        <v>2719363.15</v>
      </c>
      <c r="J990" s="13" t="inlineStr">
        <is>
          <t>10 % × 100,000 × split 80%</t>
        </is>
      </c>
    </row>
    <row r="991">
      <c r="A991" s="19" t="n">
        <v>990</v>
      </c>
      <c r="B991" s="20" t="n">
        <v>46492</v>
      </c>
      <c r="C991" s="21" t="n">
        <v>7</v>
      </c>
      <c r="D991" s="25" t="inlineStr">
        <is>
          <t>Payout</t>
        </is>
      </c>
      <c r="E991" s="19" t="inlineStr">
        <is>
          <t>IQ Capital</t>
        </is>
      </c>
      <c r="F991" s="19" t="inlineStr">
        <is>
          <t>#31 Instant-Direct 100k</t>
        </is>
      </c>
      <c r="G991" s="22" t="n">
        <v>100000</v>
      </c>
      <c r="H991" s="22" t="n">
        <v>8000</v>
      </c>
      <c r="I991" s="22" t="n">
        <v>2727363.15</v>
      </c>
      <c r="J991" s="19" t="inlineStr">
        <is>
          <t>10 % × 100,000 × split 80%</t>
        </is>
      </c>
    </row>
    <row r="992">
      <c r="A992" s="13" t="n">
        <v>991</v>
      </c>
      <c r="B992" s="14" t="n">
        <v>46492</v>
      </c>
      <c r="C992" s="15" t="n">
        <v>7</v>
      </c>
      <c r="D992" s="25" t="inlineStr">
        <is>
          <t>Payout</t>
        </is>
      </c>
      <c r="E992" s="13" t="inlineStr">
        <is>
          <t>IQ Capital</t>
        </is>
      </c>
      <c r="F992" s="13" t="inlineStr">
        <is>
          <t>#32 Instant-Direct 100k</t>
        </is>
      </c>
      <c r="G992" s="17" t="n">
        <v>100000</v>
      </c>
      <c r="H992" s="17" t="n">
        <v>8000</v>
      </c>
      <c r="I992" s="17" t="n">
        <v>2735363.15</v>
      </c>
      <c r="J992" s="13" t="inlineStr">
        <is>
          <t>10 % × 100,000 × split 80%</t>
        </is>
      </c>
    </row>
    <row r="993">
      <c r="A993" s="19" t="n">
        <v>992</v>
      </c>
      <c r="B993" s="20" t="n">
        <v>46492</v>
      </c>
      <c r="C993" s="21" t="n">
        <v>7</v>
      </c>
      <c r="D993" s="25" t="inlineStr">
        <is>
          <t>Payout</t>
        </is>
      </c>
      <c r="E993" s="19" t="inlineStr">
        <is>
          <t>IQ Capital</t>
        </is>
      </c>
      <c r="F993" s="19" t="inlineStr">
        <is>
          <t>#33 Instant-Direct 100k</t>
        </is>
      </c>
      <c r="G993" s="22" t="n">
        <v>100000</v>
      </c>
      <c r="H993" s="22" t="n">
        <v>8000</v>
      </c>
      <c r="I993" s="22" t="n">
        <v>2743363.15</v>
      </c>
      <c r="J993" s="19" t="inlineStr">
        <is>
          <t>10 % × 100,000 × split 80%</t>
        </is>
      </c>
    </row>
    <row r="994">
      <c r="A994" s="13" t="n">
        <v>993</v>
      </c>
      <c r="B994" s="14" t="n">
        <v>46492</v>
      </c>
      <c r="C994" s="15" t="n">
        <v>7</v>
      </c>
      <c r="D994" s="25" t="inlineStr">
        <is>
          <t>Payout</t>
        </is>
      </c>
      <c r="E994" s="13" t="inlineStr">
        <is>
          <t>IQ Capital</t>
        </is>
      </c>
      <c r="F994" s="13" t="inlineStr">
        <is>
          <t>#34 Instant-Direct 100k</t>
        </is>
      </c>
      <c r="G994" s="17" t="n">
        <v>100000</v>
      </c>
      <c r="H994" s="17" t="n">
        <v>8000</v>
      </c>
      <c r="I994" s="17" t="n">
        <v>2751363.15</v>
      </c>
      <c r="J994" s="13" t="inlineStr">
        <is>
          <t>10 % × 100,000 × split 80%</t>
        </is>
      </c>
    </row>
    <row r="995">
      <c r="A995" s="19" t="n">
        <v>994</v>
      </c>
      <c r="B995" s="20" t="n">
        <v>46492</v>
      </c>
      <c r="C995" s="21" t="n">
        <v>7</v>
      </c>
      <c r="D995" s="25" t="inlineStr">
        <is>
          <t>Payout</t>
        </is>
      </c>
      <c r="E995" s="19" t="inlineStr">
        <is>
          <t>IQ Capital</t>
        </is>
      </c>
      <c r="F995" s="19" t="inlineStr">
        <is>
          <t>#35 Instant-Direct 100k</t>
        </is>
      </c>
      <c r="G995" s="22" t="n">
        <v>100000</v>
      </c>
      <c r="H995" s="22" t="n">
        <v>8000</v>
      </c>
      <c r="I995" s="22" t="n">
        <v>2759363.15</v>
      </c>
      <c r="J995" s="19" t="inlineStr">
        <is>
          <t>10 % × 100,000 × split 80%</t>
        </is>
      </c>
    </row>
    <row r="996">
      <c r="A996" s="13" t="n">
        <v>995</v>
      </c>
      <c r="B996" s="14" t="n">
        <v>46492</v>
      </c>
      <c r="C996" s="15" t="n">
        <v>7</v>
      </c>
      <c r="D996" s="25" t="inlineStr">
        <is>
          <t>Payout</t>
        </is>
      </c>
      <c r="E996" s="13" t="inlineStr">
        <is>
          <t>IQ Capital</t>
        </is>
      </c>
      <c r="F996" s="13" t="inlineStr">
        <is>
          <t>#36 Instant-Direct 100k</t>
        </is>
      </c>
      <c r="G996" s="17" t="n">
        <v>100000</v>
      </c>
      <c r="H996" s="17" t="n">
        <v>8000</v>
      </c>
      <c r="I996" s="17" t="n">
        <v>2767363.15</v>
      </c>
      <c r="J996" s="13" t="inlineStr">
        <is>
          <t>10 % × 100,000 × split 80%</t>
        </is>
      </c>
    </row>
    <row r="997">
      <c r="A997" s="19" t="n">
        <v>996</v>
      </c>
      <c r="B997" s="20" t="n">
        <v>46492</v>
      </c>
      <c r="C997" s="21" t="n">
        <v>7</v>
      </c>
      <c r="D997" s="25" t="inlineStr">
        <is>
          <t>Payout</t>
        </is>
      </c>
      <c r="E997" s="19" t="inlineStr">
        <is>
          <t>IQ Capital</t>
        </is>
      </c>
      <c r="F997" s="19" t="inlineStr">
        <is>
          <t>#37 Instant-Direct 100k</t>
        </is>
      </c>
      <c r="G997" s="22" t="n">
        <v>100000</v>
      </c>
      <c r="H997" s="22" t="n">
        <v>8000</v>
      </c>
      <c r="I997" s="22" t="n">
        <v>2775363.15</v>
      </c>
      <c r="J997" s="19" t="inlineStr">
        <is>
          <t>10 % × 100,000 × split 80%</t>
        </is>
      </c>
    </row>
    <row r="998">
      <c r="A998" s="13" t="n">
        <v>997</v>
      </c>
      <c r="B998" s="14" t="n">
        <v>46492</v>
      </c>
      <c r="C998" s="15" t="n">
        <v>7</v>
      </c>
      <c r="D998" s="25" t="inlineStr">
        <is>
          <t>Payout</t>
        </is>
      </c>
      <c r="E998" s="13" t="inlineStr">
        <is>
          <t>IQ Capital</t>
        </is>
      </c>
      <c r="F998" s="13" t="inlineStr">
        <is>
          <t>#38 Instant-Direct 100k</t>
        </is>
      </c>
      <c r="G998" s="17" t="n">
        <v>100000</v>
      </c>
      <c r="H998" s="17" t="n">
        <v>8000</v>
      </c>
      <c r="I998" s="17" t="n">
        <v>2783363.15</v>
      </c>
      <c r="J998" s="13" t="inlineStr">
        <is>
          <t>10 % × 100,000 × split 80%</t>
        </is>
      </c>
    </row>
    <row r="999">
      <c r="A999" s="19" t="n">
        <v>998</v>
      </c>
      <c r="B999" s="20" t="n">
        <v>46492</v>
      </c>
      <c r="C999" s="21" t="n">
        <v>7</v>
      </c>
      <c r="D999" s="25" t="inlineStr">
        <is>
          <t>Payout</t>
        </is>
      </c>
      <c r="E999" s="19" t="inlineStr">
        <is>
          <t>IQ Capital</t>
        </is>
      </c>
      <c r="F999" s="19" t="inlineStr">
        <is>
          <t>#39 Instant-Direct 100k</t>
        </is>
      </c>
      <c r="G999" s="22" t="n">
        <v>100000</v>
      </c>
      <c r="H999" s="22" t="n">
        <v>8000</v>
      </c>
      <c r="I999" s="22" t="n">
        <v>2791363.15</v>
      </c>
      <c r="J999" s="19" t="inlineStr">
        <is>
          <t>10 % × 100,000 × split 80%</t>
        </is>
      </c>
    </row>
    <row r="1000">
      <c r="A1000" s="13" t="n">
        <v>999</v>
      </c>
      <c r="B1000" s="14" t="n">
        <v>46492</v>
      </c>
      <c r="C1000" s="15" t="n">
        <v>7</v>
      </c>
      <c r="D1000" s="25" t="inlineStr">
        <is>
          <t>Payout</t>
        </is>
      </c>
      <c r="E1000" s="13" t="inlineStr">
        <is>
          <t>IQ Capital</t>
        </is>
      </c>
      <c r="F1000" s="13" t="inlineStr">
        <is>
          <t>#40 Instant-Direct 100k</t>
        </is>
      </c>
      <c r="G1000" s="17" t="n">
        <v>100000</v>
      </c>
      <c r="H1000" s="17" t="n">
        <v>8000</v>
      </c>
      <c r="I1000" s="17" t="n">
        <v>2799363.15</v>
      </c>
      <c r="J1000" s="13" t="inlineStr">
        <is>
          <t>10 % × 100,000 × split 80%</t>
        </is>
      </c>
    </row>
    <row r="1001">
      <c r="A1001" s="19" t="n">
        <v>1000</v>
      </c>
      <c r="B1001" s="20" t="n">
        <v>46492</v>
      </c>
      <c r="C1001" s="21" t="n">
        <v>7</v>
      </c>
      <c r="D1001" s="25" t="inlineStr">
        <is>
          <t>Payout</t>
        </is>
      </c>
      <c r="E1001" s="19" t="inlineStr">
        <is>
          <t>IQ Capital</t>
        </is>
      </c>
      <c r="F1001" s="19" t="inlineStr">
        <is>
          <t>#41 Instant-Direct 100k</t>
        </is>
      </c>
      <c r="G1001" s="22" t="n">
        <v>100000</v>
      </c>
      <c r="H1001" s="22" t="n">
        <v>8000</v>
      </c>
      <c r="I1001" s="22" t="n">
        <v>2807363.15</v>
      </c>
      <c r="J1001" s="19" t="inlineStr">
        <is>
          <t>10 % × 100,000 × split 80%</t>
        </is>
      </c>
    </row>
    <row r="1002">
      <c r="A1002" s="13" t="n">
        <v>1001</v>
      </c>
      <c r="B1002" s="14" t="n">
        <v>46492</v>
      </c>
      <c r="C1002" s="15" t="n">
        <v>7</v>
      </c>
      <c r="D1002" s="25" t="inlineStr">
        <is>
          <t>Payout</t>
        </is>
      </c>
      <c r="E1002" s="13" t="inlineStr">
        <is>
          <t>IQ Capital</t>
        </is>
      </c>
      <c r="F1002" s="13" t="inlineStr">
        <is>
          <t>#42 Instant-Direct 100k</t>
        </is>
      </c>
      <c r="G1002" s="17" t="n">
        <v>100000</v>
      </c>
      <c r="H1002" s="17" t="n">
        <v>8000</v>
      </c>
      <c r="I1002" s="17" t="n">
        <v>2815363.15</v>
      </c>
      <c r="J1002" s="13" t="inlineStr">
        <is>
          <t>10 % × 100,000 × split 80%</t>
        </is>
      </c>
    </row>
    <row r="1003">
      <c r="A1003" s="19" t="n">
        <v>1002</v>
      </c>
      <c r="B1003" s="20" t="n">
        <v>46492</v>
      </c>
      <c r="C1003" s="21" t="n">
        <v>7</v>
      </c>
      <c r="D1003" s="25" t="inlineStr">
        <is>
          <t>Payout</t>
        </is>
      </c>
      <c r="E1003" s="19" t="inlineStr">
        <is>
          <t>IQ Capital</t>
        </is>
      </c>
      <c r="F1003" s="19" t="inlineStr">
        <is>
          <t>#43 Instant-Direct 100k</t>
        </is>
      </c>
      <c r="G1003" s="22" t="n">
        <v>100000</v>
      </c>
      <c r="H1003" s="22" t="n">
        <v>8000</v>
      </c>
      <c r="I1003" s="22" t="n">
        <v>2823363.15</v>
      </c>
      <c r="J1003" s="19" t="inlineStr">
        <is>
          <t>10 % × 100,000 × split 80%</t>
        </is>
      </c>
    </row>
    <row r="1004">
      <c r="A1004" s="13" t="n">
        <v>1003</v>
      </c>
      <c r="B1004" s="14" t="n">
        <v>46492</v>
      </c>
      <c r="C1004" s="15" t="n">
        <v>7</v>
      </c>
      <c r="D1004" s="25" t="inlineStr">
        <is>
          <t>Payout</t>
        </is>
      </c>
      <c r="E1004" s="13" t="inlineStr">
        <is>
          <t>IQ Capital</t>
        </is>
      </c>
      <c r="F1004" s="13" t="inlineStr">
        <is>
          <t>#44 Instant-Direct 100k</t>
        </is>
      </c>
      <c r="G1004" s="17" t="n">
        <v>100000</v>
      </c>
      <c r="H1004" s="17" t="n">
        <v>8000</v>
      </c>
      <c r="I1004" s="17" t="n">
        <v>2831363.15</v>
      </c>
      <c r="J1004" s="13" t="inlineStr">
        <is>
          <t>10 % × 100,000 × split 80%</t>
        </is>
      </c>
    </row>
    <row r="1005">
      <c r="A1005" s="19" t="n">
        <v>1004</v>
      </c>
      <c r="B1005" s="20" t="n">
        <v>46492</v>
      </c>
      <c r="C1005" s="21" t="n">
        <v>7</v>
      </c>
      <c r="D1005" s="25" t="inlineStr">
        <is>
          <t>Payout</t>
        </is>
      </c>
      <c r="E1005" s="19" t="inlineStr">
        <is>
          <t>IQ Capital</t>
        </is>
      </c>
      <c r="F1005" s="19" t="inlineStr">
        <is>
          <t>#45 Instant-Direct 100k</t>
        </is>
      </c>
      <c r="G1005" s="22" t="n">
        <v>100000</v>
      </c>
      <c r="H1005" s="22" t="n">
        <v>8000</v>
      </c>
      <c r="I1005" s="22" t="n">
        <v>2839363.15</v>
      </c>
      <c r="J1005" s="19" t="inlineStr">
        <is>
          <t>10 % × 100,000 × split 80%</t>
        </is>
      </c>
    </row>
    <row r="1006">
      <c r="A1006" s="13" t="n">
        <v>1005</v>
      </c>
      <c r="B1006" s="14" t="n">
        <v>46492</v>
      </c>
      <c r="C1006" s="15" t="n">
        <v>7</v>
      </c>
      <c r="D1006" s="25" t="inlineStr">
        <is>
          <t>Payout</t>
        </is>
      </c>
      <c r="E1006" s="13" t="inlineStr">
        <is>
          <t>Instant Funding</t>
        </is>
      </c>
      <c r="F1006" s="13" t="inlineStr">
        <is>
          <t>#46 Instant-Direct 120k</t>
        </is>
      </c>
      <c r="G1006" s="17" t="n">
        <v>120000</v>
      </c>
      <c r="H1006" s="17" t="n">
        <v>9600</v>
      </c>
      <c r="I1006" s="17" t="n">
        <v>2848963.15</v>
      </c>
      <c r="J1006" s="13" t="inlineStr">
        <is>
          <t>10 % × 120,000 × split 80%</t>
        </is>
      </c>
    </row>
    <row r="1007">
      <c r="A1007" s="19" t="n">
        <v>1006</v>
      </c>
      <c r="B1007" s="20" t="n">
        <v>46492</v>
      </c>
      <c r="C1007" s="21" t="n">
        <v>7</v>
      </c>
      <c r="D1007" s="25" t="inlineStr">
        <is>
          <t>Payout</t>
        </is>
      </c>
      <c r="E1007" s="19" t="inlineStr">
        <is>
          <t>Instant Funding</t>
        </is>
      </c>
      <c r="F1007" s="19" t="inlineStr">
        <is>
          <t>#47 Instant-Direct 120k</t>
        </is>
      </c>
      <c r="G1007" s="22" t="n">
        <v>120000</v>
      </c>
      <c r="H1007" s="22" t="n">
        <v>9600</v>
      </c>
      <c r="I1007" s="22" t="n">
        <v>2858563.15</v>
      </c>
      <c r="J1007" s="19" t="inlineStr">
        <is>
          <t>10 % × 120,000 × split 80%</t>
        </is>
      </c>
    </row>
    <row r="1008">
      <c r="A1008" s="13" t="n">
        <v>1007</v>
      </c>
      <c r="B1008" s="14" t="n">
        <v>46492</v>
      </c>
      <c r="C1008" s="15" t="n">
        <v>7</v>
      </c>
      <c r="D1008" s="25" t="inlineStr">
        <is>
          <t>Payout</t>
        </is>
      </c>
      <c r="E1008" s="13" t="inlineStr">
        <is>
          <t>Instant Funding</t>
        </is>
      </c>
      <c r="F1008" s="13" t="inlineStr">
        <is>
          <t>#48 Instant-Direct 120k</t>
        </is>
      </c>
      <c r="G1008" s="17" t="n">
        <v>120000</v>
      </c>
      <c r="H1008" s="17" t="n">
        <v>9600</v>
      </c>
      <c r="I1008" s="17" t="n">
        <v>2868163.15</v>
      </c>
      <c r="J1008" s="13" t="inlineStr">
        <is>
          <t>10 % × 120,000 × split 80%</t>
        </is>
      </c>
    </row>
    <row r="1009">
      <c r="A1009" s="19" t="n">
        <v>1008</v>
      </c>
      <c r="B1009" s="20" t="n">
        <v>46492</v>
      </c>
      <c r="C1009" s="21" t="n">
        <v>7</v>
      </c>
      <c r="D1009" s="25" t="inlineStr">
        <is>
          <t>Payout</t>
        </is>
      </c>
      <c r="E1009" s="19" t="inlineStr">
        <is>
          <t>Audacity Capital</t>
        </is>
      </c>
      <c r="F1009" s="19" t="inlineStr">
        <is>
          <t>#49 Instant-Direct 50k</t>
        </is>
      </c>
      <c r="G1009" s="22" t="n">
        <v>50000</v>
      </c>
      <c r="H1009" s="22" t="n">
        <v>4500</v>
      </c>
      <c r="I1009" s="22" t="n">
        <v>2872663.15</v>
      </c>
      <c r="J1009" s="19" t="inlineStr">
        <is>
          <t>10 % × 50,000 × split 90%</t>
        </is>
      </c>
    </row>
    <row r="1010">
      <c r="A1010" s="13" t="n">
        <v>1009</v>
      </c>
      <c r="B1010" s="14" t="n">
        <v>46492</v>
      </c>
      <c r="C1010" s="15" t="n">
        <v>7</v>
      </c>
      <c r="D1010" s="25" t="inlineStr">
        <is>
          <t>Payout</t>
        </is>
      </c>
      <c r="E1010" s="13" t="inlineStr">
        <is>
          <t>Crypto Fund Trader</t>
        </is>
      </c>
      <c r="F1010" s="13" t="inlineStr">
        <is>
          <t>#50 Instant-Direct 10k</t>
        </is>
      </c>
      <c r="G1010" s="17" t="n">
        <v>10000</v>
      </c>
      <c r="H1010" s="17" t="n">
        <v>800</v>
      </c>
      <c r="I1010" s="17" t="n">
        <v>2873463.15</v>
      </c>
      <c r="J1010" s="13" t="inlineStr">
        <is>
          <t>10 % × 10,000 × split 80%</t>
        </is>
      </c>
    </row>
    <row r="1011">
      <c r="A1011" s="19" t="n">
        <v>1010</v>
      </c>
      <c r="B1011" s="20" t="n">
        <v>46492</v>
      </c>
      <c r="C1011" s="21" t="n">
        <v>7</v>
      </c>
      <c r="D1011" s="25" t="inlineStr">
        <is>
          <t>Payout</t>
        </is>
      </c>
      <c r="E1011" s="19" t="inlineStr">
        <is>
          <t>Instant Funding</t>
        </is>
      </c>
      <c r="F1011" s="19" t="inlineStr">
        <is>
          <t>#51 Instant-Direct 120k</t>
        </is>
      </c>
      <c r="G1011" s="22" t="n">
        <v>120000</v>
      </c>
      <c r="H1011" s="22" t="n">
        <v>9600</v>
      </c>
      <c r="I1011" s="22" t="n">
        <v>2883063.15</v>
      </c>
      <c r="J1011" s="19" t="inlineStr">
        <is>
          <t>10 % × 120,000 × split 80%</t>
        </is>
      </c>
    </row>
    <row r="1012">
      <c r="A1012" s="13" t="n">
        <v>1011</v>
      </c>
      <c r="B1012" s="14" t="n">
        <v>46492</v>
      </c>
      <c r="C1012" s="15" t="n">
        <v>7</v>
      </c>
      <c r="D1012" s="25" t="inlineStr">
        <is>
          <t>Payout</t>
        </is>
      </c>
      <c r="E1012" s="13" t="inlineStr">
        <is>
          <t>Instant Funding</t>
        </is>
      </c>
      <c r="F1012" s="13" t="inlineStr">
        <is>
          <t>#52 Instant-Direct 120k</t>
        </is>
      </c>
      <c r="G1012" s="17" t="n">
        <v>120000</v>
      </c>
      <c r="H1012" s="17" t="n">
        <v>9600</v>
      </c>
      <c r="I1012" s="17" t="n">
        <v>2892663.15</v>
      </c>
      <c r="J1012" s="13" t="inlineStr">
        <is>
          <t>10 % × 120,000 × split 80%</t>
        </is>
      </c>
    </row>
    <row r="1013">
      <c r="A1013" s="19" t="n">
        <v>1012</v>
      </c>
      <c r="B1013" s="20" t="n">
        <v>46492</v>
      </c>
      <c r="C1013" s="21" t="n">
        <v>7</v>
      </c>
      <c r="D1013" s="25" t="inlineStr">
        <is>
          <t>Payout</t>
        </is>
      </c>
      <c r="E1013" s="19" t="inlineStr">
        <is>
          <t>Instant Funding</t>
        </is>
      </c>
      <c r="F1013" s="19" t="inlineStr">
        <is>
          <t>#53 Instant-Direct 120k</t>
        </is>
      </c>
      <c r="G1013" s="22" t="n">
        <v>120000</v>
      </c>
      <c r="H1013" s="22" t="n">
        <v>9600</v>
      </c>
      <c r="I1013" s="22" t="n">
        <v>2902263.15</v>
      </c>
      <c r="J1013" s="19" t="inlineStr">
        <is>
          <t>10 % × 120,000 × split 80%</t>
        </is>
      </c>
    </row>
    <row r="1014">
      <c r="A1014" s="13" t="n">
        <v>1013</v>
      </c>
      <c r="B1014" s="14" t="n">
        <v>46492</v>
      </c>
      <c r="C1014" s="15" t="n">
        <v>7</v>
      </c>
      <c r="D1014" s="25" t="inlineStr">
        <is>
          <t>Payout</t>
        </is>
      </c>
      <c r="E1014" s="13" t="inlineStr">
        <is>
          <t>Instant Funding</t>
        </is>
      </c>
      <c r="F1014" s="13" t="inlineStr">
        <is>
          <t>#54 Instant-Direct 120k</t>
        </is>
      </c>
      <c r="G1014" s="17" t="n">
        <v>120000</v>
      </c>
      <c r="H1014" s="17" t="n">
        <v>9600</v>
      </c>
      <c r="I1014" s="17" t="n">
        <v>2911863.15</v>
      </c>
      <c r="J1014" s="13" t="inlineStr">
        <is>
          <t>10 % × 120,000 × split 80%</t>
        </is>
      </c>
    </row>
    <row r="1015">
      <c r="A1015" s="19" t="n">
        <v>1014</v>
      </c>
      <c r="B1015" s="20" t="n">
        <v>46492</v>
      </c>
      <c r="C1015" s="21" t="n">
        <v>7</v>
      </c>
      <c r="D1015" s="25" t="inlineStr">
        <is>
          <t>Payout</t>
        </is>
      </c>
      <c r="E1015" s="19" t="inlineStr">
        <is>
          <t>Instant Funding</t>
        </is>
      </c>
      <c r="F1015" s="19" t="inlineStr">
        <is>
          <t>#55 Instant-Direct 120k</t>
        </is>
      </c>
      <c r="G1015" s="22" t="n">
        <v>120000</v>
      </c>
      <c r="H1015" s="22" t="n">
        <v>9600</v>
      </c>
      <c r="I1015" s="22" t="n">
        <v>2921463.15</v>
      </c>
      <c r="J1015" s="19" t="inlineStr">
        <is>
          <t>10 % × 120,000 × split 80%</t>
        </is>
      </c>
    </row>
    <row r="1016">
      <c r="A1016" s="13" t="n">
        <v>1015</v>
      </c>
      <c r="B1016" s="14" t="n">
        <v>46492</v>
      </c>
      <c r="C1016" s="15" t="n">
        <v>7</v>
      </c>
      <c r="D1016" s="25" t="inlineStr">
        <is>
          <t>Payout</t>
        </is>
      </c>
      <c r="E1016" s="13" t="inlineStr">
        <is>
          <t>Kickstart Trading</t>
        </is>
      </c>
      <c r="F1016" s="13" t="inlineStr">
        <is>
          <t>#56 Instant-Direct 100k</t>
        </is>
      </c>
      <c r="G1016" s="17" t="n">
        <v>100000</v>
      </c>
      <c r="H1016" s="17" t="n">
        <v>8000</v>
      </c>
      <c r="I1016" s="17" t="n">
        <v>2929463.15</v>
      </c>
      <c r="J1016" s="13" t="inlineStr">
        <is>
          <t>10 % × 100,000 × split 80%</t>
        </is>
      </c>
    </row>
    <row r="1017">
      <c r="A1017" s="19" t="n">
        <v>1016</v>
      </c>
      <c r="B1017" s="20" t="n">
        <v>46492</v>
      </c>
      <c r="C1017" s="21" t="n">
        <v>7</v>
      </c>
      <c r="D1017" s="25" t="inlineStr">
        <is>
          <t>Payout</t>
        </is>
      </c>
      <c r="E1017" s="19" t="inlineStr">
        <is>
          <t>Kickstart Trading</t>
        </is>
      </c>
      <c r="F1017" s="19" t="inlineStr">
        <is>
          <t>#57 Instant-Direct 100k</t>
        </is>
      </c>
      <c r="G1017" s="22" t="n">
        <v>100000</v>
      </c>
      <c r="H1017" s="22" t="n">
        <v>8000</v>
      </c>
      <c r="I1017" s="22" t="n">
        <v>2937463.15</v>
      </c>
      <c r="J1017" s="19" t="inlineStr">
        <is>
          <t>10 % × 100,000 × split 80%</t>
        </is>
      </c>
    </row>
    <row r="1018">
      <c r="A1018" s="13" t="n">
        <v>1017</v>
      </c>
      <c r="B1018" s="14" t="n">
        <v>46492</v>
      </c>
      <c r="C1018" s="15" t="n">
        <v>7</v>
      </c>
      <c r="D1018" s="25" t="inlineStr">
        <is>
          <t>Payout</t>
        </is>
      </c>
      <c r="E1018" s="13" t="inlineStr">
        <is>
          <t>Kickstart Trading</t>
        </is>
      </c>
      <c r="F1018" s="13" t="inlineStr">
        <is>
          <t>#58 Instant-Direct 100k</t>
        </is>
      </c>
      <c r="G1018" s="17" t="n">
        <v>100000</v>
      </c>
      <c r="H1018" s="17" t="n">
        <v>8000</v>
      </c>
      <c r="I1018" s="17" t="n">
        <v>2945463.15</v>
      </c>
      <c r="J1018" s="13" t="inlineStr">
        <is>
          <t>10 % × 100,000 × split 80%</t>
        </is>
      </c>
    </row>
    <row r="1019">
      <c r="A1019" s="19" t="n">
        <v>1018</v>
      </c>
      <c r="B1019" s="20" t="n">
        <v>46492</v>
      </c>
      <c r="C1019" s="21" t="n">
        <v>7</v>
      </c>
      <c r="D1019" s="25" t="inlineStr">
        <is>
          <t>Payout</t>
        </is>
      </c>
      <c r="E1019" s="19" t="inlineStr">
        <is>
          <t>Kickstart Trading</t>
        </is>
      </c>
      <c r="F1019" s="19" t="inlineStr">
        <is>
          <t>#59 Instant-Direct 100k</t>
        </is>
      </c>
      <c r="G1019" s="22" t="n">
        <v>100000</v>
      </c>
      <c r="H1019" s="22" t="n">
        <v>8000</v>
      </c>
      <c r="I1019" s="22" t="n">
        <v>2953463.15</v>
      </c>
      <c r="J1019" s="19" t="inlineStr">
        <is>
          <t>10 % × 100,000 × split 80%</t>
        </is>
      </c>
    </row>
    <row r="1020">
      <c r="A1020" s="13" t="n">
        <v>1019</v>
      </c>
      <c r="B1020" s="14" t="n">
        <v>46492</v>
      </c>
      <c r="C1020" s="15" t="n">
        <v>7</v>
      </c>
      <c r="D1020" s="25" t="inlineStr">
        <is>
          <t>Payout</t>
        </is>
      </c>
      <c r="E1020" s="13" t="inlineStr">
        <is>
          <t>Kickstart Trading</t>
        </is>
      </c>
      <c r="F1020" s="13" t="inlineStr">
        <is>
          <t>#60 Instant-Direct 100k</t>
        </is>
      </c>
      <c r="G1020" s="17" t="n">
        <v>100000</v>
      </c>
      <c r="H1020" s="17" t="n">
        <v>8000</v>
      </c>
      <c r="I1020" s="17" t="n">
        <v>2961463.15</v>
      </c>
      <c r="J1020" s="13" t="inlineStr">
        <is>
          <t>10 % × 100,000 × split 80%</t>
        </is>
      </c>
    </row>
    <row r="1021">
      <c r="A1021" s="19" t="n">
        <v>1020</v>
      </c>
      <c r="B1021" s="20" t="n">
        <v>46492</v>
      </c>
      <c r="C1021" s="21" t="n">
        <v>7</v>
      </c>
      <c r="D1021" s="25" t="inlineStr">
        <is>
          <t>Payout</t>
        </is>
      </c>
      <c r="E1021" s="19" t="inlineStr">
        <is>
          <t>Kickstart Trading</t>
        </is>
      </c>
      <c r="F1021" s="19" t="inlineStr">
        <is>
          <t>#61 Instant-Direct 100k</t>
        </is>
      </c>
      <c r="G1021" s="22" t="n">
        <v>100000</v>
      </c>
      <c r="H1021" s="22" t="n">
        <v>8000</v>
      </c>
      <c r="I1021" s="22" t="n">
        <v>2969463.15</v>
      </c>
      <c r="J1021" s="19" t="inlineStr">
        <is>
          <t>10 % × 100,000 × split 80%</t>
        </is>
      </c>
    </row>
    <row r="1022">
      <c r="A1022" s="13" t="n">
        <v>1021</v>
      </c>
      <c r="B1022" s="14" t="n">
        <v>46492</v>
      </c>
      <c r="C1022" s="15" t="n">
        <v>7</v>
      </c>
      <c r="D1022" s="25" t="inlineStr">
        <is>
          <t>Payout</t>
        </is>
      </c>
      <c r="E1022" s="13" t="inlineStr">
        <is>
          <t>Kickstart Trading</t>
        </is>
      </c>
      <c r="F1022" s="13" t="inlineStr">
        <is>
          <t>#62 Instant-Direct 100k</t>
        </is>
      </c>
      <c r="G1022" s="17" t="n">
        <v>100000</v>
      </c>
      <c r="H1022" s="17" t="n">
        <v>8000</v>
      </c>
      <c r="I1022" s="17" t="n">
        <v>2977463.15</v>
      </c>
      <c r="J1022" s="13" t="inlineStr">
        <is>
          <t>10 % × 100,000 × split 80%</t>
        </is>
      </c>
    </row>
    <row r="1023">
      <c r="A1023" s="19" t="n">
        <v>1022</v>
      </c>
      <c r="B1023" s="20" t="n">
        <v>46492</v>
      </c>
      <c r="C1023" s="21" t="n">
        <v>7</v>
      </c>
      <c r="D1023" s="25" t="inlineStr">
        <is>
          <t>Payout</t>
        </is>
      </c>
      <c r="E1023" s="19" t="inlineStr">
        <is>
          <t>Kickstart Trading</t>
        </is>
      </c>
      <c r="F1023" s="19" t="inlineStr">
        <is>
          <t>#63 Instant-Direct 100k</t>
        </is>
      </c>
      <c r="G1023" s="22" t="n">
        <v>100000</v>
      </c>
      <c r="H1023" s="22" t="n">
        <v>8000</v>
      </c>
      <c r="I1023" s="22" t="n">
        <v>2985463.15</v>
      </c>
      <c r="J1023" s="19" t="inlineStr">
        <is>
          <t>10 % × 100,000 × split 80%</t>
        </is>
      </c>
    </row>
    <row r="1024">
      <c r="A1024" s="13" t="n">
        <v>1023</v>
      </c>
      <c r="B1024" s="14" t="n">
        <v>46492</v>
      </c>
      <c r="C1024" s="15" t="n">
        <v>7</v>
      </c>
      <c r="D1024" s="25" t="inlineStr">
        <is>
          <t>Payout</t>
        </is>
      </c>
      <c r="E1024" s="13" t="inlineStr">
        <is>
          <t>Kickstart Trading</t>
        </is>
      </c>
      <c r="F1024" s="13" t="inlineStr">
        <is>
          <t>#64 Instant-Direct 100k</t>
        </is>
      </c>
      <c r="G1024" s="17" t="n">
        <v>100000</v>
      </c>
      <c r="H1024" s="17" t="n">
        <v>8000</v>
      </c>
      <c r="I1024" s="17" t="n">
        <v>2993463.15</v>
      </c>
      <c r="J1024" s="13" t="inlineStr">
        <is>
          <t>10 % × 100,000 × split 80%</t>
        </is>
      </c>
    </row>
    <row r="1025">
      <c r="A1025" s="19" t="n">
        <v>1024</v>
      </c>
      <c r="B1025" s="20" t="n">
        <v>46492</v>
      </c>
      <c r="C1025" s="21" t="n">
        <v>7</v>
      </c>
      <c r="D1025" s="25" t="inlineStr">
        <is>
          <t>Payout</t>
        </is>
      </c>
      <c r="E1025" s="19" t="inlineStr">
        <is>
          <t>Kickstart Trading</t>
        </is>
      </c>
      <c r="F1025" s="19" t="inlineStr">
        <is>
          <t>#65 Instant-Direct 100k</t>
        </is>
      </c>
      <c r="G1025" s="22" t="n">
        <v>100000</v>
      </c>
      <c r="H1025" s="22" t="n">
        <v>8000</v>
      </c>
      <c r="I1025" s="22" t="n">
        <v>3001463.15</v>
      </c>
      <c r="J1025" s="19" t="inlineStr">
        <is>
          <t>10 % × 100,000 × split 80%</t>
        </is>
      </c>
    </row>
    <row r="1026">
      <c r="A1026" s="13" t="n">
        <v>1025</v>
      </c>
      <c r="B1026" s="14" t="n">
        <v>46492</v>
      </c>
      <c r="C1026" s="15" t="n">
        <v>7</v>
      </c>
      <c r="D1026" s="25" t="inlineStr">
        <is>
          <t>Payout</t>
        </is>
      </c>
      <c r="E1026" s="13" t="inlineStr">
        <is>
          <t>Audacity Capital</t>
        </is>
      </c>
      <c r="F1026" s="13" t="inlineStr">
        <is>
          <t>#66 Instant-Direct 50k</t>
        </is>
      </c>
      <c r="G1026" s="17" t="n">
        <v>50000</v>
      </c>
      <c r="H1026" s="17" t="n">
        <v>4500</v>
      </c>
      <c r="I1026" s="17" t="n">
        <v>3005963.15</v>
      </c>
      <c r="J1026" s="13" t="inlineStr">
        <is>
          <t>10 % × 50,000 × split 90%</t>
        </is>
      </c>
    </row>
    <row r="1027">
      <c r="A1027" s="19" t="n">
        <v>1026</v>
      </c>
      <c r="B1027" s="20" t="n">
        <v>46492</v>
      </c>
      <c r="C1027" s="21" t="n">
        <v>7</v>
      </c>
      <c r="D1027" s="25" t="inlineStr">
        <is>
          <t>Payout</t>
        </is>
      </c>
      <c r="E1027" s="19" t="inlineStr">
        <is>
          <t>Audacity Capital</t>
        </is>
      </c>
      <c r="F1027" s="19" t="inlineStr">
        <is>
          <t>#67 Instant-Direct 50k</t>
        </is>
      </c>
      <c r="G1027" s="22" t="n">
        <v>50000</v>
      </c>
      <c r="H1027" s="22" t="n">
        <v>4500</v>
      </c>
      <c r="I1027" s="22" t="n">
        <v>3010463.15</v>
      </c>
      <c r="J1027" s="19" t="inlineStr">
        <is>
          <t>10 % × 50,000 × split 90%</t>
        </is>
      </c>
    </row>
    <row r="1028">
      <c r="A1028" s="13" t="n">
        <v>1027</v>
      </c>
      <c r="B1028" s="14" t="n">
        <v>46492</v>
      </c>
      <c r="C1028" s="15" t="n">
        <v>7</v>
      </c>
      <c r="D1028" s="25" t="inlineStr">
        <is>
          <t>Payout</t>
        </is>
      </c>
      <c r="E1028" s="13" t="inlineStr">
        <is>
          <t>Audacity Capital</t>
        </is>
      </c>
      <c r="F1028" s="13" t="inlineStr">
        <is>
          <t>#68 Instant-Direct 50k</t>
        </is>
      </c>
      <c r="G1028" s="17" t="n">
        <v>50000</v>
      </c>
      <c r="H1028" s="17" t="n">
        <v>4500</v>
      </c>
      <c r="I1028" s="17" t="n">
        <v>3014963.15</v>
      </c>
      <c r="J1028" s="13" t="inlineStr">
        <is>
          <t>10 % × 50,000 × split 90%</t>
        </is>
      </c>
    </row>
    <row r="1029">
      <c r="A1029" s="19" t="n">
        <v>1028</v>
      </c>
      <c r="B1029" s="20" t="n">
        <v>46492</v>
      </c>
      <c r="C1029" s="21" t="n">
        <v>7</v>
      </c>
      <c r="D1029" s="25" t="inlineStr">
        <is>
          <t>Payout</t>
        </is>
      </c>
      <c r="E1029" s="19" t="inlineStr">
        <is>
          <t>Audacity Capital</t>
        </is>
      </c>
      <c r="F1029" s="19" t="inlineStr">
        <is>
          <t>#69 Instant-Direct 50k</t>
        </is>
      </c>
      <c r="G1029" s="22" t="n">
        <v>50000</v>
      </c>
      <c r="H1029" s="22" t="n">
        <v>4500</v>
      </c>
      <c r="I1029" s="22" t="n">
        <v>3019463.15</v>
      </c>
      <c r="J1029" s="19" t="inlineStr">
        <is>
          <t>10 % × 50,000 × split 90%</t>
        </is>
      </c>
    </row>
    <row r="1030">
      <c r="A1030" s="13" t="n">
        <v>1029</v>
      </c>
      <c r="B1030" s="14" t="n">
        <v>46492</v>
      </c>
      <c r="C1030" s="15" t="n">
        <v>7</v>
      </c>
      <c r="D1030" s="25" t="inlineStr">
        <is>
          <t>Payout</t>
        </is>
      </c>
      <c r="E1030" s="13" t="inlineStr">
        <is>
          <t>Audacity Capital</t>
        </is>
      </c>
      <c r="F1030" s="13" t="inlineStr">
        <is>
          <t>#70 Instant-Direct 50k</t>
        </is>
      </c>
      <c r="G1030" s="17" t="n">
        <v>50000</v>
      </c>
      <c r="H1030" s="17" t="n">
        <v>4500</v>
      </c>
      <c r="I1030" s="17" t="n">
        <v>3023963.15</v>
      </c>
      <c r="J1030" s="13" t="inlineStr">
        <is>
          <t>10 % × 50,000 × split 90%</t>
        </is>
      </c>
    </row>
    <row r="1031">
      <c r="A1031" s="19" t="n">
        <v>1030</v>
      </c>
      <c r="B1031" s="20" t="n">
        <v>46492</v>
      </c>
      <c r="C1031" s="21" t="n">
        <v>7</v>
      </c>
      <c r="D1031" s="25" t="inlineStr">
        <is>
          <t>Payout</t>
        </is>
      </c>
      <c r="E1031" s="19" t="inlineStr">
        <is>
          <t>Audacity Capital</t>
        </is>
      </c>
      <c r="F1031" s="19" t="inlineStr">
        <is>
          <t>#71 Instant-Direct 50k</t>
        </is>
      </c>
      <c r="G1031" s="22" t="n">
        <v>50000</v>
      </c>
      <c r="H1031" s="22" t="n">
        <v>4500</v>
      </c>
      <c r="I1031" s="22" t="n">
        <v>3028463.15</v>
      </c>
      <c r="J1031" s="19" t="inlineStr">
        <is>
          <t>10 % × 50,000 × split 90%</t>
        </is>
      </c>
    </row>
    <row r="1032">
      <c r="A1032" s="13" t="n">
        <v>1031</v>
      </c>
      <c r="B1032" s="14" t="n">
        <v>46492</v>
      </c>
      <c r="C1032" s="15" t="n">
        <v>7</v>
      </c>
      <c r="D1032" s="25" t="inlineStr">
        <is>
          <t>Payout</t>
        </is>
      </c>
      <c r="E1032" s="13" t="inlineStr">
        <is>
          <t>Audacity Capital</t>
        </is>
      </c>
      <c r="F1032" s="13" t="inlineStr">
        <is>
          <t>#72 Instant-Direct 50k</t>
        </is>
      </c>
      <c r="G1032" s="17" t="n">
        <v>50000</v>
      </c>
      <c r="H1032" s="17" t="n">
        <v>4500</v>
      </c>
      <c r="I1032" s="17" t="n">
        <v>3032963.15</v>
      </c>
      <c r="J1032" s="13" t="inlineStr">
        <is>
          <t>10 % × 50,000 × split 90%</t>
        </is>
      </c>
    </row>
    <row r="1033">
      <c r="A1033" s="19" t="n">
        <v>1032</v>
      </c>
      <c r="B1033" s="20" t="n">
        <v>46492</v>
      </c>
      <c r="C1033" s="21" t="n">
        <v>7</v>
      </c>
      <c r="D1033" s="25" t="inlineStr">
        <is>
          <t>Payout</t>
        </is>
      </c>
      <c r="E1033" s="19" t="inlineStr">
        <is>
          <t>Audacity Capital</t>
        </is>
      </c>
      <c r="F1033" s="19" t="inlineStr">
        <is>
          <t>#73 Instant-Direct 50k</t>
        </is>
      </c>
      <c r="G1033" s="22" t="n">
        <v>50000</v>
      </c>
      <c r="H1033" s="22" t="n">
        <v>4500</v>
      </c>
      <c r="I1033" s="22" t="n">
        <v>3037463.15</v>
      </c>
      <c r="J1033" s="19" t="inlineStr">
        <is>
          <t>10 % × 50,000 × split 90%</t>
        </is>
      </c>
    </row>
    <row r="1034">
      <c r="A1034" s="13" t="n">
        <v>1033</v>
      </c>
      <c r="B1034" s="14" t="n">
        <v>46492</v>
      </c>
      <c r="C1034" s="15" t="n">
        <v>7</v>
      </c>
      <c r="D1034" s="25" t="inlineStr">
        <is>
          <t>Payout</t>
        </is>
      </c>
      <c r="E1034" s="13" t="inlineStr">
        <is>
          <t>Audacity Capital</t>
        </is>
      </c>
      <c r="F1034" s="13" t="inlineStr">
        <is>
          <t>#74 Instant-Direct 50k</t>
        </is>
      </c>
      <c r="G1034" s="17" t="n">
        <v>50000</v>
      </c>
      <c r="H1034" s="17" t="n">
        <v>4500</v>
      </c>
      <c r="I1034" s="17" t="n">
        <v>3041963.15</v>
      </c>
      <c r="J1034" s="13" t="inlineStr">
        <is>
          <t>10 % × 50,000 × split 90%</t>
        </is>
      </c>
    </row>
    <row r="1035">
      <c r="A1035" s="19" t="n">
        <v>1034</v>
      </c>
      <c r="B1035" s="20" t="n">
        <v>46492</v>
      </c>
      <c r="C1035" s="21" t="n">
        <v>7</v>
      </c>
      <c r="D1035" s="25" t="inlineStr">
        <is>
          <t>Payout</t>
        </is>
      </c>
      <c r="E1035" s="19" t="inlineStr">
        <is>
          <t>Audacity Capital</t>
        </is>
      </c>
      <c r="F1035" s="19" t="inlineStr">
        <is>
          <t>#75 Instant-Direct 50k</t>
        </is>
      </c>
      <c r="G1035" s="22" t="n">
        <v>50000</v>
      </c>
      <c r="H1035" s="22" t="n">
        <v>4500</v>
      </c>
      <c r="I1035" s="22" t="n">
        <v>3046463.15</v>
      </c>
      <c r="J1035" s="19" t="inlineStr">
        <is>
          <t>10 % × 50,000 × split 90%</t>
        </is>
      </c>
    </row>
    <row r="1036">
      <c r="A1036" s="13" t="n">
        <v>1035</v>
      </c>
      <c r="B1036" s="14" t="n">
        <v>46492</v>
      </c>
      <c r="C1036" s="15" t="n">
        <v>7</v>
      </c>
      <c r="D1036" s="25" t="inlineStr">
        <is>
          <t>Payout</t>
        </is>
      </c>
      <c r="E1036" s="13" t="inlineStr">
        <is>
          <t>Audacity Capital</t>
        </is>
      </c>
      <c r="F1036" s="13" t="inlineStr">
        <is>
          <t>#76 Instant-Direct 50k</t>
        </is>
      </c>
      <c r="G1036" s="17" t="n">
        <v>50000</v>
      </c>
      <c r="H1036" s="17" t="n">
        <v>4500</v>
      </c>
      <c r="I1036" s="17" t="n">
        <v>3050963.15</v>
      </c>
      <c r="J1036" s="13" t="inlineStr">
        <is>
          <t>10 % × 50,000 × split 90%</t>
        </is>
      </c>
    </row>
    <row r="1037">
      <c r="A1037" s="19" t="n">
        <v>1036</v>
      </c>
      <c r="B1037" s="20" t="n">
        <v>46492</v>
      </c>
      <c r="C1037" s="21" t="n">
        <v>7</v>
      </c>
      <c r="D1037" s="25" t="inlineStr">
        <is>
          <t>Payout</t>
        </is>
      </c>
      <c r="E1037" s="19" t="inlineStr">
        <is>
          <t>Audacity Capital</t>
        </is>
      </c>
      <c r="F1037" s="19" t="inlineStr">
        <is>
          <t>#77 Instant-Direct 50k</t>
        </is>
      </c>
      <c r="G1037" s="22" t="n">
        <v>50000</v>
      </c>
      <c r="H1037" s="22" t="n">
        <v>4500</v>
      </c>
      <c r="I1037" s="22" t="n">
        <v>3055463.15</v>
      </c>
      <c r="J1037" s="19" t="inlineStr">
        <is>
          <t>10 % × 50,000 × split 90%</t>
        </is>
      </c>
    </row>
    <row r="1038">
      <c r="A1038" s="13" t="n">
        <v>1037</v>
      </c>
      <c r="B1038" s="14" t="n">
        <v>46492</v>
      </c>
      <c r="C1038" s="15" t="n">
        <v>7</v>
      </c>
      <c r="D1038" s="25" t="inlineStr">
        <is>
          <t>Payout</t>
        </is>
      </c>
      <c r="E1038" s="13" t="inlineStr">
        <is>
          <t>Audacity Capital</t>
        </is>
      </c>
      <c r="F1038" s="13" t="inlineStr">
        <is>
          <t>#78 Instant-Direct 50k</t>
        </is>
      </c>
      <c r="G1038" s="17" t="n">
        <v>50000</v>
      </c>
      <c r="H1038" s="17" t="n">
        <v>4500</v>
      </c>
      <c r="I1038" s="17" t="n">
        <v>3059963.15</v>
      </c>
      <c r="J1038" s="13" t="inlineStr">
        <is>
          <t>10 % × 50,000 × split 90%</t>
        </is>
      </c>
    </row>
    <row r="1039">
      <c r="A1039" s="19" t="n">
        <v>1038</v>
      </c>
      <c r="B1039" s="20" t="n">
        <v>46492</v>
      </c>
      <c r="C1039" s="21" t="n">
        <v>7</v>
      </c>
      <c r="D1039" s="25" t="inlineStr">
        <is>
          <t>Payout</t>
        </is>
      </c>
      <c r="E1039" s="19" t="inlineStr">
        <is>
          <t>Fill88</t>
        </is>
      </c>
      <c r="F1039" s="19" t="inlineStr">
        <is>
          <t>#79 Instant-Direct 100k</t>
        </is>
      </c>
      <c r="G1039" s="22" t="n">
        <v>100000</v>
      </c>
      <c r="H1039" s="22" t="n">
        <v>8000</v>
      </c>
      <c r="I1039" s="22" t="n">
        <v>3067963.15</v>
      </c>
      <c r="J1039" s="19" t="inlineStr">
        <is>
          <t>10 % × 100,000 × split 80%</t>
        </is>
      </c>
    </row>
    <row r="1040">
      <c r="A1040" s="13" t="n">
        <v>1039</v>
      </c>
      <c r="B1040" s="14" t="n">
        <v>46492</v>
      </c>
      <c r="C1040" s="15" t="n">
        <v>7</v>
      </c>
      <c r="D1040" s="25" t="inlineStr">
        <is>
          <t>Payout</t>
        </is>
      </c>
      <c r="E1040" s="13" t="inlineStr">
        <is>
          <t>Fill88</t>
        </is>
      </c>
      <c r="F1040" s="13" t="inlineStr">
        <is>
          <t>#80 Instant-Direct 100k</t>
        </is>
      </c>
      <c r="G1040" s="17" t="n">
        <v>100000</v>
      </c>
      <c r="H1040" s="17" t="n">
        <v>8000</v>
      </c>
      <c r="I1040" s="17" t="n">
        <v>3075963.15</v>
      </c>
      <c r="J1040" s="13" t="inlineStr">
        <is>
          <t>10 % × 100,000 × split 80%</t>
        </is>
      </c>
    </row>
    <row r="1041">
      <c r="A1041" s="19" t="n">
        <v>1040</v>
      </c>
      <c r="B1041" s="20" t="n">
        <v>46492</v>
      </c>
      <c r="C1041" s="21" t="n">
        <v>7</v>
      </c>
      <c r="D1041" s="25" t="inlineStr">
        <is>
          <t>Payout</t>
        </is>
      </c>
      <c r="E1041" s="19" t="inlineStr">
        <is>
          <t>Fill88</t>
        </is>
      </c>
      <c r="F1041" s="19" t="inlineStr">
        <is>
          <t>#81 Instant-Direct 100k</t>
        </is>
      </c>
      <c r="G1041" s="22" t="n">
        <v>100000</v>
      </c>
      <c r="H1041" s="22" t="n">
        <v>8000</v>
      </c>
      <c r="I1041" s="22" t="n">
        <v>3083963.15</v>
      </c>
      <c r="J1041" s="19" t="inlineStr">
        <is>
          <t>10 % × 100,000 × split 80%</t>
        </is>
      </c>
    </row>
    <row r="1042">
      <c r="A1042" s="13" t="n">
        <v>1041</v>
      </c>
      <c r="B1042" s="14" t="n">
        <v>46492</v>
      </c>
      <c r="C1042" s="15" t="n">
        <v>7</v>
      </c>
      <c r="D1042" s="25" t="inlineStr">
        <is>
          <t>Payout</t>
        </is>
      </c>
      <c r="E1042" s="13" t="inlineStr">
        <is>
          <t>Fill88</t>
        </is>
      </c>
      <c r="F1042" s="13" t="inlineStr">
        <is>
          <t>#82 Instant-Direct 100k</t>
        </is>
      </c>
      <c r="G1042" s="17" t="n">
        <v>100000</v>
      </c>
      <c r="H1042" s="17" t="n">
        <v>8000</v>
      </c>
      <c r="I1042" s="17" t="n">
        <v>3091963.15</v>
      </c>
      <c r="J1042" s="13" t="inlineStr">
        <is>
          <t>10 % × 100,000 × split 80%</t>
        </is>
      </c>
    </row>
    <row r="1043">
      <c r="A1043" s="19" t="n">
        <v>1042</v>
      </c>
      <c r="B1043" s="20" t="n">
        <v>46492</v>
      </c>
      <c r="C1043" s="21" t="n">
        <v>7</v>
      </c>
      <c r="D1043" s="25" t="inlineStr">
        <is>
          <t>Payout</t>
        </is>
      </c>
      <c r="E1043" s="19" t="inlineStr">
        <is>
          <t>Fill88</t>
        </is>
      </c>
      <c r="F1043" s="19" t="inlineStr">
        <is>
          <t>#83 Instant-Direct 100k</t>
        </is>
      </c>
      <c r="G1043" s="22" t="n">
        <v>100000</v>
      </c>
      <c r="H1043" s="22" t="n">
        <v>8000</v>
      </c>
      <c r="I1043" s="22" t="n">
        <v>3099963.15</v>
      </c>
      <c r="J1043" s="19" t="inlineStr">
        <is>
          <t>10 % × 100,000 × split 80%</t>
        </is>
      </c>
    </row>
    <row r="1044">
      <c r="A1044" s="13" t="n">
        <v>1043</v>
      </c>
      <c r="B1044" s="14" t="n">
        <v>46492</v>
      </c>
      <c r="C1044" s="15" t="n">
        <v>7</v>
      </c>
      <c r="D1044" s="25" t="inlineStr">
        <is>
          <t>Payout</t>
        </is>
      </c>
      <c r="E1044" s="13" t="inlineStr">
        <is>
          <t>Fill88</t>
        </is>
      </c>
      <c r="F1044" s="13" t="inlineStr">
        <is>
          <t>#84 Instant-Direct 100k</t>
        </is>
      </c>
      <c r="G1044" s="17" t="n">
        <v>100000</v>
      </c>
      <c r="H1044" s="17" t="n">
        <v>8000</v>
      </c>
      <c r="I1044" s="17" t="n">
        <v>3107963.15</v>
      </c>
      <c r="J1044" s="13" t="inlineStr">
        <is>
          <t>10 % × 100,000 × split 80%</t>
        </is>
      </c>
    </row>
    <row r="1045">
      <c r="A1045" s="19" t="n">
        <v>1044</v>
      </c>
      <c r="B1045" s="20" t="n">
        <v>46492</v>
      </c>
      <c r="C1045" s="21" t="n">
        <v>7</v>
      </c>
      <c r="D1045" s="25" t="inlineStr">
        <is>
          <t>Payout</t>
        </is>
      </c>
      <c r="E1045" s="19" t="inlineStr">
        <is>
          <t>Finotive Funding</t>
        </is>
      </c>
      <c r="F1045" s="19" t="inlineStr">
        <is>
          <t>#85 Instant-Direct 100k</t>
        </is>
      </c>
      <c r="G1045" s="22" t="n">
        <v>100000</v>
      </c>
      <c r="H1045" s="22" t="n">
        <v>7500</v>
      </c>
      <c r="I1045" s="22" t="n">
        <v>3115463.15</v>
      </c>
      <c r="J1045" s="19" t="inlineStr">
        <is>
          <t>10 % × 100,000 × split 75%</t>
        </is>
      </c>
    </row>
    <row r="1046">
      <c r="A1046" s="13" t="n">
        <v>1045</v>
      </c>
      <c r="B1046" s="14" t="n">
        <v>46492</v>
      </c>
      <c r="C1046" s="15" t="n">
        <v>7</v>
      </c>
      <c r="D1046" s="25" t="inlineStr">
        <is>
          <t>Payout</t>
        </is>
      </c>
      <c r="E1046" s="13" t="inlineStr">
        <is>
          <t>Finotive Funding</t>
        </is>
      </c>
      <c r="F1046" s="13" t="inlineStr">
        <is>
          <t>#86 Instant-Direct 100k</t>
        </is>
      </c>
      <c r="G1046" s="17" t="n">
        <v>100000</v>
      </c>
      <c r="H1046" s="17" t="n">
        <v>7500</v>
      </c>
      <c r="I1046" s="17" t="n">
        <v>3122963.15</v>
      </c>
      <c r="J1046" s="13" t="inlineStr">
        <is>
          <t>10 % × 100,000 × split 75%</t>
        </is>
      </c>
    </row>
    <row r="1047">
      <c r="A1047" s="19" t="n">
        <v>1046</v>
      </c>
      <c r="B1047" s="20" t="n">
        <v>46492</v>
      </c>
      <c r="C1047" s="21" t="n">
        <v>7</v>
      </c>
      <c r="D1047" s="25" t="inlineStr">
        <is>
          <t>Payout</t>
        </is>
      </c>
      <c r="E1047" s="19" t="inlineStr">
        <is>
          <t>Finotive Funding</t>
        </is>
      </c>
      <c r="F1047" s="19" t="inlineStr">
        <is>
          <t>#87 Instant-Direct 100k</t>
        </is>
      </c>
      <c r="G1047" s="22" t="n">
        <v>100000</v>
      </c>
      <c r="H1047" s="22" t="n">
        <v>7500</v>
      </c>
      <c r="I1047" s="22" t="n">
        <v>3130463.15</v>
      </c>
      <c r="J1047" s="19" t="inlineStr">
        <is>
          <t>10 % × 100,000 × split 75%</t>
        </is>
      </c>
    </row>
    <row r="1048">
      <c r="A1048" s="13" t="n">
        <v>1047</v>
      </c>
      <c r="B1048" s="14" t="n">
        <v>46492</v>
      </c>
      <c r="C1048" s="15" t="n">
        <v>7</v>
      </c>
      <c r="D1048" s="25" t="inlineStr">
        <is>
          <t>Payout</t>
        </is>
      </c>
      <c r="E1048" s="13" t="inlineStr">
        <is>
          <t>Finotive Funding</t>
        </is>
      </c>
      <c r="F1048" s="13" t="inlineStr">
        <is>
          <t>#88 Instant-Direct 100k</t>
        </is>
      </c>
      <c r="G1048" s="17" t="n">
        <v>100000</v>
      </c>
      <c r="H1048" s="17" t="n">
        <v>7500</v>
      </c>
      <c r="I1048" s="17" t="n">
        <v>3137963.15</v>
      </c>
      <c r="J1048" s="13" t="inlineStr">
        <is>
          <t>10 % × 100,000 × split 75%</t>
        </is>
      </c>
    </row>
    <row r="1049">
      <c r="A1049" s="19" t="n">
        <v>1048</v>
      </c>
      <c r="B1049" s="20" t="n">
        <v>46492</v>
      </c>
      <c r="C1049" s="21" t="n">
        <v>7</v>
      </c>
      <c r="D1049" s="25" t="inlineStr">
        <is>
          <t>Payout</t>
        </is>
      </c>
      <c r="E1049" s="19" t="inlineStr">
        <is>
          <t>Finotive Funding</t>
        </is>
      </c>
      <c r="F1049" s="19" t="inlineStr">
        <is>
          <t>#89 Instant-Direct 100k</t>
        </is>
      </c>
      <c r="G1049" s="22" t="n">
        <v>100000</v>
      </c>
      <c r="H1049" s="22" t="n">
        <v>7500</v>
      </c>
      <c r="I1049" s="22" t="n">
        <v>3145463.15</v>
      </c>
      <c r="J1049" s="19" t="inlineStr">
        <is>
          <t>10 % × 100,000 × split 75%</t>
        </is>
      </c>
    </row>
    <row r="1050">
      <c r="A1050" s="13" t="n">
        <v>1049</v>
      </c>
      <c r="B1050" s="14" t="n">
        <v>46492</v>
      </c>
      <c r="C1050" s="15" t="n">
        <v>7</v>
      </c>
      <c r="D1050" s="25" t="inlineStr">
        <is>
          <t>Payout</t>
        </is>
      </c>
      <c r="E1050" s="13" t="inlineStr">
        <is>
          <t>Finotive Funding</t>
        </is>
      </c>
      <c r="F1050" s="13" t="inlineStr">
        <is>
          <t>#90 Instant-Direct 100k</t>
        </is>
      </c>
      <c r="G1050" s="17" t="n">
        <v>100000</v>
      </c>
      <c r="H1050" s="17" t="n">
        <v>7500</v>
      </c>
      <c r="I1050" s="17" t="n">
        <v>3152963.15</v>
      </c>
      <c r="J1050" s="13" t="inlineStr">
        <is>
          <t>10 % × 100,000 × split 75%</t>
        </is>
      </c>
    </row>
    <row r="1051">
      <c r="A1051" s="19" t="n">
        <v>1050</v>
      </c>
      <c r="B1051" s="20" t="n">
        <v>46492</v>
      </c>
      <c r="C1051" s="21" t="n">
        <v>7</v>
      </c>
      <c r="D1051" s="25" t="inlineStr">
        <is>
          <t>Payout</t>
        </is>
      </c>
      <c r="E1051" s="19" t="inlineStr">
        <is>
          <t>FNC Funding</t>
        </is>
      </c>
      <c r="F1051" s="19" t="inlineStr">
        <is>
          <t>#91 Instant-Direct 100k</t>
        </is>
      </c>
      <c r="G1051" s="22" t="n">
        <v>100000</v>
      </c>
      <c r="H1051" s="22" t="n">
        <v>7500</v>
      </c>
      <c r="I1051" s="22" t="n">
        <v>3160463.15</v>
      </c>
      <c r="J1051" s="19" t="inlineStr">
        <is>
          <t>10 % × 100,000 × split 75%</t>
        </is>
      </c>
    </row>
    <row r="1052">
      <c r="A1052" s="13" t="n">
        <v>1051</v>
      </c>
      <c r="B1052" s="14" t="n">
        <v>46492</v>
      </c>
      <c r="C1052" s="15" t="n">
        <v>7</v>
      </c>
      <c r="D1052" s="25" t="inlineStr">
        <is>
          <t>Payout</t>
        </is>
      </c>
      <c r="E1052" s="13" t="inlineStr">
        <is>
          <t>FNC Funding</t>
        </is>
      </c>
      <c r="F1052" s="13" t="inlineStr">
        <is>
          <t>#92 Instant-Direct 100k</t>
        </is>
      </c>
      <c r="G1052" s="17" t="n">
        <v>100000</v>
      </c>
      <c r="H1052" s="17" t="n">
        <v>7500</v>
      </c>
      <c r="I1052" s="17" t="n">
        <v>3167963.15</v>
      </c>
      <c r="J1052" s="13" t="inlineStr">
        <is>
          <t>10 % × 100,000 × split 75%</t>
        </is>
      </c>
    </row>
    <row r="1053">
      <c r="A1053" s="19" t="n">
        <v>1052</v>
      </c>
      <c r="B1053" s="20" t="n">
        <v>46492</v>
      </c>
      <c r="C1053" s="21" t="n">
        <v>7</v>
      </c>
      <c r="D1053" s="25" t="inlineStr">
        <is>
          <t>Payout</t>
        </is>
      </c>
      <c r="E1053" s="19" t="inlineStr">
        <is>
          <t>FNC Funding</t>
        </is>
      </c>
      <c r="F1053" s="19" t="inlineStr">
        <is>
          <t>#93 Instant-Direct 100k</t>
        </is>
      </c>
      <c r="G1053" s="22" t="n">
        <v>100000</v>
      </c>
      <c r="H1053" s="22" t="n">
        <v>7500</v>
      </c>
      <c r="I1053" s="22" t="n">
        <v>3175463.15</v>
      </c>
      <c r="J1053" s="19" t="inlineStr">
        <is>
          <t>10 % × 100,000 × split 75%</t>
        </is>
      </c>
    </row>
    <row r="1054">
      <c r="A1054" s="13" t="n">
        <v>1053</v>
      </c>
      <c r="B1054" s="14" t="n">
        <v>46492</v>
      </c>
      <c r="C1054" s="15" t="n">
        <v>7</v>
      </c>
      <c r="D1054" s="25" t="inlineStr">
        <is>
          <t>Payout</t>
        </is>
      </c>
      <c r="E1054" s="13" t="inlineStr">
        <is>
          <t>FNC Funding</t>
        </is>
      </c>
      <c r="F1054" s="13" t="inlineStr">
        <is>
          <t>#94 Instant-Direct 100k</t>
        </is>
      </c>
      <c r="G1054" s="17" t="n">
        <v>100000</v>
      </c>
      <c r="H1054" s="17" t="n">
        <v>7500</v>
      </c>
      <c r="I1054" s="17" t="n">
        <v>3182963.15</v>
      </c>
      <c r="J1054" s="13" t="inlineStr">
        <is>
          <t>10 % × 100,000 × split 75%</t>
        </is>
      </c>
    </row>
    <row r="1055">
      <c r="A1055" s="19" t="n">
        <v>1054</v>
      </c>
      <c r="B1055" s="20" t="n">
        <v>46492</v>
      </c>
      <c r="C1055" s="21" t="n">
        <v>7</v>
      </c>
      <c r="D1055" s="25" t="inlineStr">
        <is>
          <t>Payout</t>
        </is>
      </c>
      <c r="E1055" s="19" t="inlineStr">
        <is>
          <t>FNC Funding</t>
        </is>
      </c>
      <c r="F1055" s="19" t="inlineStr">
        <is>
          <t>#95 Instant-Direct 100k</t>
        </is>
      </c>
      <c r="G1055" s="22" t="n">
        <v>100000</v>
      </c>
      <c r="H1055" s="22" t="n">
        <v>7500</v>
      </c>
      <c r="I1055" s="22" t="n">
        <v>3190463.15</v>
      </c>
      <c r="J1055" s="19" t="inlineStr">
        <is>
          <t>10 % × 100,000 × split 75%</t>
        </is>
      </c>
    </row>
    <row r="1056">
      <c r="A1056" s="13" t="n">
        <v>1055</v>
      </c>
      <c r="B1056" s="14" t="n">
        <v>46492</v>
      </c>
      <c r="C1056" s="15" t="n">
        <v>7</v>
      </c>
      <c r="D1056" s="25" t="inlineStr">
        <is>
          <t>Payout</t>
        </is>
      </c>
      <c r="E1056" s="13" t="inlineStr">
        <is>
          <t>Funding Traders</t>
        </is>
      </c>
      <c r="F1056" s="13" t="inlineStr">
        <is>
          <t>#96 Instant-Direct 400k</t>
        </is>
      </c>
      <c r="G1056" s="17" t="n">
        <v>400000</v>
      </c>
      <c r="H1056" s="17" t="n">
        <v>40000</v>
      </c>
      <c r="I1056" s="17" t="n">
        <v>3230463.15</v>
      </c>
      <c r="J1056" s="13" t="inlineStr">
        <is>
          <t>10 % × 400,000 × split 100%</t>
        </is>
      </c>
    </row>
    <row r="1057">
      <c r="A1057" s="19" t="n">
        <v>1056</v>
      </c>
      <c r="B1057" s="20" t="n">
        <v>46492</v>
      </c>
      <c r="C1057" s="21" t="n">
        <v>7</v>
      </c>
      <c r="D1057" s="25" t="inlineStr">
        <is>
          <t>Payout</t>
        </is>
      </c>
      <c r="E1057" s="19" t="inlineStr">
        <is>
          <t>Ifunds</t>
        </is>
      </c>
      <c r="F1057" s="19" t="inlineStr">
        <is>
          <t>#97 Instant-Direct 500k</t>
        </is>
      </c>
      <c r="G1057" s="22" t="n">
        <v>500000</v>
      </c>
      <c r="H1057" s="22" t="n">
        <v>40000</v>
      </c>
      <c r="I1057" s="22" t="n">
        <v>3270463.15</v>
      </c>
      <c r="J1057" s="19" t="inlineStr">
        <is>
          <t>10 % × 500,000 × split 80%</t>
        </is>
      </c>
    </row>
    <row r="1058">
      <c r="A1058" s="13" t="n">
        <v>1057</v>
      </c>
      <c r="B1058" s="14" t="n">
        <v>46492</v>
      </c>
      <c r="C1058" s="15" t="n">
        <v>7</v>
      </c>
      <c r="D1058" s="25" t="inlineStr">
        <is>
          <t>Payout</t>
        </is>
      </c>
      <c r="E1058" s="13" t="inlineStr">
        <is>
          <t>Alpine Funded</t>
        </is>
      </c>
      <c r="F1058" s="13" t="inlineStr">
        <is>
          <t>#98 Instant-Direct 200k</t>
        </is>
      </c>
      <c r="G1058" s="17" t="n">
        <v>200000</v>
      </c>
      <c r="H1058" s="17" t="n">
        <v>20000</v>
      </c>
      <c r="I1058" s="17" t="n">
        <v>3290463.15</v>
      </c>
      <c r="J1058" s="13" t="inlineStr">
        <is>
          <t>10 % × 200,000 × split 100%</t>
        </is>
      </c>
    </row>
    <row r="1059">
      <c r="A1059" s="19" t="n">
        <v>1058</v>
      </c>
      <c r="B1059" s="20" t="n">
        <v>46492</v>
      </c>
      <c r="C1059" s="21" t="n">
        <v>7</v>
      </c>
      <c r="D1059" s="25" t="inlineStr">
        <is>
          <t>Payout</t>
        </is>
      </c>
      <c r="E1059" s="19" t="inlineStr">
        <is>
          <t>Alpine Funded</t>
        </is>
      </c>
      <c r="F1059" s="19" t="inlineStr">
        <is>
          <t>#99 Instant-Direct 200k</t>
        </is>
      </c>
      <c r="G1059" s="22" t="n">
        <v>200000</v>
      </c>
      <c r="H1059" s="22" t="n">
        <v>20000</v>
      </c>
      <c r="I1059" s="22" t="n">
        <v>3310463.15</v>
      </c>
      <c r="J1059" s="19" t="inlineStr">
        <is>
          <t>10 % × 200,000 × split 100%</t>
        </is>
      </c>
    </row>
    <row r="1060">
      <c r="A1060" s="13" t="n">
        <v>1059</v>
      </c>
      <c r="B1060" s="14" t="n">
        <v>46492</v>
      </c>
      <c r="C1060" s="15" t="n">
        <v>7</v>
      </c>
      <c r="D1060" s="25" t="inlineStr">
        <is>
          <t>Payout</t>
        </is>
      </c>
      <c r="E1060" s="13" t="inlineStr">
        <is>
          <t>AquaFunded</t>
        </is>
      </c>
      <c r="F1060" s="13" t="inlineStr">
        <is>
          <t>#100 Instant-Direct 400k</t>
        </is>
      </c>
      <c r="G1060" s="17" t="n">
        <v>400000</v>
      </c>
      <c r="H1060" s="17" t="n">
        <v>36000</v>
      </c>
      <c r="I1060" s="17" t="n">
        <v>3346463.15</v>
      </c>
      <c r="J1060" s="13" t="inlineStr">
        <is>
          <t>10 % × 400,000 × split 90%</t>
        </is>
      </c>
    </row>
    <row r="1061">
      <c r="A1061" s="19" t="n">
        <v>1060</v>
      </c>
      <c r="B1061" s="20" t="n">
        <v>46492</v>
      </c>
      <c r="C1061" s="21" t="n">
        <v>7</v>
      </c>
      <c r="D1061" s="25" t="inlineStr">
        <is>
          <t>Payout</t>
        </is>
      </c>
      <c r="E1061" s="19" t="inlineStr">
        <is>
          <t>Atlas Funded</t>
        </is>
      </c>
      <c r="F1061" s="19" t="inlineStr">
        <is>
          <t>#101 Instant-Direct 300k</t>
        </is>
      </c>
      <c r="G1061" s="22" t="n">
        <v>300000</v>
      </c>
      <c r="H1061" s="22" t="n">
        <v>30000</v>
      </c>
      <c r="I1061" s="22" t="n">
        <v>3376463.15</v>
      </c>
      <c r="J1061" s="19" t="inlineStr">
        <is>
          <t>10 % × 300,000 × split 100%</t>
        </is>
      </c>
    </row>
    <row r="1062">
      <c r="A1062" s="13" t="n">
        <v>1061</v>
      </c>
      <c r="B1062" s="14" t="n">
        <v>46492</v>
      </c>
      <c r="C1062" s="15" t="n">
        <v>7</v>
      </c>
      <c r="D1062" s="25" t="inlineStr">
        <is>
          <t>Payout</t>
        </is>
      </c>
      <c r="E1062" s="13" t="inlineStr">
        <is>
          <t>Atmos Funded</t>
        </is>
      </c>
      <c r="F1062" s="13" t="inlineStr">
        <is>
          <t>#102 Instant-Direct 100k</t>
        </is>
      </c>
      <c r="G1062" s="17" t="n">
        <v>100000</v>
      </c>
      <c r="H1062" s="17" t="n">
        <v>9000</v>
      </c>
      <c r="I1062" s="17" t="n">
        <v>3385463.15</v>
      </c>
      <c r="J1062" s="13" t="inlineStr">
        <is>
          <t>10 % × 100,000 × split 90%</t>
        </is>
      </c>
    </row>
    <row r="1063">
      <c r="A1063" s="19" t="n">
        <v>1062</v>
      </c>
      <c r="B1063" s="20" t="n">
        <v>46492</v>
      </c>
      <c r="C1063" s="21" t="n">
        <v>7</v>
      </c>
      <c r="D1063" s="25" t="inlineStr">
        <is>
          <t>Payout</t>
        </is>
      </c>
      <c r="E1063" s="19" t="inlineStr">
        <is>
          <t>Atmos Funded</t>
        </is>
      </c>
      <c r="F1063" s="19" t="inlineStr">
        <is>
          <t>#103 Instant-Direct 100k</t>
        </is>
      </c>
      <c r="G1063" s="22" t="n">
        <v>100000</v>
      </c>
      <c r="H1063" s="22" t="n">
        <v>9000</v>
      </c>
      <c r="I1063" s="22" t="n">
        <v>3394463.15</v>
      </c>
      <c r="J1063" s="19" t="inlineStr">
        <is>
          <t>10 % × 100,000 × split 90%</t>
        </is>
      </c>
    </row>
    <row r="1064">
      <c r="A1064" s="13" t="n">
        <v>1063</v>
      </c>
      <c r="B1064" s="14" t="n">
        <v>46492</v>
      </c>
      <c r="C1064" s="15" t="n">
        <v>7</v>
      </c>
      <c r="D1064" s="25" t="inlineStr">
        <is>
          <t>Payout</t>
        </is>
      </c>
      <c r="E1064" s="13" t="inlineStr">
        <is>
          <t>Atmos Funded</t>
        </is>
      </c>
      <c r="F1064" s="13" t="inlineStr">
        <is>
          <t>#104 Instant-Direct 100k</t>
        </is>
      </c>
      <c r="G1064" s="17" t="n">
        <v>100000</v>
      </c>
      <c r="H1064" s="17" t="n">
        <v>9000</v>
      </c>
      <c r="I1064" s="17" t="n">
        <v>3403463.15</v>
      </c>
      <c r="J1064" s="13" t="inlineStr">
        <is>
          <t>10 % × 100,000 × split 90%</t>
        </is>
      </c>
    </row>
    <row r="1065">
      <c r="A1065" s="19" t="n">
        <v>1064</v>
      </c>
      <c r="B1065" s="20" t="n">
        <v>46492</v>
      </c>
      <c r="C1065" s="21" t="n">
        <v>7</v>
      </c>
      <c r="D1065" s="25" t="inlineStr">
        <is>
          <t>Payout</t>
        </is>
      </c>
      <c r="E1065" s="19" t="inlineStr">
        <is>
          <t>Atmos Funded</t>
        </is>
      </c>
      <c r="F1065" s="19" t="inlineStr">
        <is>
          <t>#105 Instant-Direct 100k</t>
        </is>
      </c>
      <c r="G1065" s="22" t="n">
        <v>100000</v>
      </c>
      <c r="H1065" s="22" t="n">
        <v>9000</v>
      </c>
      <c r="I1065" s="22" t="n">
        <v>3412463.15</v>
      </c>
      <c r="J1065" s="19" t="inlineStr">
        <is>
          <t>10 % × 100,000 × split 90%</t>
        </is>
      </c>
    </row>
    <row r="1066">
      <c r="A1066" s="13" t="n">
        <v>1065</v>
      </c>
      <c r="B1066" s="14" t="n">
        <v>46492</v>
      </c>
      <c r="C1066" s="15" t="n">
        <v>7</v>
      </c>
      <c r="D1066" s="25" t="inlineStr">
        <is>
          <t>Payout</t>
        </is>
      </c>
      <c r="E1066" s="13" t="inlineStr">
        <is>
          <t>Blue Guardian</t>
        </is>
      </c>
      <c r="F1066" s="13" t="inlineStr">
        <is>
          <t>#106 Instant-Direct 400k</t>
        </is>
      </c>
      <c r="G1066" s="17" t="n">
        <v>400000</v>
      </c>
      <c r="H1066" s="17" t="n">
        <v>32000</v>
      </c>
      <c r="I1066" s="17" t="n">
        <v>3444463.15</v>
      </c>
      <c r="J1066" s="13" t="inlineStr">
        <is>
          <t>10 % × 400,000 × split 80%</t>
        </is>
      </c>
    </row>
    <row r="1067">
      <c r="A1067" s="19" t="n">
        <v>1066</v>
      </c>
      <c r="B1067" s="20" t="n">
        <v>46492</v>
      </c>
      <c r="C1067" s="21" t="n">
        <v>7</v>
      </c>
      <c r="D1067" s="25" t="inlineStr">
        <is>
          <t>Payout</t>
        </is>
      </c>
      <c r="E1067" s="19" t="inlineStr">
        <is>
          <t>FundedElite</t>
        </is>
      </c>
      <c r="F1067" s="19" t="inlineStr">
        <is>
          <t>#107 Instant-Direct 100k</t>
        </is>
      </c>
      <c r="G1067" s="22" t="n">
        <v>100000</v>
      </c>
      <c r="H1067" s="22" t="n">
        <v>9500</v>
      </c>
      <c r="I1067" s="22" t="n">
        <v>3453963.15</v>
      </c>
      <c r="J1067" s="19" t="inlineStr">
        <is>
          <t>10 % × 100,000 × split 95%</t>
        </is>
      </c>
    </row>
    <row r="1068">
      <c r="A1068" s="13" t="n">
        <v>1067</v>
      </c>
      <c r="B1068" s="14" t="n">
        <v>46492</v>
      </c>
      <c r="C1068" s="15" t="n">
        <v>7</v>
      </c>
      <c r="D1068" s="25" t="inlineStr">
        <is>
          <t>Payout</t>
        </is>
      </c>
      <c r="E1068" s="13" t="inlineStr">
        <is>
          <t>FundedElite</t>
        </is>
      </c>
      <c r="F1068" s="13" t="inlineStr">
        <is>
          <t>#108 Instant-Direct 100k</t>
        </is>
      </c>
      <c r="G1068" s="17" t="n">
        <v>100000</v>
      </c>
      <c r="H1068" s="17" t="n">
        <v>9500</v>
      </c>
      <c r="I1068" s="17" t="n">
        <v>3463463.15</v>
      </c>
      <c r="J1068" s="13" t="inlineStr">
        <is>
          <t>10 % × 100,000 × split 95%</t>
        </is>
      </c>
    </row>
    <row r="1069">
      <c r="A1069" s="19" t="n">
        <v>1068</v>
      </c>
      <c r="B1069" s="20" t="n">
        <v>46492</v>
      </c>
      <c r="C1069" s="21" t="n">
        <v>7</v>
      </c>
      <c r="D1069" s="25" t="inlineStr">
        <is>
          <t>Payout</t>
        </is>
      </c>
      <c r="E1069" s="19" t="inlineStr">
        <is>
          <t>FundedElite</t>
        </is>
      </c>
      <c r="F1069" s="19" t="inlineStr">
        <is>
          <t>#109 Instant-Direct 100k</t>
        </is>
      </c>
      <c r="G1069" s="22" t="n">
        <v>100000</v>
      </c>
      <c r="H1069" s="22" t="n">
        <v>9500</v>
      </c>
      <c r="I1069" s="22" t="n">
        <v>3472963.15</v>
      </c>
      <c r="J1069" s="19" t="inlineStr">
        <is>
          <t>10 % × 100,000 × split 95%</t>
        </is>
      </c>
    </row>
    <row r="1070">
      <c r="A1070" s="13" t="n">
        <v>1069</v>
      </c>
      <c r="B1070" s="14" t="n">
        <v>46492</v>
      </c>
      <c r="C1070" s="15" t="n">
        <v>7</v>
      </c>
      <c r="D1070" s="25" t="inlineStr">
        <is>
          <t>Payout</t>
        </is>
      </c>
      <c r="E1070" s="13" t="inlineStr">
        <is>
          <t>FundedElite</t>
        </is>
      </c>
      <c r="F1070" s="13" t="inlineStr">
        <is>
          <t>#110 Instant-Direct 100k</t>
        </is>
      </c>
      <c r="G1070" s="17" t="n">
        <v>100000</v>
      </c>
      <c r="H1070" s="17" t="n">
        <v>9500</v>
      </c>
      <c r="I1070" s="17" t="n">
        <v>3482463.15</v>
      </c>
      <c r="J1070" s="13" t="inlineStr">
        <is>
          <t>10 % × 100,000 × split 95%</t>
        </is>
      </c>
    </row>
    <row r="1071">
      <c r="A1071" s="19" t="n">
        <v>1070</v>
      </c>
      <c r="B1071" s="20" t="n">
        <v>46492</v>
      </c>
      <c r="C1071" s="21" t="n">
        <v>7</v>
      </c>
      <c r="D1071" s="25" t="inlineStr">
        <is>
          <t>Payout</t>
        </is>
      </c>
      <c r="E1071" s="19" t="inlineStr">
        <is>
          <t>Funding Pips</t>
        </is>
      </c>
      <c r="F1071" s="19" t="inlineStr">
        <is>
          <t>#111 Instant-Direct 200k</t>
        </is>
      </c>
      <c r="G1071" s="22" t="n">
        <v>200000</v>
      </c>
      <c r="H1071" s="22" t="n">
        <v>20000</v>
      </c>
      <c r="I1071" s="22" t="n">
        <v>3502463.15</v>
      </c>
      <c r="J1071" s="19" t="inlineStr">
        <is>
          <t>10 % × 200,000 × split 100%</t>
        </is>
      </c>
    </row>
    <row r="1072">
      <c r="A1072" s="13" t="n">
        <v>1071</v>
      </c>
      <c r="B1072" s="14" t="n">
        <v>46492</v>
      </c>
      <c r="C1072" s="15" t="n">
        <v>7</v>
      </c>
      <c r="D1072" s="25" t="inlineStr">
        <is>
          <t>Payout</t>
        </is>
      </c>
      <c r="E1072" s="13" t="inlineStr">
        <is>
          <t>Funding Pips</t>
        </is>
      </c>
      <c r="F1072" s="13" t="inlineStr">
        <is>
          <t>#112 Instant-Direct 200k</t>
        </is>
      </c>
      <c r="G1072" s="17" t="n">
        <v>200000</v>
      </c>
      <c r="H1072" s="17" t="n">
        <v>20000</v>
      </c>
      <c r="I1072" s="17" t="n">
        <v>3522463.15</v>
      </c>
      <c r="J1072" s="13" t="inlineStr">
        <is>
          <t>10 % × 200,000 × split 100%</t>
        </is>
      </c>
    </row>
    <row r="1073">
      <c r="A1073" s="19" t="n">
        <v>1072</v>
      </c>
      <c r="B1073" s="20" t="n">
        <v>46492</v>
      </c>
      <c r="C1073" s="21" t="n">
        <v>7</v>
      </c>
      <c r="D1073" s="25" t="inlineStr">
        <is>
          <t>Payout</t>
        </is>
      </c>
      <c r="E1073" s="19" t="inlineStr">
        <is>
          <t>Global Forex Funds</t>
        </is>
      </c>
      <c r="F1073" s="19" t="inlineStr">
        <is>
          <t>#113 Instant-Direct 100k</t>
        </is>
      </c>
      <c r="G1073" s="22" t="n">
        <v>100000</v>
      </c>
      <c r="H1073" s="22" t="n">
        <v>9000</v>
      </c>
      <c r="I1073" s="22" t="n">
        <v>3531463.15</v>
      </c>
      <c r="J1073" s="19" t="inlineStr">
        <is>
          <t>10 % × 100,000 × split 90%</t>
        </is>
      </c>
    </row>
    <row r="1074">
      <c r="A1074" s="13" t="n">
        <v>1073</v>
      </c>
      <c r="B1074" s="14" t="n">
        <v>46492</v>
      </c>
      <c r="C1074" s="15" t="n">
        <v>7</v>
      </c>
      <c r="D1074" s="25" t="inlineStr">
        <is>
          <t>Payout</t>
        </is>
      </c>
      <c r="E1074" s="13" t="inlineStr">
        <is>
          <t>Goat Funded Trader</t>
        </is>
      </c>
      <c r="F1074" s="13" t="inlineStr">
        <is>
          <t>#114 Instant-Direct 100k</t>
        </is>
      </c>
      <c r="G1074" s="17" t="n">
        <v>100000</v>
      </c>
      <c r="H1074" s="17" t="n">
        <v>10000</v>
      </c>
      <c r="I1074" s="17" t="n">
        <v>3541463.15</v>
      </c>
      <c r="J1074" s="13" t="inlineStr">
        <is>
          <t>10 % × 100,000 × split 100%</t>
        </is>
      </c>
    </row>
    <row r="1075">
      <c r="A1075" s="19" t="n">
        <v>1074</v>
      </c>
      <c r="B1075" s="20" t="n">
        <v>46492</v>
      </c>
      <c r="C1075" s="21" t="n">
        <v>7</v>
      </c>
      <c r="D1075" s="25" t="inlineStr">
        <is>
          <t>Payout</t>
        </is>
      </c>
      <c r="E1075" s="19" t="inlineStr">
        <is>
          <t>Goat Funded Trader</t>
        </is>
      </c>
      <c r="F1075" s="19" t="inlineStr">
        <is>
          <t>#115 Instant-Direct 100k</t>
        </is>
      </c>
      <c r="G1075" s="22" t="n">
        <v>100000</v>
      </c>
      <c r="H1075" s="22" t="n">
        <v>10000</v>
      </c>
      <c r="I1075" s="22" t="n">
        <v>3551463.15</v>
      </c>
      <c r="J1075" s="19" t="inlineStr">
        <is>
          <t>10 % × 100,000 × split 100%</t>
        </is>
      </c>
    </row>
    <row r="1076">
      <c r="A1076" s="13" t="n">
        <v>1075</v>
      </c>
      <c r="B1076" s="14" t="n">
        <v>46492</v>
      </c>
      <c r="C1076" s="15" t="n">
        <v>7</v>
      </c>
      <c r="D1076" s="25" t="inlineStr">
        <is>
          <t>Payout</t>
        </is>
      </c>
      <c r="E1076" s="13" t="inlineStr">
        <is>
          <t>Goat Funded Trader</t>
        </is>
      </c>
      <c r="F1076" s="13" t="inlineStr">
        <is>
          <t>#116 Instant-Direct 100k</t>
        </is>
      </c>
      <c r="G1076" s="17" t="n">
        <v>100000</v>
      </c>
      <c r="H1076" s="17" t="n">
        <v>10000</v>
      </c>
      <c r="I1076" s="17" t="n">
        <v>3561463.15</v>
      </c>
      <c r="J1076" s="13" t="inlineStr">
        <is>
          <t>10 % × 100,000 × split 100%</t>
        </is>
      </c>
    </row>
    <row r="1077">
      <c r="A1077" s="19" t="n">
        <v>1076</v>
      </c>
      <c r="B1077" s="20" t="n">
        <v>46492</v>
      </c>
      <c r="C1077" s="21" t="n">
        <v>7</v>
      </c>
      <c r="D1077" s="25" t="inlineStr">
        <is>
          <t>Payout</t>
        </is>
      </c>
      <c r="E1077" s="19" t="inlineStr">
        <is>
          <t>Goat Funded Trader</t>
        </is>
      </c>
      <c r="F1077" s="19" t="inlineStr">
        <is>
          <t>#117 Instant-Direct 100k</t>
        </is>
      </c>
      <c r="G1077" s="22" t="n">
        <v>100000</v>
      </c>
      <c r="H1077" s="22" t="n">
        <v>10000</v>
      </c>
      <c r="I1077" s="22" t="n">
        <v>3571463.15</v>
      </c>
      <c r="J1077" s="19" t="inlineStr">
        <is>
          <t>10 % × 100,000 × split 100%</t>
        </is>
      </c>
    </row>
    <row r="1078">
      <c r="A1078" s="13" t="n">
        <v>1077</v>
      </c>
      <c r="B1078" s="14" t="n">
        <v>46492</v>
      </c>
      <c r="C1078" s="15" t="n">
        <v>7</v>
      </c>
      <c r="D1078" s="25" t="inlineStr">
        <is>
          <t>Payout</t>
        </is>
      </c>
      <c r="E1078" s="13" t="inlineStr">
        <is>
          <t>FundedVerse</t>
        </is>
      </c>
      <c r="F1078" s="13" t="inlineStr">
        <is>
          <t>#118 Instant-Direct 50k</t>
        </is>
      </c>
      <c r="G1078" s="17" t="n">
        <v>50000</v>
      </c>
      <c r="H1078" s="17" t="n">
        <v>4000</v>
      </c>
      <c r="I1078" s="17" t="n">
        <v>3575463.15</v>
      </c>
      <c r="J1078" s="13" t="inlineStr">
        <is>
          <t>10 % × 50,000 × split 80%</t>
        </is>
      </c>
    </row>
    <row r="1079">
      <c r="A1079" s="19" t="n">
        <v>1078</v>
      </c>
      <c r="B1079" s="20" t="n">
        <v>46492</v>
      </c>
      <c r="C1079" s="21" t="n">
        <v>7</v>
      </c>
      <c r="D1079" s="25" t="inlineStr">
        <is>
          <t>Payout</t>
        </is>
      </c>
      <c r="E1079" s="19" t="inlineStr">
        <is>
          <t>FundedVerse</t>
        </is>
      </c>
      <c r="F1079" s="19" t="inlineStr">
        <is>
          <t>#119 Instant-Direct 50k</t>
        </is>
      </c>
      <c r="G1079" s="22" t="n">
        <v>50000</v>
      </c>
      <c r="H1079" s="22" t="n">
        <v>4000</v>
      </c>
      <c r="I1079" s="22" t="n">
        <v>3579463.15</v>
      </c>
      <c r="J1079" s="19" t="inlineStr">
        <is>
          <t>10 % × 50,000 × split 80%</t>
        </is>
      </c>
    </row>
    <row r="1080">
      <c r="A1080" s="13" t="n">
        <v>1079</v>
      </c>
      <c r="B1080" s="14" t="n">
        <v>46492</v>
      </c>
      <c r="C1080" s="15" t="n">
        <v>7</v>
      </c>
      <c r="D1080" s="25" t="inlineStr">
        <is>
          <t>Payout</t>
        </is>
      </c>
      <c r="E1080" s="13" t="inlineStr">
        <is>
          <t>FundedVerse</t>
        </is>
      </c>
      <c r="F1080" s="13" t="inlineStr">
        <is>
          <t>#120 Instant-Direct 50k</t>
        </is>
      </c>
      <c r="G1080" s="17" t="n">
        <v>50000</v>
      </c>
      <c r="H1080" s="17" t="n">
        <v>4000</v>
      </c>
      <c r="I1080" s="17" t="n">
        <v>3583463.15</v>
      </c>
      <c r="J1080" s="13" t="inlineStr">
        <is>
          <t>10 % × 50,000 × split 80%</t>
        </is>
      </c>
    </row>
    <row r="1081">
      <c r="A1081" s="19" t="n">
        <v>1080</v>
      </c>
      <c r="B1081" s="20" t="n">
        <v>46492</v>
      </c>
      <c r="C1081" s="21" t="n">
        <v>7</v>
      </c>
      <c r="D1081" s="25" t="inlineStr">
        <is>
          <t>Payout</t>
        </is>
      </c>
      <c r="E1081" s="19" t="inlineStr">
        <is>
          <t>FundedVerse</t>
        </is>
      </c>
      <c r="F1081" s="19" t="inlineStr">
        <is>
          <t>#121 Instant-Direct 50k</t>
        </is>
      </c>
      <c r="G1081" s="22" t="n">
        <v>50000</v>
      </c>
      <c r="H1081" s="22" t="n">
        <v>4000</v>
      </c>
      <c r="I1081" s="22" t="n">
        <v>3587463.15</v>
      </c>
      <c r="J1081" s="19" t="inlineStr">
        <is>
          <t>10 % × 50,000 × split 80%</t>
        </is>
      </c>
    </row>
    <row r="1082">
      <c r="A1082" s="13" t="n">
        <v>1081</v>
      </c>
      <c r="B1082" s="14" t="n">
        <v>46492</v>
      </c>
      <c r="C1082" s="15" t="n">
        <v>7</v>
      </c>
      <c r="D1082" s="25" t="inlineStr">
        <is>
          <t>Payout</t>
        </is>
      </c>
      <c r="E1082" s="13" t="inlineStr">
        <is>
          <t>FundedVerse</t>
        </is>
      </c>
      <c r="F1082" s="13" t="inlineStr">
        <is>
          <t>#122 Instant-Direct 50k</t>
        </is>
      </c>
      <c r="G1082" s="17" t="n">
        <v>50000</v>
      </c>
      <c r="H1082" s="17" t="n">
        <v>4000</v>
      </c>
      <c r="I1082" s="17" t="n">
        <v>3591463.15</v>
      </c>
      <c r="J1082" s="13" t="inlineStr">
        <is>
          <t>10 % × 50,000 × split 80%</t>
        </is>
      </c>
    </row>
    <row r="1083">
      <c r="A1083" s="19" t="n">
        <v>1082</v>
      </c>
      <c r="B1083" s="20" t="n">
        <v>46492</v>
      </c>
      <c r="C1083" s="21" t="n">
        <v>7</v>
      </c>
      <c r="D1083" s="25" t="inlineStr">
        <is>
          <t>Payout</t>
        </is>
      </c>
      <c r="E1083" s="19" t="inlineStr">
        <is>
          <t>FundedVerse</t>
        </is>
      </c>
      <c r="F1083" s="19" t="inlineStr">
        <is>
          <t>#123 Instant-Direct 50k</t>
        </is>
      </c>
      <c r="G1083" s="22" t="n">
        <v>50000</v>
      </c>
      <c r="H1083" s="22" t="n">
        <v>4000</v>
      </c>
      <c r="I1083" s="22" t="n">
        <v>3595463.15</v>
      </c>
      <c r="J1083" s="19" t="inlineStr">
        <is>
          <t>10 % × 50,000 × split 80%</t>
        </is>
      </c>
    </row>
    <row r="1084">
      <c r="A1084" s="13" t="n">
        <v>1083</v>
      </c>
      <c r="B1084" s="14" t="n">
        <v>46492</v>
      </c>
      <c r="C1084" s="15" t="n">
        <v>7</v>
      </c>
      <c r="D1084" s="25" t="inlineStr">
        <is>
          <t>Payout</t>
        </is>
      </c>
      <c r="E1084" s="13" t="inlineStr">
        <is>
          <t>Lark Funding</t>
        </is>
      </c>
      <c r="F1084" s="13" t="inlineStr">
        <is>
          <t>#124 Instant-Direct 100k</t>
        </is>
      </c>
      <c r="G1084" s="17" t="n">
        <v>100000</v>
      </c>
      <c r="H1084" s="17" t="n">
        <v>8000</v>
      </c>
      <c r="I1084" s="17" t="n">
        <v>3603463.15</v>
      </c>
      <c r="J1084" s="13" t="inlineStr">
        <is>
          <t>10 % × 100,000 × split 80%</t>
        </is>
      </c>
    </row>
    <row r="1085">
      <c r="A1085" s="19" t="n">
        <v>1084</v>
      </c>
      <c r="B1085" s="20" t="n">
        <v>46492</v>
      </c>
      <c r="C1085" s="21" t="n">
        <v>7</v>
      </c>
      <c r="D1085" s="25" t="inlineStr">
        <is>
          <t>Payout</t>
        </is>
      </c>
      <c r="E1085" s="19" t="inlineStr">
        <is>
          <t>Lark Funding</t>
        </is>
      </c>
      <c r="F1085" s="19" t="inlineStr">
        <is>
          <t>#125 Instant-Direct 100k</t>
        </is>
      </c>
      <c r="G1085" s="22" t="n">
        <v>100000</v>
      </c>
      <c r="H1085" s="22" t="n">
        <v>8000</v>
      </c>
      <c r="I1085" s="22" t="n">
        <v>3611463.15</v>
      </c>
      <c r="J1085" s="19" t="inlineStr">
        <is>
          <t>10 % × 100,000 × split 80%</t>
        </is>
      </c>
    </row>
    <row r="1086">
      <c r="A1086" s="13" t="n">
        <v>1085</v>
      </c>
      <c r="B1086" s="14" t="n">
        <v>46492</v>
      </c>
      <c r="C1086" s="15" t="n">
        <v>7</v>
      </c>
      <c r="D1086" s="25" t="inlineStr">
        <is>
          <t>Payout</t>
        </is>
      </c>
      <c r="E1086" s="13" t="inlineStr">
        <is>
          <t>Lark Funding</t>
        </is>
      </c>
      <c r="F1086" s="13" t="inlineStr">
        <is>
          <t>#126 Instant-Direct 100k</t>
        </is>
      </c>
      <c r="G1086" s="17" t="n">
        <v>100000</v>
      </c>
      <c r="H1086" s="17" t="n">
        <v>8000</v>
      </c>
      <c r="I1086" s="17" t="n">
        <v>3619463.15</v>
      </c>
      <c r="J1086" s="13" t="inlineStr">
        <is>
          <t>10 % × 100,000 × split 80%</t>
        </is>
      </c>
    </row>
    <row r="1087">
      <c r="A1087" s="19" t="n">
        <v>1086</v>
      </c>
      <c r="B1087" s="20" t="n">
        <v>46492</v>
      </c>
      <c r="C1087" s="21" t="n">
        <v>7</v>
      </c>
      <c r="D1087" s="25" t="inlineStr">
        <is>
          <t>Payout</t>
        </is>
      </c>
      <c r="E1087" s="19" t="inlineStr">
        <is>
          <t>Mockapital</t>
        </is>
      </c>
      <c r="F1087" s="19" t="inlineStr">
        <is>
          <t>#127 Instant-Direct 50k</t>
        </is>
      </c>
      <c r="G1087" s="22" t="n">
        <v>50000</v>
      </c>
      <c r="H1087" s="22" t="n">
        <v>4000</v>
      </c>
      <c r="I1087" s="22" t="n">
        <v>3623463.15</v>
      </c>
      <c r="J1087" s="19" t="inlineStr">
        <is>
          <t>10 % × 50,000 × split 80%</t>
        </is>
      </c>
    </row>
    <row r="1088">
      <c r="A1088" s="13" t="n">
        <v>1087</v>
      </c>
      <c r="B1088" s="14" t="n">
        <v>46492</v>
      </c>
      <c r="C1088" s="15" t="n">
        <v>7</v>
      </c>
      <c r="D1088" s="25" t="inlineStr">
        <is>
          <t>Payout</t>
        </is>
      </c>
      <c r="E1088" s="13" t="inlineStr">
        <is>
          <t>Mockapital</t>
        </is>
      </c>
      <c r="F1088" s="13" t="inlineStr">
        <is>
          <t>#128 Instant-Direct 50k</t>
        </is>
      </c>
      <c r="G1088" s="17" t="n">
        <v>50000</v>
      </c>
      <c r="H1088" s="17" t="n">
        <v>4000</v>
      </c>
      <c r="I1088" s="17" t="n">
        <v>3627463.15</v>
      </c>
      <c r="J1088" s="13" t="inlineStr">
        <is>
          <t>10 % × 50,000 × split 80%</t>
        </is>
      </c>
    </row>
    <row r="1089">
      <c r="A1089" s="19" t="n">
        <v>1088</v>
      </c>
      <c r="B1089" s="20" t="n">
        <v>46492</v>
      </c>
      <c r="C1089" s="21" t="n">
        <v>7</v>
      </c>
      <c r="D1089" s="25" t="inlineStr">
        <is>
          <t>Payout</t>
        </is>
      </c>
      <c r="E1089" s="19" t="inlineStr">
        <is>
          <t>Mockapital</t>
        </is>
      </c>
      <c r="F1089" s="19" t="inlineStr">
        <is>
          <t>#129 Instant-Direct 50k</t>
        </is>
      </c>
      <c r="G1089" s="22" t="n">
        <v>50000</v>
      </c>
      <c r="H1089" s="22" t="n">
        <v>4000</v>
      </c>
      <c r="I1089" s="22" t="n">
        <v>3631463.15</v>
      </c>
      <c r="J1089" s="19" t="inlineStr">
        <is>
          <t>10 % × 50,000 × split 80%</t>
        </is>
      </c>
    </row>
    <row r="1090">
      <c r="A1090" s="13" t="n">
        <v>1089</v>
      </c>
      <c r="B1090" s="14" t="n">
        <v>46492</v>
      </c>
      <c r="C1090" s="15" t="n">
        <v>7</v>
      </c>
      <c r="D1090" s="25" t="inlineStr">
        <is>
          <t>Payout</t>
        </is>
      </c>
      <c r="E1090" s="13" t="inlineStr">
        <is>
          <t>Mockapital</t>
        </is>
      </c>
      <c r="F1090" s="13" t="inlineStr">
        <is>
          <t>#130 Instant-Direct 50k</t>
        </is>
      </c>
      <c r="G1090" s="17" t="n">
        <v>50000</v>
      </c>
      <c r="H1090" s="17" t="n">
        <v>4000</v>
      </c>
      <c r="I1090" s="17" t="n">
        <v>3635463.15</v>
      </c>
      <c r="J1090" s="13" t="inlineStr">
        <is>
          <t>10 % × 50,000 × split 80%</t>
        </is>
      </c>
    </row>
    <row r="1091">
      <c r="A1091" s="19" t="n">
        <v>1090</v>
      </c>
      <c r="B1091" s="20" t="n">
        <v>46492</v>
      </c>
      <c r="C1091" s="21" t="n">
        <v>7</v>
      </c>
      <c r="D1091" s="25" t="inlineStr">
        <is>
          <t>Payout</t>
        </is>
      </c>
      <c r="E1091" s="19" t="inlineStr">
        <is>
          <t>Mockapital</t>
        </is>
      </c>
      <c r="F1091" s="19" t="inlineStr">
        <is>
          <t>#131 Instant-Direct 50k</t>
        </is>
      </c>
      <c r="G1091" s="22" t="n">
        <v>50000</v>
      </c>
      <c r="H1091" s="22" t="n">
        <v>4000</v>
      </c>
      <c r="I1091" s="22" t="n">
        <v>3639463.15</v>
      </c>
      <c r="J1091" s="19" t="inlineStr">
        <is>
          <t>10 % × 50,000 × split 80%</t>
        </is>
      </c>
    </row>
    <row r="1092">
      <c r="A1092" s="13" t="n">
        <v>1091</v>
      </c>
      <c r="B1092" s="14" t="n">
        <v>46492</v>
      </c>
      <c r="C1092" s="15" t="n">
        <v>7</v>
      </c>
      <c r="D1092" s="25" t="inlineStr">
        <is>
          <t>Payout</t>
        </is>
      </c>
      <c r="E1092" s="13" t="inlineStr">
        <is>
          <t>Mockapital</t>
        </is>
      </c>
      <c r="F1092" s="13" t="inlineStr">
        <is>
          <t>#132 Instant-Direct 50k</t>
        </is>
      </c>
      <c r="G1092" s="17" t="n">
        <v>50000</v>
      </c>
      <c r="H1092" s="17" t="n">
        <v>4000</v>
      </c>
      <c r="I1092" s="17" t="n">
        <v>3643463.15</v>
      </c>
      <c r="J1092" s="13" t="inlineStr">
        <is>
          <t>10 % × 50,000 × split 80%</t>
        </is>
      </c>
    </row>
    <row r="1093">
      <c r="A1093" s="19" t="n">
        <v>1092</v>
      </c>
      <c r="B1093" s="20" t="n">
        <v>46492</v>
      </c>
      <c r="C1093" s="21" t="n">
        <v>7</v>
      </c>
      <c r="D1093" s="25" t="inlineStr">
        <is>
          <t>Payout</t>
        </is>
      </c>
      <c r="E1093" s="19" t="inlineStr">
        <is>
          <t>Myfundedcapital</t>
        </is>
      </c>
      <c r="F1093" s="19" t="inlineStr">
        <is>
          <t>#133 Instant-Direct 80k</t>
        </is>
      </c>
      <c r="G1093" s="22" t="n">
        <v>80000</v>
      </c>
      <c r="H1093" s="22" t="n">
        <v>6400</v>
      </c>
      <c r="I1093" s="22" t="n">
        <v>3649863.15</v>
      </c>
      <c r="J1093" s="19" t="inlineStr">
        <is>
          <t>10 % × 80,000 × split 80%</t>
        </is>
      </c>
    </row>
    <row r="1094">
      <c r="A1094" s="13" t="n">
        <v>1093</v>
      </c>
      <c r="B1094" s="14" t="n">
        <v>46492</v>
      </c>
      <c r="C1094" s="15" t="n">
        <v>7</v>
      </c>
      <c r="D1094" s="25" t="inlineStr">
        <is>
          <t>Payout</t>
        </is>
      </c>
      <c r="E1094" s="13" t="inlineStr">
        <is>
          <t>Myfundedcapital</t>
        </is>
      </c>
      <c r="F1094" s="13" t="inlineStr">
        <is>
          <t>#134 Instant-Direct 80k</t>
        </is>
      </c>
      <c r="G1094" s="17" t="n">
        <v>80000</v>
      </c>
      <c r="H1094" s="17" t="n">
        <v>6400</v>
      </c>
      <c r="I1094" s="17" t="n">
        <v>3656263.15</v>
      </c>
      <c r="J1094" s="13" t="inlineStr">
        <is>
          <t>10 % × 80,000 × split 80%</t>
        </is>
      </c>
    </row>
    <row r="1095">
      <c r="A1095" s="19" t="n">
        <v>1094</v>
      </c>
      <c r="B1095" s="20" t="n">
        <v>46492</v>
      </c>
      <c r="C1095" s="21" t="n">
        <v>7</v>
      </c>
      <c r="D1095" s="25" t="inlineStr">
        <is>
          <t>Payout</t>
        </is>
      </c>
      <c r="E1095" s="19" t="inlineStr">
        <is>
          <t>Myfundedcapital</t>
        </is>
      </c>
      <c r="F1095" s="19" t="inlineStr">
        <is>
          <t>#135 Instant-Direct 80k</t>
        </is>
      </c>
      <c r="G1095" s="22" t="n">
        <v>80000</v>
      </c>
      <c r="H1095" s="22" t="n">
        <v>6400</v>
      </c>
      <c r="I1095" s="22" t="n">
        <v>3662663.15</v>
      </c>
      <c r="J1095" s="19" t="inlineStr">
        <is>
          <t>10 % × 80,000 × split 80%</t>
        </is>
      </c>
    </row>
    <row r="1096">
      <c r="A1096" s="13" t="n">
        <v>1095</v>
      </c>
      <c r="B1096" s="14" t="n">
        <v>46492</v>
      </c>
      <c r="C1096" s="15" t="n">
        <v>7</v>
      </c>
      <c r="D1096" s="25" t="inlineStr">
        <is>
          <t>Payout</t>
        </is>
      </c>
      <c r="E1096" s="13" t="inlineStr">
        <is>
          <t>City Traders Imperium</t>
        </is>
      </c>
      <c r="F1096" s="13" t="inlineStr">
        <is>
          <t>#136 Instant-Direct 80k</t>
        </is>
      </c>
      <c r="G1096" s="17" t="n">
        <v>80000</v>
      </c>
      <c r="H1096" s="17" t="n">
        <v>7200</v>
      </c>
      <c r="I1096" s="17" t="n">
        <v>3669863.15</v>
      </c>
      <c r="J1096" s="13" t="inlineStr">
        <is>
          <t>10 % × 80,000 × split 90%</t>
        </is>
      </c>
    </row>
    <row r="1097">
      <c r="A1097" s="19" t="n">
        <v>1096</v>
      </c>
      <c r="B1097" s="20" t="n">
        <v>46492</v>
      </c>
      <c r="C1097" s="21" t="n">
        <v>7</v>
      </c>
      <c r="D1097" s="25" t="inlineStr">
        <is>
          <t>Payout</t>
        </is>
      </c>
      <c r="E1097" s="19" t="inlineStr">
        <is>
          <t>City Traders Imperium</t>
        </is>
      </c>
      <c r="F1097" s="19" t="inlineStr">
        <is>
          <t>#137 Instant-Direct 80k</t>
        </is>
      </c>
      <c r="G1097" s="22" t="n">
        <v>80000</v>
      </c>
      <c r="H1097" s="22" t="n">
        <v>7200</v>
      </c>
      <c r="I1097" s="22" t="n">
        <v>3677063.15</v>
      </c>
      <c r="J1097" s="19" t="inlineStr">
        <is>
          <t>10 % × 80,000 × split 90%</t>
        </is>
      </c>
    </row>
    <row r="1098">
      <c r="A1098" s="13" t="n">
        <v>1097</v>
      </c>
      <c r="B1098" s="14" t="n">
        <v>46492</v>
      </c>
      <c r="C1098" s="15" t="n">
        <v>7</v>
      </c>
      <c r="D1098" s="25" t="inlineStr">
        <is>
          <t>Payout</t>
        </is>
      </c>
      <c r="E1098" s="13" t="inlineStr">
        <is>
          <t>FTUK</t>
        </is>
      </c>
      <c r="F1098" s="13" t="inlineStr">
        <is>
          <t>#138 Instant-Direct 100k</t>
        </is>
      </c>
      <c r="G1098" s="17" t="n">
        <v>100000</v>
      </c>
      <c r="H1098" s="17" t="n">
        <v>8000</v>
      </c>
      <c r="I1098" s="17" t="n">
        <v>3685063.15</v>
      </c>
      <c r="J1098" s="13" t="inlineStr">
        <is>
          <t>10 % × 100,000 × split 80%</t>
        </is>
      </c>
    </row>
    <row r="1099">
      <c r="A1099" s="19" t="n">
        <v>1098</v>
      </c>
      <c r="B1099" s="20" t="n">
        <v>46492</v>
      </c>
      <c r="C1099" s="21" t="n">
        <v>7</v>
      </c>
      <c r="D1099" s="25" t="inlineStr">
        <is>
          <t>Payout</t>
        </is>
      </c>
      <c r="E1099" s="19" t="inlineStr">
        <is>
          <t>Funded Friday</t>
        </is>
      </c>
      <c r="F1099" s="19" t="inlineStr">
        <is>
          <t>#139 Instant-Direct 200k</t>
        </is>
      </c>
      <c r="G1099" s="22" t="n">
        <v>200000</v>
      </c>
      <c r="H1099" s="22" t="n">
        <v>16000</v>
      </c>
      <c r="I1099" s="22" t="n">
        <v>3701063.15</v>
      </c>
      <c r="J1099" s="19" t="inlineStr">
        <is>
          <t>10 % × 200,000 × split 80%</t>
        </is>
      </c>
    </row>
    <row r="1100">
      <c r="A1100" s="13" t="n">
        <v>1099</v>
      </c>
      <c r="B1100" s="14" t="n">
        <v>46492</v>
      </c>
      <c r="C1100" s="15" t="n">
        <v>7</v>
      </c>
      <c r="D1100" s="25" t="inlineStr">
        <is>
          <t>Payout</t>
        </is>
      </c>
      <c r="E1100" s="13" t="inlineStr">
        <is>
          <t>Funded Trading Plus</t>
        </is>
      </c>
      <c r="F1100" s="13" t="inlineStr">
        <is>
          <t>#140 Instant-Direct 100k</t>
        </is>
      </c>
      <c r="G1100" s="17" t="n">
        <v>100000</v>
      </c>
      <c r="H1100" s="17" t="n">
        <v>8000</v>
      </c>
      <c r="I1100" s="17" t="n">
        <v>3709063.15</v>
      </c>
      <c r="J1100" s="13" t="inlineStr">
        <is>
          <t>10 % × 100,000 × split 80%</t>
        </is>
      </c>
    </row>
    <row r="1101">
      <c r="A1101" s="19" t="n">
        <v>1100</v>
      </c>
      <c r="B1101" s="20" t="n">
        <v>46492</v>
      </c>
      <c r="C1101" s="21" t="n">
        <v>7</v>
      </c>
      <c r="D1101" s="25" t="inlineStr">
        <is>
          <t>Payout</t>
        </is>
      </c>
      <c r="E1101" s="19" t="inlineStr">
        <is>
          <t>Funding Dynasty</t>
        </is>
      </c>
      <c r="F1101" s="19" t="inlineStr">
        <is>
          <t>#141 Instant-Direct 200k</t>
        </is>
      </c>
      <c r="G1101" s="22" t="n">
        <v>200000</v>
      </c>
      <c r="H1101" s="22" t="n">
        <v>16000</v>
      </c>
      <c r="I1101" s="22" t="n">
        <v>3725063.15</v>
      </c>
      <c r="J1101" s="19" t="inlineStr">
        <is>
          <t>10 % × 200,000 × split 80%</t>
        </is>
      </c>
    </row>
    <row r="1102">
      <c r="A1102" s="13" t="n">
        <v>1101</v>
      </c>
      <c r="B1102" s="14" t="n">
        <v>46492</v>
      </c>
      <c r="C1102" s="15" t="n">
        <v>7</v>
      </c>
      <c r="D1102" s="25" t="inlineStr">
        <is>
          <t>Payout</t>
        </is>
      </c>
      <c r="E1102" s="13" t="inlineStr">
        <is>
          <t>Funding Frontier</t>
        </is>
      </c>
      <c r="F1102" s="13" t="inlineStr">
        <is>
          <t>#142 Instant-Direct 50k</t>
        </is>
      </c>
      <c r="G1102" s="17" t="n">
        <v>50000</v>
      </c>
      <c r="H1102" s="17" t="n">
        <v>4000</v>
      </c>
      <c r="I1102" s="17" t="n">
        <v>3729063.15</v>
      </c>
      <c r="J1102" s="13" t="inlineStr">
        <is>
          <t>10 % × 50,000 × split 80%</t>
        </is>
      </c>
    </row>
    <row r="1103">
      <c r="A1103" s="19" t="n">
        <v>1102</v>
      </c>
      <c r="B1103" s="20" t="n">
        <v>46492</v>
      </c>
      <c r="C1103" s="21" t="n">
        <v>7</v>
      </c>
      <c r="D1103" s="25" t="inlineStr">
        <is>
          <t>Payout</t>
        </is>
      </c>
      <c r="E1103" s="19" t="inlineStr">
        <is>
          <t>FundYourFX</t>
        </is>
      </c>
      <c r="F1103" s="19" t="inlineStr">
        <is>
          <t>#143 Instant-Direct 200k</t>
        </is>
      </c>
      <c r="G1103" s="22" t="n">
        <v>200000</v>
      </c>
      <c r="H1103" s="22" t="n">
        <v>19000</v>
      </c>
      <c r="I1103" s="22" t="n">
        <v>3748063.15</v>
      </c>
      <c r="J1103" s="19" t="inlineStr">
        <is>
          <t>10 % × 200,000 × split 95%</t>
        </is>
      </c>
    </row>
    <row r="1104">
      <c r="A1104" s="13" t="n">
        <v>1103</v>
      </c>
      <c r="B1104" s="14" t="n">
        <v>46492</v>
      </c>
      <c r="C1104" s="15" t="n">
        <v>7</v>
      </c>
      <c r="D1104" s="25" t="inlineStr">
        <is>
          <t>Payout</t>
        </is>
      </c>
      <c r="E1104" s="13" t="inlineStr">
        <is>
          <t>Hex Funded</t>
        </is>
      </c>
      <c r="F1104" s="13" t="inlineStr">
        <is>
          <t>#144 Instant-Direct 100k</t>
        </is>
      </c>
      <c r="G1104" s="17" t="n">
        <v>100000</v>
      </c>
      <c r="H1104" s="17" t="n">
        <v>9000</v>
      </c>
      <c r="I1104" s="17" t="n">
        <v>3757063.15</v>
      </c>
      <c r="J1104" s="13" t="inlineStr">
        <is>
          <t>10 % × 100,000 × split 90%</t>
        </is>
      </c>
    </row>
    <row r="1105">
      <c r="A1105" s="19" t="n">
        <v>1104</v>
      </c>
      <c r="B1105" s="20" t="n">
        <v>46492</v>
      </c>
      <c r="C1105" s="21" t="n">
        <v>7</v>
      </c>
      <c r="D1105" s="25" t="inlineStr">
        <is>
          <t>Payout</t>
        </is>
      </c>
      <c r="E1105" s="19" t="inlineStr">
        <is>
          <t>FundingRock</t>
        </is>
      </c>
      <c r="F1105" s="19" t="inlineStr">
        <is>
          <t>#145 Instant-Direct 100k</t>
        </is>
      </c>
      <c r="G1105" s="22" t="n">
        <v>100000</v>
      </c>
      <c r="H1105" s="22" t="n">
        <v>8000</v>
      </c>
      <c r="I1105" s="22" t="n">
        <v>3765063.15</v>
      </c>
      <c r="J1105" s="19" t="inlineStr">
        <is>
          <t>10 % × 100,000 × split 80%</t>
        </is>
      </c>
    </row>
    <row r="1106">
      <c r="A1106" s="13" t="n">
        <v>1105</v>
      </c>
      <c r="B1106" s="14" t="n">
        <v>46492</v>
      </c>
      <c r="C1106" s="15" t="n">
        <v>7</v>
      </c>
      <c r="D1106" s="25" t="inlineStr">
        <is>
          <t>Payout</t>
        </is>
      </c>
      <c r="E1106" s="13" t="inlineStr">
        <is>
          <t>LegionFunding</t>
        </is>
      </c>
      <c r="F1106" s="13" t="inlineStr">
        <is>
          <t>#146 Instant-Direct 100k</t>
        </is>
      </c>
      <c r="G1106" s="17" t="n">
        <v>100000</v>
      </c>
      <c r="H1106" s="17" t="n">
        <v>8000</v>
      </c>
      <c r="I1106" s="17" t="n">
        <v>3773063.15</v>
      </c>
      <c r="J1106" s="13" t="inlineStr">
        <is>
          <t>10 % × 100,000 × split 80%</t>
        </is>
      </c>
    </row>
    <row r="1107">
      <c r="A1107" s="19" t="n">
        <v>1106</v>
      </c>
      <c r="B1107" s="20" t="n">
        <v>46492</v>
      </c>
      <c r="C1107" s="21" t="n">
        <v>7</v>
      </c>
      <c r="D1107" s="25" t="inlineStr">
        <is>
          <t>Payout</t>
        </is>
      </c>
      <c r="E1107" s="19" t="inlineStr">
        <is>
          <t>MasterFunders</t>
        </is>
      </c>
      <c r="F1107" s="19" t="inlineStr">
        <is>
          <t>#147 Instant-Direct 100k</t>
        </is>
      </c>
      <c r="G1107" s="22" t="n">
        <v>100000</v>
      </c>
      <c r="H1107" s="22" t="n">
        <v>8000</v>
      </c>
      <c r="I1107" s="22" t="n">
        <v>3781063.15</v>
      </c>
      <c r="J1107" s="19" t="inlineStr">
        <is>
          <t>10 % × 100,000 × split 80%</t>
        </is>
      </c>
    </row>
    <row r="1108">
      <c r="A1108" s="13" t="n">
        <v>1107</v>
      </c>
      <c r="B1108" s="14" t="n">
        <v>46492</v>
      </c>
      <c r="C1108" s="15" t="n">
        <v>7</v>
      </c>
      <c r="D1108" s="25" t="inlineStr">
        <is>
          <t>Payout</t>
        </is>
      </c>
      <c r="E1108" s="13" t="inlineStr">
        <is>
          <t>BloomFunded</t>
        </is>
      </c>
      <c r="F1108" s="13" t="inlineStr">
        <is>
          <t>#148 Instant-Direct 50k</t>
        </is>
      </c>
      <c r="G1108" s="17" t="n">
        <v>50000</v>
      </c>
      <c r="H1108" s="17" t="n">
        <v>4500</v>
      </c>
      <c r="I1108" s="17" t="n">
        <v>3785563.15</v>
      </c>
      <c r="J1108" s="13" t="inlineStr">
        <is>
          <t>10 % × 50,000 × split 90%</t>
        </is>
      </c>
    </row>
    <row r="1109">
      <c r="A1109" s="19" t="n">
        <v>1108</v>
      </c>
      <c r="B1109" s="20" t="n">
        <v>46492</v>
      </c>
      <c r="C1109" s="21" t="n">
        <v>7</v>
      </c>
      <c r="D1109" s="25" t="inlineStr">
        <is>
          <t>Payout</t>
        </is>
      </c>
      <c r="E1109" s="19" t="inlineStr">
        <is>
          <t>Finotive Futures</t>
        </is>
      </c>
      <c r="F1109" s="19" t="inlineStr">
        <is>
          <t>#153 1 Step 150k</t>
        </is>
      </c>
      <c r="G1109" s="22" t="n">
        <v>150000</v>
      </c>
      <c r="H1109" s="22" t="n">
        <v>13500</v>
      </c>
      <c r="I1109" s="22" t="n">
        <v>3799063.15</v>
      </c>
      <c r="J1109" s="19" t="inlineStr">
        <is>
          <t>10 % × 150,000 × split 90%</t>
        </is>
      </c>
    </row>
    <row r="1110">
      <c r="A1110" s="13" t="n">
        <v>1109</v>
      </c>
      <c r="B1110" s="14" t="n">
        <v>46492</v>
      </c>
      <c r="C1110" s="15" t="n">
        <v>7</v>
      </c>
      <c r="D1110" s="25" t="inlineStr">
        <is>
          <t>Payout</t>
        </is>
      </c>
      <c r="E1110" s="13" t="inlineStr">
        <is>
          <t>Finotive Futures</t>
        </is>
      </c>
      <c r="F1110" s="13" t="inlineStr">
        <is>
          <t>#154 1 Step 150k</t>
        </is>
      </c>
      <c r="G1110" s="17" t="n">
        <v>150000</v>
      </c>
      <c r="H1110" s="17" t="n">
        <v>13500</v>
      </c>
      <c r="I1110" s="17" t="n">
        <v>3812563.15</v>
      </c>
      <c r="J1110" s="13" t="inlineStr">
        <is>
          <t>10 % × 150,000 × split 90%</t>
        </is>
      </c>
    </row>
    <row r="1111">
      <c r="A1111" s="19" t="n">
        <v>1110</v>
      </c>
      <c r="B1111" s="20" t="n">
        <v>46492</v>
      </c>
      <c r="C1111" s="21" t="n">
        <v>7</v>
      </c>
      <c r="D1111" s="25" t="inlineStr">
        <is>
          <t>Payout</t>
        </is>
      </c>
      <c r="E1111" s="19" t="inlineStr">
        <is>
          <t>Finotive Futures</t>
        </is>
      </c>
      <c r="F1111" s="19" t="inlineStr">
        <is>
          <t>#155 1 Step 150k</t>
        </is>
      </c>
      <c r="G1111" s="22" t="n">
        <v>150000</v>
      </c>
      <c r="H1111" s="22" t="n">
        <v>13500</v>
      </c>
      <c r="I1111" s="22" t="n">
        <v>3826063.15</v>
      </c>
      <c r="J1111" s="19" t="inlineStr">
        <is>
          <t>10 % × 150,000 × split 90%</t>
        </is>
      </c>
    </row>
    <row r="1112">
      <c r="A1112" s="13" t="n">
        <v>1111</v>
      </c>
      <c r="B1112" s="14" t="n">
        <v>46492</v>
      </c>
      <c r="C1112" s="15" t="n">
        <v>7</v>
      </c>
      <c r="D1112" s="25" t="inlineStr">
        <is>
          <t>Payout</t>
        </is>
      </c>
      <c r="E1112" s="13" t="inlineStr">
        <is>
          <t>Finotive Futures</t>
        </is>
      </c>
      <c r="F1112" s="13" t="inlineStr">
        <is>
          <t>#156 1 Step 150k</t>
        </is>
      </c>
      <c r="G1112" s="17" t="n">
        <v>150000</v>
      </c>
      <c r="H1112" s="17" t="n">
        <v>13500</v>
      </c>
      <c r="I1112" s="17" t="n">
        <v>3839563.15</v>
      </c>
      <c r="J1112" s="13" t="inlineStr">
        <is>
          <t>10 % × 150,000 × split 90%</t>
        </is>
      </c>
    </row>
    <row r="1113">
      <c r="A1113" s="19" t="n">
        <v>1112</v>
      </c>
      <c r="B1113" s="20" t="n">
        <v>46492</v>
      </c>
      <c r="C1113" s="21" t="n">
        <v>7</v>
      </c>
      <c r="D1113" s="25" t="inlineStr">
        <is>
          <t>Payout</t>
        </is>
      </c>
      <c r="E1113" s="19" t="inlineStr">
        <is>
          <t>Finotive Futures</t>
        </is>
      </c>
      <c r="F1113" s="19" t="inlineStr">
        <is>
          <t>#157 1 Step 150k</t>
        </is>
      </c>
      <c r="G1113" s="22" t="n">
        <v>150000</v>
      </c>
      <c r="H1113" s="22" t="n">
        <v>13500</v>
      </c>
      <c r="I1113" s="22" t="n">
        <v>3853063.15</v>
      </c>
      <c r="J1113" s="19" t="inlineStr">
        <is>
          <t>10 % × 150,000 × split 90%</t>
        </is>
      </c>
    </row>
    <row r="1114">
      <c r="A1114" s="13" t="n">
        <v>1113</v>
      </c>
      <c r="B1114" s="14" t="n">
        <v>46492</v>
      </c>
      <c r="C1114" s="15" t="n">
        <v>7</v>
      </c>
      <c r="D1114" s="25" t="inlineStr">
        <is>
          <t>Payout</t>
        </is>
      </c>
      <c r="E1114" s="13" t="inlineStr">
        <is>
          <t>Finotive Futures</t>
        </is>
      </c>
      <c r="F1114" s="13" t="inlineStr">
        <is>
          <t>#158 1 Step 150k</t>
        </is>
      </c>
      <c r="G1114" s="17" t="n">
        <v>150000</v>
      </c>
      <c r="H1114" s="17" t="n">
        <v>13500</v>
      </c>
      <c r="I1114" s="17" t="n">
        <v>3866563.15</v>
      </c>
      <c r="J1114" s="13" t="inlineStr">
        <is>
          <t>10 % × 150,000 × split 90%</t>
        </is>
      </c>
    </row>
    <row r="1115">
      <c r="A1115" s="19" t="n">
        <v>1114</v>
      </c>
      <c r="B1115" s="20" t="n">
        <v>46492</v>
      </c>
      <c r="C1115" s="21" t="n">
        <v>7</v>
      </c>
      <c r="D1115" s="25" t="inlineStr">
        <is>
          <t>Payout</t>
        </is>
      </c>
      <c r="E1115" s="19" t="inlineStr">
        <is>
          <t>Funded Trader Markets</t>
        </is>
      </c>
      <c r="F1115" s="19" t="inlineStr">
        <is>
          <t>#159 1 Step 300k</t>
        </is>
      </c>
      <c r="G1115" s="22" t="n">
        <v>300000</v>
      </c>
      <c r="H1115" s="22" t="n">
        <v>27000</v>
      </c>
      <c r="I1115" s="22" t="n">
        <v>3893563.15</v>
      </c>
      <c r="J1115" s="19" t="inlineStr">
        <is>
          <t>10 % × 300,000 × split 90%</t>
        </is>
      </c>
    </row>
    <row r="1116">
      <c r="A1116" s="13" t="n">
        <v>1115</v>
      </c>
      <c r="B1116" s="14" t="n">
        <v>46492</v>
      </c>
      <c r="C1116" s="15" t="n">
        <v>7</v>
      </c>
      <c r="D1116" s="25" t="inlineStr">
        <is>
          <t>Payout</t>
        </is>
      </c>
      <c r="E1116" s="13" t="inlineStr">
        <is>
          <t>Funded Trader Markets</t>
        </is>
      </c>
      <c r="F1116" s="13" t="inlineStr">
        <is>
          <t>#160 1 Step 300k</t>
        </is>
      </c>
      <c r="G1116" s="17" t="n">
        <v>300000</v>
      </c>
      <c r="H1116" s="17" t="n">
        <v>27000</v>
      </c>
      <c r="I1116" s="17" t="n">
        <v>3920563.15</v>
      </c>
      <c r="J1116" s="13" t="inlineStr">
        <is>
          <t>10 % × 300,000 × split 90%</t>
        </is>
      </c>
    </row>
    <row r="1117">
      <c r="A1117" s="19" t="n">
        <v>1116</v>
      </c>
      <c r="B1117" s="20" t="n">
        <v>46492</v>
      </c>
      <c r="C1117" s="21" t="n">
        <v>7</v>
      </c>
      <c r="D1117" s="25" t="inlineStr">
        <is>
          <t>Payout</t>
        </is>
      </c>
      <c r="E1117" s="19" t="inlineStr">
        <is>
          <t>Funded Trader Markets</t>
        </is>
      </c>
      <c r="F1117" s="19" t="inlineStr">
        <is>
          <t>#161 1 Step 300k</t>
        </is>
      </c>
      <c r="G1117" s="22" t="n">
        <v>300000</v>
      </c>
      <c r="H1117" s="22" t="n">
        <v>27000</v>
      </c>
      <c r="I1117" s="22" t="n">
        <v>3947563.15</v>
      </c>
      <c r="J1117" s="19" t="inlineStr">
        <is>
          <t>10 % × 300,000 × split 90%</t>
        </is>
      </c>
    </row>
    <row r="1118">
      <c r="A1118" s="13" t="n">
        <v>1117</v>
      </c>
      <c r="B1118" s="14" t="n">
        <v>46492</v>
      </c>
      <c r="C1118" s="15" t="n">
        <v>7</v>
      </c>
      <c r="D1118" s="25" t="inlineStr">
        <is>
          <t>Payout</t>
        </is>
      </c>
      <c r="E1118" s="13" t="inlineStr">
        <is>
          <t>Kingdom Wealth Funding</t>
        </is>
      </c>
      <c r="F1118" s="13" t="inlineStr">
        <is>
          <t>#164 1 Step 1000k</t>
        </is>
      </c>
      <c r="G1118" s="17" t="n">
        <v>1000000</v>
      </c>
      <c r="H1118" s="17" t="n">
        <v>80000</v>
      </c>
      <c r="I1118" s="17" t="n">
        <v>4027563.15</v>
      </c>
      <c r="J1118" s="13" t="inlineStr">
        <is>
          <t>10 % × 1,000,000 × split 80%</t>
        </is>
      </c>
    </row>
    <row r="1119">
      <c r="A1119" s="19" t="n">
        <v>1118</v>
      </c>
      <c r="B1119" s="20" t="n">
        <v>46492</v>
      </c>
      <c r="C1119" s="21" t="n">
        <v>7</v>
      </c>
      <c r="D1119" s="25" t="inlineStr">
        <is>
          <t>Payout</t>
        </is>
      </c>
      <c r="E1119" s="19" t="inlineStr">
        <is>
          <t>Ment Funding</t>
        </is>
      </c>
      <c r="F1119" s="19" t="inlineStr">
        <is>
          <t>#165 1 Step 1000k</t>
        </is>
      </c>
      <c r="G1119" s="22" t="n">
        <v>1000000</v>
      </c>
      <c r="H1119" s="22" t="n">
        <v>80000</v>
      </c>
      <c r="I1119" s="22" t="n">
        <v>4107563.15</v>
      </c>
      <c r="J1119" s="19" t="inlineStr">
        <is>
          <t>10 % × 1,000,000 × split 80%</t>
        </is>
      </c>
    </row>
    <row r="1120">
      <c r="A1120" s="13" t="n">
        <v>1119</v>
      </c>
      <c r="B1120" s="14" t="n">
        <v>46492</v>
      </c>
      <c r="C1120" s="15" t="n">
        <v>7</v>
      </c>
      <c r="D1120" s="25" t="inlineStr">
        <is>
          <t>Payout</t>
        </is>
      </c>
      <c r="E1120" s="13" t="inlineStr">
        <is>
          <t>Ment Funding Futures</t>
        </is>
      </c>
      <c r="F1120" s="13" t="inlineStr">
        <is>
          <t>#172 1 Step 400k</t>
        </is>
      </c>
      <c r="G1120" s="17" t="n">
        <v>400000</v>
      </c>
      <c r="H1120" s="17" t="n">
        <v>32000</v>
      </c>
      <c r="I1120" s="17" t="n">
        <v>4139563.15</v>
      </c>
      <c r="J1120" s="13" t="inlineStr">
        <is>
          <t>10 % × 400,000 × split 80%</t>
        </is>
      </c>
    </row>
    <row r="1121">
      <c r="A1121" s="19" t="n">
        <v>1120</v>
      </c>
      <c r="B1121" s="20" t="n">
        <v>46492</v>
      </c>
      <c r="C1121" s="21" t="n">
        <v>7</v>
      </c>
      <c r="D1121" s="25" t="inlineStr">
        <is>
          <t>Payout</t>
        </is>
      </c>
      <c r="E1121" s="19" t="inlineStr">
        <is>
          <t>10FOUR</t>
        </is>
      </c>
      <c r="F1121" s="19" t="inlineStr">
        <is>
          <t>#173 1 Step 150k</t>
        </is>
      </c>
      <c r="G1121" s="22" t="n">
        <v>150000</v>
      </c>
      <c r="H1121" s="22" t="n">
        <v>13500</v>
      </c>
      <c r="I1121" s="22" t="n">
        <v>4153063.15</v>
      </c>
      <c r="J1121" s="19" t="inlineStr">
        <is>
          <t>10 % × 150,000 × split 90%</t>
        </is>
      </c>
    </row>
    <row r="1122">
      <c r="A1122" s="13" t="n">
        <v>1121</v>
      </c>
      <c r="B1122" s="14" t="n">
        <v>46492</v>
      </c>
      <c r="C1122" s="15" t="n">
        <v>7</v>
      </c>
      <c r="D1122" s="25" t="inlineStr">
        <is>
          <t>Payout</t>
        </is>
      </c>
      <c r="E1122" s="13" t="inlineStr">
        <is>
          <t>10FOUR</t>
        </is>
      </c>
      <c r="F1122" s="13" t="inlineStr">
        <is>
          <t>#174 1 Step 150k</t>
        </is>
      </c>
      <c r="G1122" s="17" t="n">
        <v>150000</v>
      </c>
      <c r="H1122" s="17" t="n">
        <v>13500</v>
      </c>
      <c r="I1122" s="17" t="n">
        <v>4166563.15</v>
      </c>
      <c r="J1122" s="13" t="inlineStr">
        <is>
          <t>10 % × 150,000 × split 90%</t>
        </is>
      </c>
    </row>
    <row r="1123">
      <c r="A1123" s="19" t="n">
        <v>1122</v>
      </c>
      <c r="B1123" s="20" t="n">
        <v>46492</v>
      </c>
      <c r="C1123" s="21" t="n">
        <v>7</v>
      </c>
      <c r="D1123" s="25" t="inlineStr">
        <is>
          <t>Payout</t>
        </is>
      </c>
      <c r="E1123" s="19" t="inlineStr">
        <is>
          <t>10FOUR</t>
        </is>
      </c>
      <c r="F1123" s="19" t="inlineStr">
        <is>
          <t>#175 1 Step 150k</t>
        </is>
      </c>
      <c r="G1123" s="22" t="n">
        <v>150000</v>
      </c>
      <c r="H1123" s="22" t="n">
        <v>13500</v>
      </c>
      <c r="I1123" s="22" t="n">
        <v>4180063.15</v>
      </c>
      <c r="J1123" s="19" t="inlineStr">
        <is>
          <t>10 % × 150,000 × split 90%</t>
        </is>
      </c>
    </row>
    <row r="1124">
      <c r="A1124" s="13" t="n">
        <v>1123</v>
      </c>
      <c r="B1124" s="14" t="n">
        <v>46492</v>
      </c>
      <c r="C1124" s="15" t="n">
        <v>7</v>
      </c>
      <c r="D1124" s="25" t="inlineStr">
        <is>
          <t>Payout</t>
        </is>
      </c>
      <c r="E1124" s="13" t="inlineStr">
        <is>
          <t>10FOUR</t>
        </is>
      </c>
      <c r="F1124" s="13" t="inlineStr">
        <is>
          <t>#176 1 Step 150k</t>
        </is>
      </c>
      <c r="G1124" s="17" t="n">
        <v>150000</v>
      </c>
      <c r="H1124" s="17" t="n">
        <v>13500</v>
      </c>
      <c r="I1124" s="17" t="n">
        <v>4193563.15</v>
      </c>
      <c r="J1124" s="13" t="inlineStr">
        <is>
          <t>10 % × 150,000 × split 90%</t>
        </is>
      </c>
    </row>
    <row r="1125">
      <c r="A1125" s="19" t="n">
        <v>1124</v>
      </c>
      <c r="B1125" s="20" t="n">
        <v>46492</v>
      </c>
      <c r="C1125" s="21" t="n">
        <v>7</v>
      </c>
      <c r="D1125" s="25" t="inlineStr">
        <is>
          <t>Payout</t>
        </is>
      </c>
      <c r="E1125" s="19" t="inlineStr">
        <is>
          <t>10FOUR</t>
        </is>
      </c>
      <c r="F1125" s="19" t="inlineStr">
        <is>
          <t>#177 1 Step 150k</t>
        </is>
      </c>
      <c r="G1125" s="22" t="n">
        <v>150000</v>
      </c>
      <c r="H1125" s="22" t="n">
        <v>13500</v>
      </c>
      <c r="I1125" s="22" t="n">
        <v>4207063.15</v>
      </c>
      <c r="J1125" s="19" t="inlineStr">
        <is>
          <t>10 % × 150,000 × split 90%</t>
        </is>
      </c>
    </row>
    <row r="1126">
      <c r="A1126" s="13" t="n">
        <v>1125</v>
      </c>
      <c r="B1126" s="14" t="n">
        <v>46492</v>
      </c>
      <c r="C1126" s="15" t="n">
        <v>7</v>
      </c>
      <c r="D1126" s="25" t="inlineStr">
        <is>
          <t>Payout</t>
        </is>
      </c>
      <c r="E1126" s="13" t="inlineStr">
        <is>
          <t>Blue Guardian Futures</t>
        </is>
      </c>
      <c r="F1126" s="13" t="inlineStr">
        <is>
          <t>#178 1 Step 100k</t>
        </is>
      </c>
      <c r="G1126" s="17" t="n">
        <v>100000</v>
      </c>
      <c r="H1126" s="17" t="n">
        <v>9000</v>
      </c>
      <c r="I1126" s="17" t="n">
        <v>4216063.15</v>
      </c>
      <c r="J1126" s="13" t="inlineStr">
        <is>
          <t>10 % × 100,000 × split 90%</t>
        </is>
      </c>
    </row>
    <row r="1127">
      <c r="A1127" s="19" t="n">
        <v>1126</v>
      </c>
      <c r="B1127" s="20" t="n">
        <v>46492</v>
      </c>
      <c r="C1127" s="21" t="n">
        <v>7</v>
      </c>
      <c r="D1127" s="25" t="inlineStr">
        <is>
          <t>Payout</t>
        </is>
      </c>
      <c r="E1127" s="19" t="inlineStr">
        <is>
          <t>Blue Guardian Futures</t>
        </is>
      </c>
      <c r="F1127" s="19" t="inlineStr">
        <is>
          <t>#179 1 Step 100k</t>
        </is>
      </c>
      <c r="G1127" s="22" t="n">
        <v>100000</v>
      </c>
      <c r="H1127" s="22" t="n">
        <v>9000</v>
      </c>
      <c r="I1127" s="22" t="n">
        <v>4225063.15</v>
      </c>
      <c r="J1127" s="19" t="inlineStr">
        <is>
          <t>10 % × 100,000 × split 90%</t>
        </is>
      </c>
    </row>
    <row r="1128">
      <c r="A1128" s="13" t="n">
        <v>1127</v>
      </c>
      <c r="B1128" s="14" t="n">
        <v>46492</v>
      </c>
      <c r="C1128" s="15" t="n">
        <v>7</v>
      </c>
      <c r="D1128" s="25" t="inlineStr">
        <is>
          <t>Payout</t>
        </is>
      </c>
      <c r="E1128" s="13" t="inlineStr">
        <is>
          <t>Blue Guardian Futures</t>
        </is>
      </c>
      <c r="F1128" s="13" t="inlineStr">
        <is>
          <t>#180 1 Step 100k</t>
        </is>
      </c>
      <c r="G1128" s="17" t="n">
        <v>100000</v>
      </c>
      <c r="H1128" s="17" t="n">
        <v>9000</v>
      </c>
      <c r="I1128" s="17" t="n">
        <v>4234063.15</v>
      </c>
      <c r="J1128" s="13" t="inlineStr">
        <is>
          <t>10 % × 100,000 × split 90%</t>
        </is>
      </c>
    </row>
    <row r="1129">
      <c r="A1129" s="19" t="n">
        <v>1128</v>
      </c>
      <c r="B1129" s="20" t="n">
        <v>46492</v>
      </c>
      <c r="C1129" s="21" t="n">
        <v>7</v>
      </c>
      <c r="D1129" s="25" t="inlineStr">
        <is>
          <t>Payout</t>
        </is>
      </c>
      <c r="E1129" s="19" t="inlineStr">
        <is>
          <t>Blue Guardian Futures</t>
        </is>
      </c>
      <c r="F1129" s="19" t="inlineStr">
        <is>
          <t>#181 1 Step 100k</t>
        </is>
      </c>
      <c r="G1129" s="22" t="n">
        <v>100000</v>
      </c>
      <c r="H1129" s="22" t="n">
        <v>9000</v>
      </c>
      <c r="I1129" s="22" t="n">
        <v>4243063.15</v>
      </c>
      <c r="J1129" s="19" t="inlineStr">
        <is>
          <t>10 % × 100,000 × split 90%</t>
        </is>
      </c>
    </row>
    <row r="1130">
      <c r="A1130" s="13" t="n">
        <v>1129</v>
      </c>
      <c r="B1130" s="14" t="n">
        <v>46492</v>
      </c>
      <c r="C1130" s="15" t="n">
        <v>7</v>
      </c>
      <c r="D1130" s="25" t="inlineStr">
        <is>
          <t>Payout</t>
        </is>
      </c>
      <c r="E1130" s="13" t="inlineStr">
        <is>
          <t>Blue Guardian Futures</t>
        </is>
      </c>
      <c r="F1130" s="13" t="inlineStr">
        <is>
          <t>#182 1 Step 100k</t>
        </is>
      </c>
      <c r="G1130" s="17" t="n">
        <v>100000</v>
      </c>
      <c r="H1130" s="17" t="n">
        <v>9000</v>
      </c>
      <c r="I1130" s="17" t="n">
        <v>4252063.15</v>
      </c>
      <c r="J1130" s="13" t="inlineStr">
        <is>
          <t>10 % × 100,000 × split 90%</t>
        </is>
      </c>
    </row>
    <row r="1131">
      <c r="A1131" s="19" t="n">
        <v>1130</v>
      </c>
      <c r="B1131" s="20" t="n">
        <v>46492</v>
      </c>
      <c r="C1131" s="21" t="n">
        <v>7</v>
      </c>
      <c r="D1131" s="25" t="inlineStr">
        <is>
          <t>Payout</t>
        </is>
      </c>
      <c r="E1131" s="19" t="inlineStr">
        <is>
          <t>Blue Guardian Futures</t>
        </is>
      </c>
      <c r="F1131" s="19" t="inlineStr">
        <is>
          <t>#183 1 Step 100k</t>
        </is>
      </c>
      <c r="G1131" s="22" t="n">
        <v>100000</v>
      </c>
      <c r="H1131" s="22" t="n">
        <v>9000</v>
      </c>
      <c r="I1131" s="22" t="n">
        <v>4261063.15</v>
      </c>
      <c r="J1131" s="19" t="inlineStr">
        <is>
          <t>10 % × 100,000 × split 90%</t>
        </is>
      </c>
    </row>
    <row r="1132">
      <c r="A1132" s="13" t="n">
        <v>1131</v>
      </c>
      <c r="B1132" s="14" t="n">
        <v>46492</v>
      </c>
      <c r="C1132" s="15" t="n">
        <v>7</v>
      </c>
      <c r="D1132" s="25" t="inlineStr">
        <is>
          <t>Payout</t>
        </is>
      </c>
      <c r="E1132" s="13" t="inlineStr">
        <is>
          <t>Blue Guardian Futures</t>
        </is>
      </c>
      <c r="F1132" s="13" t="inlineStr">
        <is>
          <t>#184 1 Step 100k</t>
        </is>
      </c>
      <c r="G1132" s="17" t="n">
        <v>100000</v>
      </c>
      <c r="H1132" s="17" t="n">
        <v>9000</v>
      </c>
      <c r="I1132" s="17" t="n">
        <v>4270063.15</v>
      </c>
      <c r="J1132" s="13" t="inlineStr">
        <is>
          <t>10 % × 100,000 × split 90%</t>
        </is>
      </c>
    </row>
    <row r="1133">
      <c r="A1133" s="19" t="n">
        <v>1132</v>
      </c>
      <c r="B1133" s="20" t="n">
        <v>46492</v>
      </c>
      <c r="C1133" s="21" t="n">
        <v>7</v>
      </c>
      <c r="D1133" s="25" t="inlineStr">
        <is>
          <t>Payout</t>
        </is>
      </c>
      <c r="E1133" s="19" t="inlineStr">
        <is>
          <t>FunderPro Futures</t>
        </is>
      </c>
      <c r="F1133" s="19" t="inlineStr">
        <is>
          <t>#185 1 Step 150k</t>
        </is>
      </c>
      <c r="G1133" s="22" t="n">
        <v>150000</v>
      </c>
      <c r="H1133" s="22" t="n">
        <v>9000</v>
      </c>
      <c r="I1133" s="22" t="n">
        <v>4279063.15</v>
      </c>
      <c r="J1133" s="19" t="inlineStr">
        <is>
          <t>10 % × 150,000 × split 60%</t>
        </is>
      </c>
    </row>
    <row r="1134">
      <c r="A1134" s="13" t="n">
        <v>1133</v>
      </c>
      <c r="B1134" s="14" t="n">
        <v>46492</v>
      </c>
      <c r="C1134" s="15" t="n">
        <v>7</v>
      </c>
      <c r="D1134" s="25" t="inlineStr">
        <is>
          <t>Payout</t>
        </is>
      </c>
      <c r="E1134" s="13" t="inlineStr">
        <is>
          <t>FunderPro Futures</t>
        </is>
      </c>
      <c r="F1134" s="13" t="inlineStr">
        <is>
          <t>#186 1 Step 150k</t>
        </is>
      </c>
      <c r="G1134" s="17" t="n">
        <v>150000</v>
      </c>
      <c r="H1134" s="17" t="n">
        <v>9000</v>
      </c>
      <c r="I1134" s="17" t="n">
        <v>4288063.15</v>
      </c>
      <c r="J1134" s="13" t="inlineStr">
        <is>
          <t>10 % × 150,000 × split 60%</t>
        </is>
      </c>
    </row>
    <row r="1135">
      <c r="A1135" s="19" t="n">
        <v>1134</v>
      </c>
      <c r="B1135" s="20" t="n">
        <v>46492</v>
      </c>
      <c r="C1135" s="21" t="n">
        <v>7</v>
      </c>
      <c r="D1135" s="25" t="inlineStr">
        <is>
          <t>Payout</t>
        </is>
      </c>
      <c r="E1135" s="19" t="inlineStr">
        <is>
          <t>FunderPro Futures</t>
        </is>
      </c>
      <c r="F1135" s="19" t="inlineStr">
        <is>
          <t>#187 1 Step 150k</t>
        </is>
      </c>
      <c r="G1135" s="22" t="n">
        <v>150000</v>
      </c>
      <c r="H1135" s="22" t="n">
        <v>9000</v>
      </c>
      <c r="I1135" s="22" t="n">
        <v>4297063.15</v>
      </c>
      <c r="J1135" s="19" t="inlineStr">
        <is>
          <t>10 % × 150,000 × split 60%</t>
        </is>
      </c>
    </row>
    <row r="1136">
      <c r="A1136" s="13" t="n">
        <v>1135</v>
      </c>
      <c r="B1136" s="14" t="n">
        <v>46492</v>
      </c>
      <c r="C1136" s="15" t="n">
        <v>7</v>
      </c>
      <c r="D1136" s="25" t="inlineStr">
        <is>
          <t>Payout</t>
        </is>
      </c>
      <c r="E1136" s="13" t="inlineStr">
        <is>
          <t>FunderPro Futures</t>
        </is>
      </c>
      <c r="F1136" s="13" t="inlineStr">
        <is>
          <t>#188 1 Step 150k</t>
        </is>
      </c>
      <c r="G1136" s="17" t="n">
        <v>150000</v>
      </c>
      <c r="H1136" s="17" t="n">
        <v>9000</v>
      </c>
      <c r="I1136" s="17" t="n">
        <v>4306063.15</v>
      </c>
      <c r="J1136" s="13" t="inlineStr">
        <is>
          <t>10 % × 150,000 × split 60%</t>
        </is>
      </c>
    </row>
    <row r="1137">
      <c r="A1137" s="19" t="n">
        <v>1136</v>
      </c>
      <c r="B1137" s="20" t="n">
        <v>46492</v>
      </c>
      <c r="C1137" s="21" t="n">
        <v>7</v>
      </c>
      <c r="D1137" s="25" t="inlineStr">
        <is>
          <t>Payout</t>
        </is>
      </c>
      <c r="E1137" s="19" t="inlineStr">
        <is>
          <t>Capitalize</t>
        </is>
      </c>
      <c r="F1137" s="19" t="inlineStr">
        <is>
          <t>#202 1 Step 500k</t>
        </is>
      </c>
      <c r="G1137" s="22" t="n">
        <v>500000</v>
      </c>
      <c r="H1137" s="22" t="n">
        <v>40000</v>
      </c>
      <c r="I1137" s="22" t="n">
        <v>4346063.15</v>
      </c>
      <c r="J1137" s="19" t="inlineStr">
        <is>
          <t>10 % × 500,000 × split 80%</t>
        </is>
      </c>
    </row>
    <row r="1138">
      <c r="A1138" s="13" t="n">
        <v>1137</v>
      </c>
      <c r="B1138" s="14" t="n">
        <v>46492</v>
      </c>
      <c r="C1138" s="15" t="n">
        <v>7</v>
      </c>
      <c r="D1138" s="25" t="inlineStr">
        <is>
          <t>Payout</t>
        </is>
      </c>
      <c r="E1138" s="13" t="inlineStr">
        <is>
          <t>Hola Prime</t>
        </is>
      </c>
      <c r="F1138" s="13" t="inlineStr">
        <is>
          <t>#206 1 Step 150k</t>
        </is>
      </c>
      <c r="G1138" s="17" t="n">
        <v>150000</v>
      </c>
      <c r="H1138" s="17" t="n">
        <v>12000</v>
      </c>
      <c r="I1138" s="17" t="n">
        <v>4358063.15</v>
      </c>
      <c r="J1138" s="13" t="inlineStr">
        <is>
          <t>10 % × 150,000 × split 80%</t>
        </is>
      </c>
    </row>
    <row r="1139">
      <c r="A1139" s="19" t="n">
        <v>1138</v>
      </c>
      <c r="B1139" s="20" t="n">
        <v>46492</v>
      </c>
      <c r="C1139" s="21" t="n">
        <v>7</v>
      </c>
      <c r="D1139" s="25" t="inlineStr">
        <is>
          <t>Payout</t>
        </is>
      </c>
      <c r="E1139" s="19" t="inlineStr">
        <is>
          <t>Hola Prime</t>
        </is>
      </c>
      <c r="F1139" s="19" t="inlineStr">
        <is>
          <t>#207 1 Step 150k</t>
        </is>
      </c>
      <c r="G1139" s="22" t="n">
        <v>150000</v>
      </c>
      <c r="H1139" s="22" t="n">
        <v>12000</v>
      </c>
      <c r="I1139" s="22" t="n">
        <v>4370063.15</v>
      </c>
      <c r="J1139" s="19" t="inlineStr">
        <is>
          <t>10 % × 150,000 × split 80%</t>
        </is>
      </c>
    </row>
    <row r="1140">
      <c r="A1140" s="13" t="n">
        <v>1139</v>
      </c>
      <c r="B1140" s="14" t="n">
        <v>46492</v>
      </c>
      <c r="C1140" s="15" t="n">
        <v>7</v>
      </c>
      <c r="D1140" s="25" t="inlineStr">
        <is>
          <t>Payout</t>
        </is>
      </c>
      <c r="E1140" s="13" t="inlineStr">
        <is>
          <t>Hola Prime</t>
        </is>
      </c>
      <c r="F1140" s="13" t="inlineStr">
        <is>
          <t>#208 1 Step 150k</t>
        </is>
      </c>
      <c r="G1140" s="17" t="n">
        <v>150000</v>
      </c>
      <c r="H1140" s="17" t="n">
        <v>12000</v>
      </c>
      <c r="I1140" s="17" t="n">
        <v>4382063.15</v>
      </c>
      <c r="J1140" s="13" t="inlineStr">
        <is>
          <t>10 % × 150,000 × split 80%</t>
        </is>
      </c>
    </row>
    <row r="1141">
      <c r="A1141" s="19" t="n">
        <v>1140</v>
      </c>
      <c r="B1141" s="20" t="n">
        <v>46492</v>
      </c>
      <c r="C1141" s="21" t="n">
        <v>7</v>
      </c>
      <c r="D1141" s="25" t="inlineStr">
        <is>
          <t>Payout</t>
        </is>
      </c>
      <c r="E1141" s="19" t="inlineStr">
        <is>
          <t>FTMO Futures</t>
        </is>
      </c>
      <c r="F1141" s="19" t="inlineStr">
        <is>
          <t>#213 1 Step 150k</t>
        </is>
      </c>
      <c r="G1141" s="22" t="n">
        <v>150000</v>
      </c>
      <c r="H1141" s="22" t="n">
        <v>13500</v>
      </c>
      <c r="I1141" s="22" t="n">
        <v>4395563.15</v>
      </c>
      <c r="J1141" s="19" t="inlineStr">
        <is>
          <t>10 % × 150,000 × split 90%</t>
        </is>
      </c>
    </row>
    <row r="1142">
      <c r="A1142" s="13" t="n">
        <v>1141</v>
      </c>
      <c r="B1142" s="14" t="n">
        <v>46492</v>
      </c>
      <c r="C1142" s="15" t="n">
        <v>7</v>
      </c>
      <c r="D1142" s="25" t="inlineStr">
        <is>
          <t>Payout</t>
        </is>
      </c>
      <c r="E1142" s="13" t="inlineStr">
        <is>
          <t>FTMO Futures</t>
        </is>
      </c>
      <c r="F1142" s="13" t="inlineStr">
        <is>
          <t>#214 1 Step 150k</t>
        </is>
      </c>
      <c r="G1142" s="17" t="n">
        <v>150000</v>
      </c>
      <c r="H1142" s="17" t="n">
        <v>13500</v>
      </c>
      <c r="I1142" s="17" t="n">
        <v>4409063.15</v>
      </c>
      <c r="J1142" s="13" t="inlineStr">
        <is>
          <t>10 % × 150,000 × split 90%</t>
        </is>
      </c>
    </row>
    <row r="1143">
      <c r="A1143" s="19" t="n">
        <v>1142</v>
      </c>
      <c r="B1143" s="20" t="n">
        <v>46492</v>
      </c>
      <c r="C1143" s="21" t="n">
        <v>7</v>
      </c>
      <c r="D1143" s="25" t="inlineStr">
        <is>
          <t>Payout</t>
        </is>
      </c>
      <c r="E1143" s="19" t="inlineStr">
        <is>
          <t>FTMO Futures</t>
        </is>
      </c>
      <c r="F1143" s="19" t="inlineStr">
        <is>
          <t>#215 1 Step 150k</t>
        </is>
      </c>
      <c r="G1143" s="22" t="n">
        <v>150000</v>
      </c>
      <c r="H1143" s="22" t="n">
        <v>13500</v>
      </c>
      <c r="I1143" s="22" t="n">
        <v>4422563.15</v>
      </c>
      <c r="J1143" s="19" t="inlineStr">
        <is>
          <t>10 % × 150,000 × split 90%</t>
        </is>
      </c>
    </row>
    <row r="1144">
      <c r="A1144" s="13" t="n">
        <v>1143</v>
      </c>
      <c r="B1144" s="14" t="n">
        <v>46492</v>
      </c>
      <c r="C1144" s="15" t="n">
        <v>7</v>
      </c>
      <c r="D1144" s="25" t="inlineStr">
        <is>
          <t>Payout</t>
        </is>
      </c>
      <c r="E1144" s="13" t="inlineStr">
        <is>
          <t>Halcyon Trader Funding</t>
        </is>
      </c>
      <c r="F1144" s="13" t="inlineStr">
        <is>
          <t>#216 1 Step 150k</t>
        </is>
      </c>
      <c r="G1144" s="17" t="n">
        <v>150000</v>
      </c>
      <c r="H1144" s="17" t="n">
        <v>13500</v>
      </c>
      <c r="I1144" s="17" t="n">
        <v>4436063.15</v>
      </c>
      <c r="J1144" s="13" t="inlineStr">
        <is>
          <t>10 % × 150,000 × split 90%</t>
        </is>
      </c>
    </row>
    <row r="1145">
      <c r="A1145" s="19" t="n">
        <v>1144</v>
      </c>
      <c r="B1145" s="20" t="n">
        <v>46492</v>
      </c>
      <c r="C1145" s="21" t="n">
        <v>7</v>
      </c>
      <c r="D1145" s="25" t="inlineStr">
        <is>
          <t>Payout</t>
        </is>
      </c>
      <c r="E1145" s="19" t="inlineStr">
        <is>
          <t>Halcyon Trader Funding</t>
        </is>
      </c>
      <c r="F1145" s="19" t="inlineStr">
        <is>
          <t>#217 1 Step 150k</t>
        </is>
      </c>
      <c r="G1145" s="22" t="n">
        <v>150000</v>
      </c>
      <c r="H1145" s="22" t="n">
        <v>13500</v>
      </c>
      <c r="I1145" s="22" t="n">
        <v>4449563.15</v>
      </c>
      <c r="J1145" s="19" t="inlineStr">
        <is>
          <t>10 % × 150,000 × split 90%</t>
        </is>
      </c>
    </row>
    <row r="1146">
      <c r="A1146" s="13" t="n">
        <v>1145</v>
      </c>
      <c r="B1146" s="14" t="n">
        <v>46492</v>
      </c>
      <c r="C1146" s="15" t="n">
        <v>7</v>
      </c>
      <c r="D1146" s="25" t="inlineStr">
        <is>
          <t>Payout</t>
        </is>
      </c>
      <c r="E1146" s="13" t="inlineStr">
        <is>
          <t>Halcyon Trader Funding</t>
        </is>
      </c>
      <c r="F1146" s="13" t="inlineStr">
        <is>
          <t>#218 1 Step 150k</t>
        </is>
      </c>
      <c r="G1146" s="17" t="n">
        <v>150000</v>
      </c>
      <c r="H1146" s="17" t="n">
        <v>13500</v>
      </c>
      <c r="I1146" s="17" t="n">
        <v>4463063.15</v>
      </c>
      <c r="J1146" s="13" t="inlineStr">
        <is>
          <t>10 % × 150,000 × split 90%</t>
        </is>
      </c>
    </row>
    <row r="1147">
      <c r="A1147" s="19" t="n">
        <v>1146</v>
      </c>
      <c r="B1147" s="20" t="n">
        <v>46492</v>
      </c>
      <c r="C1147" s="21" t="n">
        <v>7</v>
      </c>
      <c r="D1147" s="25" t="inlineStr">
        <is>
          <t>Payout</t>
        </is>
      </c>
      <c r="E1147" s="19" t="inlineStr">
        <is>
          <t>Astrofund</t>
        </is>
      </c>
      <c r="F1147" s="19" t="inlineStr">
        <is>
          <t>#219 1 Step 100k</t>
        </is>
      </c>
      <c r="G1147" s="22" t="n">
        <v>100000</v>
      </c>
      <c r="H1147" s="22" t="n">
        <v>9000</v>
      </c>
      <c r="I1147" s="22" t="n">
        <v>4472063.15</v>
      </c>
      <c r="J1147" s="19" t="inlineStr">
        <is>
          <t>10 % × 100,000 × split 90%</t>
        </is>
      </c>
    </row>
    <row r="1148">
      <c r="A1148" s="13" t="n">
        <v>1147</v>
      </c>
      <c r="B1148" s="14" t="n">
        <v>46492</v>
      </c>
      <c r="C1148" s="15" t="n">
        <v>7</v>
      </c>
      <c r="D1148" s="25" t="inlineStr">
        <is>
          <t>Payout</t>
        </is>
      </c>
      <c r="E1148" s="13" t="inlineStr">
        <is>
          <t>Astrofund</t>
        </is>
      </c>
      <c r="F1148" s="13" t="inlineStr">
        <is>
          <t>#220 1 Step 100k</t>
        </is>
      </c>
      <c r="G1148" s="17" t="n">
        <v>100000</v>
      </c>
      <c r="H1148" s="17" t="n">
        <v>9000</v>
      </c>
      <c r="I1148" s="17" t="n">
        <v>4481063.15</v>
      </c>
      <c r="J1148" s="13" t="inlineStr">
        <is>
          <t>10 % × 100,000 × split 90%</t>
        </is>
      </c>
    </row>
    <row r="1149">
      <c r="A1149" s="19" t="n">
        <v>1148</v>
      </c>
      <c r="B1149" s="20" t="n">
        <v>46492</v>
      </c>
      <c r="C1149" s="21" t="n">
        <v>7</v>
      </c>
      <c r="D1149" s="25" t="inlineStr">
        <is>
          <t>Payout</t>
        </is>
      </c>
      <c r="E1149" s="19" t="inlineStr">
        <is>
          <t>Astrofund</t>
        </is>
      </c>
      <c r="F1149" s="19" t="inlineStr">
        <is>
          <t>#221 1 Step 100k</t>
        </is>
      </c>
      <c r="G1149" s="22" t="n">
        <v>100000</v>
      </c>
      <c r="H1149" s="22" t="n">
        <v>9000</v>
      </c>
      <c r="I1149" s="22" t="n">
        <v>4490063.15</v>
      </c>
      <c r="J1149" s="19" t="inlineStr">
        <is>
          <t>10 % × 100,000 × split 90%</t>
        </is>
      </c>
    </row>
    <row r="1150">
      <c r="A1150" s="13" t="n">
        <v>1149</v>
      </c>
      <c r="B1150" s="14" t="n">
        <v>46492</v>
      </c>
      <c r="C1150" s="15" t="n">
        <v>7</v>
      </c>
      <c r="D1150" s="25" t="inlineStr">
        <is>
          <t>Payout</t>
        </is>
      </c>
      <c r="E1150" s="13" t="inlineStr">
        <is>
          <t>Astrofund</t>
        </is>
      </c>
      <c r="F1150" s="13" t="inlineStr">
        <is>
          <t>#222 1 Step 100k</t>
        </is>
      </c>
      <c r="G1150" s="17" t="n">
        <v>100000</v>
      </c>
      <c r="H1150" s="17" t="n">
        <v>9000</v>
      </c>
      <c r="I1150" s="17" t="n">
        <v>4499063.15</v>
      </c>
      <c r="J1150" s="13" t="inlineStr">
        <is>
          <t>10 % × 100,000 × split 90%</t>
        </is>
      </c>
    </row>
    <row r="1151">
      <c r="A1151" s="19" t="n">
        <v>1150</v>
      </c>
      <c r="B1151" s="20" t="n">
        <v>46492</v>
      </c>
      <c r="C1151" s="21" t="n">
        <v>7</v>
      </c>
      <c r="D1151" s="25" t="inlineStr">
        <is>
          <t>Payout</t>
        </is>
      </c>
      <c r="E1151" s="19" t="inlineStr">
        <is>
          <t>BrightFunded</t>
        </is>
      </c>
      <c r="F1151" s="19" t="inlineStr">
        <is>
          <t>#223 1 Step 200k</t>
        </is>
      </c>
      <c r="G1151" s="22" t="n">
        <v>200000</v>
      </c>
      <c r="H1151" s="22" t="n">
        <v>20000</v>
      </c>
      <c r="I1151" s="22" t="n">
        <v>4519063.15</v>
      </c>
      <c r="J1151" s="19" t="inlineStr">
        <is>
          <t>10 % × 200,000 × split 100%</t>
        </is>
      </c>
    </row>
    <row r="1152">
      <c r="A1152" s="13" t="n">
        <v>1151</v>
      </c>
      <c r="B1152" s="14" t="n">
        <v>46492</v>
      </c>
      <c r="C1152" s="15" t="n">
        <v>7</v>
      </c>
      <c r="D1152" s="25" t="inlineStr">
        <is>
          <t>Payout</t>
        </is>
      </c>
      <c r="E1152" s="13" t="inlineStr">
        <is>
          <t>BrightFunded</t>
        </is>
      </c>
      <c r="F1152" s="13" t="inlineStr">
        <is>
          <t>#224 1 Step 200k</t>
        </is>
      </c>
      <c r="G1152" s="17" t="n">
        <v>200000</v>
      </c>
      <c r="H1152" s="17" t="n">
        <v>20000</v>
      </c>
      <c r="I1152" s="17" t="n">
        <v>4539063.15</v>
      </c>
      <c r="J1152" s="13" t="inlineStr">
        <is>
          <t>10 % × 200,000 × split 100%</t>
        </is>
      </c>
    </row>
    <row r="1153">
      <c r="A1153" s="19" t="n">
        <v>1152</v>
      </c>
      <c r="B1153" s="20" t="n">
        <v>46492</v>
      </c>
      <c r="C1153" s="21" t="n">
        <v>7</v>
      </c>
      <c r="D1153" s="25" t="inlineStr">
        <is>
          <t>Payout</t>
        </is>
      </c>
      <c r="E1153" s="19" t="inlineStr">
        <is>
          <t>FTMO</t>
        </is>
      </c>
      <c r="F1153" s="19" t="inlineStr">
        <is>
          <t>#227 1 Step 200k</t>
        </is>
      </c>
      <c r="G1153" s="22" t="n">
        <v>200000</v>
      </c>
      <c r="H1153" s="22" t="n">
        <v>16000</v>
      </c>
      <c r="I1153" s="22" t="n">
        <v>4555063.15</v>
      </c>
      <c r="J1153" s="19" t="inlineStr">
        <is>
          <t>10 % × 200,000 × split 80%</t>
        </is>
      </c>
    </row>
    <row r="1154">
      <c r="A1154" s="13" t="n">
        <v>1153</v>
      </c>
      <c r="B1154" s="14" t="n">
        <v>46492</v>
      </c>
      <c r="C1154" s="15" t="n">
        <v>7</v>
      </c>
      <c r="D1154" s="25" t="inlineStr">
        <is>
          <t>Payout</t>
        </is>
      </c>
      <c r="E1154" s="13" t="inlineStr">
        <is>
          <t>FTMO</t>
        </is>
      </c>
      <c r="F1154" s="13" t="inlineStr">
        <is>
          <t>#228 1 Step 200k</t>
        </is>
      </c>
      <c r="G1154" s="17" t="n">
        <v>200000</v>
      </c>
      <c r="H1154" s="17" t="n">
        <v>16000</v>
      </c>
      <c r="I1154" s="17" t="n">
        <v>4571063.15</v>
      </c>
      <c r="J1154" s="13" t="inlineStr">
        <is>
          <t>10 % × 200,000 × split 80%</t>
        </is>
      </c>
    </row>
    <row r="1155">
      <c r="A1155" s="19" t="n">
        <v>1154</v>
      </c>
      <c r="B1155" s="20" t="n">
        <v>46492</v>
      </c>
      <c r="C1155" s="21" t="n">
        <v>7</v>
      </c>
      <c r="D1155" s="25" t="inlineStr">
        <is>
          <t>Payout</t>
        </is>
      </c>
      <c r="E1155" s="19" t="inlineStr">
        <is>
          <t>Funded X</t>
        </is>
      </c>
      <c r="F1155" s="19" t="inlineStr">
        <is>
          <t>#229 1 Step 200k</t>
        </is>
      </c>
      <c r="G1155" s="22" t="n">
        <v>200000</v>
      </c>
      <c r="H1155" s="22" t="n">
        <v>20000</v>
      </c>
      <c r="I1155" s="22" t="n">
        <v>4591063.15</v>
      </c>
      <c r="J1155" s="19" t="inlineStr">
        <is>
          <t>10 % × 200,000 × split 100%</t>
        </is>
      </c>
    </row>
    <row r="1156">
      <c r="A1156" s="13" t="n">
        <v>1155</v>
      </c>
      <c r="B1156" s="14" t="n">
        <v>46492</v>
      </c>
      <c r="C1156" s="15" t="n">
        <v>7</v>
      </c>
      <c r="D1156" s="25" t="inlineStr">
        <is>
          <t>Payout</t>
        </is>
      </c>
      <c r="E1156" s="13" t="inlineStr">
        <is>
          <t>Funded X</t>
        </is>
      </c>
      <c r="F1156" s="13" t="inlineStr">
        <is>
          <t>#230 1 Step 200k</t>
        </is>
      </c>
      <c r="G1156" s="17" t="n">
        <v>200000</v>
      </c>
      <c r="H1156" s="17" t="n">
        <v>20000</v>
      </c>
      <c r="I1156" s="17" t="n">
        <v>4611063.15</v>
      </c>
      <c r="J1156" s="13" t="inlineStr">
        <is>
          <t>10 % × 200,000 × split 100%</t>
        </is>
      </c>
    </row>
    <row r="1157">
      <c r="A1157" s="19" t="n">
        <v>1156</v>
      </c>
      <c r="B1157" s="20" t="n">
        <v>46492</v>
      </c>
      <c r="C1157" s="21" t="n">
        <v>7</v>
      </c>
      <c r="D1157" s="25" t="inlineStr">
        <is>
          <t>Payout</t>
        </is>
      </c>
      <c r="E1157" s="19" t="inlineStr">
        <is>
          <t>Hantec Trader</t>
        </is>
      </c>
      <c r="F1157" s="19" t="inlineStr">
        <is>
          <t>#231 3 Step 200k</t>
        </is>
      </c>
      <c r="G1157" s="22" t="n">
        <v>200000</v>
      </c>
      <c r="H1157" s="22" t="n">
        <v>19000</v>
      </c>
      <c r="I1157" s="22" t="n">
        <v>4630063.15</v>
      </c>
      <c r="J1157" s="19" t="inlineStr">
        <is>
          <t>10 % × 200,000 × split 95%</t>
        </is>
      </c>
    </row>
    <row r="1158">
      <c r="A1158" s="13" t="n">
        <v>1157</v>
      </c>
      <c r="B1158" s="14" t="n">
        <v>46492</v>
      </c>
      <c r="C1158" s="15" t="n">
        <v>7</v>
      </c>
      <c r="D1158" s="25" t="inlineStr">
        <is>
          <t>Payout</t>
        </is>
      </c>
      <c r="E1158" s="13" t="inlineStr">
        <is>
          <t>LifeUp Trading</t>
        </is>
      </c>
      <c r="F1158" s="13" t="inlineStr">
        <is>
          <t>#232 1 Step 150k</t>
        </is>
      </c>
      <c r="G1158" s="17" t="n">
        <v>150000</v>
      </c>
      <c r="H1158" s="17" t="n">
        <v>12000</v>
      </c>
      <c r="I1158" s="17" t="n">
        <v>4642063.15</v>
      </c>
      <c r="J1158" s="13" t="inlineStr">
        <is>
          <t>10 % × 150,000 × split 80%</t>
        </is>
      </c>
    </row>
    <row r="1159">
      <c r="A1159" s="19" t="n">
        <v>1158</v>
      </c>
      <c r="B1159" s="20" t="n">
        <v>46492</v>
      </c>
      <c r="C1159" s="21" t="n">
        <v>7</v>
      </c>
      <c r="D1159" s="25" t="inlineStr">
        <is>
          <t>Payout</t>
        </is>
      </c>
      <c r="E1159" s="19" t="inlineStr">
        <is>
          <t>LifeUp Trading</t>
        </is>
      </c>
      <c r="F1159" s="19" t="inlineStr">
        <is>
          <t>#233 1 Step 150k</t>
        </is>
      </c>
      <c r="G1159" s="22" t="n">
        <v>150000</v>
      </c>
      <c r="H1159" s="22" t="n">
        <v>12000</v>
      </c>
      <c r="I1159" s="22" t="n">
        <v>4654063.15</v>
      </c>
      <c r="J1159" s="19" t="inlineStr">
        <is>
          <t>10 % × 150,000 × split 80%</t>
        </is>
      </c>
    </row>
    <row r="1160">
      <c r="A1160" s="13" t="n">
        <v>1159</v>
      </c>
      <c r="B1160" s="14" t="n">
        <v>46492</v>
      </c>
      <c r="C1160" s="15" t="n">
        <v>7</v>
      </c>
      <c r="D1160" s="25" t="inlineStr">
        <is>
          <t>Payout</t>
        </is>
      </c>
      <c r="E1160" s="13" t="inlineStr">
        <is>
          <t>LifeUp Trading</t>
        </is>
      </c>
      <c r="F1160" s="13" t="inlineStr">
        <is>
          <t>#234 1 Step 150k</t>
        </is>
      </c>
      <c r="G1160" s="17" t="n">
        <v>150000</v>
      </c>
      <c r="H1160" s="17" t="n">
        <v>12000</v>
      </c>
      <c r="I1160" s="17" t="n">
        <v>4666063.15</v>
      </c>
      <c r="J1160" s="13" t="inlineStr">
        <is>
          <t>10 % × 150,000 × split 80%</t>
        </is>
      </c>
    </row>
    <row r="1161">
      <c r="A1161" s="19" t="n">
        <v>1160</v>
      </c>
      <c r="B1161" s="20" t="n">
        <v>46492</v>
      </c>
      <c r="C1161" s="21" t="n">
        <v>7</v>
      </c>
      <c r="D1161" s="25" t="inlineStr">
        <is>
          <t>Payout</t>
        </is>
      </c>
      <c r="E1161" s="19" t="inlineStr">
        <is>
          <t>LifeUp Trading</t>
        </is>
      </c>
      <c r="F1161" s="19" t="inlineStr">
        <is>
          <t>#235 1 Step 150k</t>
        </is>
      </c>
      <c r="G1161" s="22" t="n">
        <v>150000</v>
      </c>
      <c r="H1161" s="22" t="n">
        <v>12000</v>
      </c>
      <c r="I1161" s="22" t="n">
        <v>4678063.15</v>
      </c>
      <c r="J1161" s="19" t="inlineStr">
        <is>
          <t>10 % × 150,000 × split 80%</t>
        </is>
      </c>
    </row>
    <row r="1162">
      <c r="A1162" s="13" t="n">
        <v>1161</v>
      </c>
      <c r="B1162" s="14" t="n">
        <v>46492</v>
      </c>
      <c r="C1162" s="15" t="n">
        <v>7</v>
      </c>
      <c r="D1162" s="25" t="inlineStr">
        <is>
          <t>Payout</t>
        </is>
      </c>
      <c r="E1162" s="13" t="inlineStr">
        <is>
          <t>Get Funded Now</t>
        </is>
      </c>
      <c r="F1162" s="13" t="inlineStr">
        <is>
          <t>#239 1 Step 200k</t>
        </is>
      </c>
      <c r="G1162" s="17" t="n">
        <v>200000</v>
      </c>
      <c r="H1162" s="17" t="n">
        <v>16000</v>
      </c>
      <c r="I1162" s="17" t="n">
        <v>4694063.15</v>
      </c>
      <c r="J1162" s="13" t="inlineStr">
        <is>
          <t>10 % × 200,000 × split 80%</t>
        </is>
      </c>
    </row>
    <row r="1163">
      <c r="A1163" s="19" t="n">
        <v>1162</v>
      </c>
      <c r="B1163" s="20" t="n">
        <v>46492</v>
      </c>
      <c r="C1163" s="21" t="n">
        <v>7</v>
      </c>
      <c r="D1163" s="25" t="inlineStr">
        <is>
          <t>Payout</t>
        </is>
      </c>
      <c r="E1163" s="19" t="inlineStr">
        <is>
          <t>Get Funded Now</t>
        </is>
      </c>
      <c r="F1163" s="19" t="inlineStr">
        <is>
          <t>#240 1 Step 200k</t>
        </is>
      </c>
      <c r="G1163" s="22" t="n">
        <v>200000</v>
      </c>
      <c r="H1163" s="22" t="n">
        <v>16000</v>
      </c>
      <c r="I1163" s="22" t="n">
        <v>4710063.15</v>
      </c>
      <c r="J1163" s="19" t="inlineStr">
        <is>
          <t>10 % × 200,000 × split 80%</t>
        </is>
      </c>
    </row>
    <row r="1164">
      <c r="A1164" s="13" t="n">
        <v>1163</v>
      </c>
      <c r="B1164" s="14" t="n">
        <v>46492</v>
      </c>
      <c r="C1164" s="15" t="n">
        <v>7</v>
      </c>
      <c r="D1164" s="25" t="inlineStr">
        <is>
          <t>Payout</t>
        </is>
      </c>
      <c r="E1164" s="13" t="inlineStr">
        <is>
          <t>FOREXIVE</t>
        </is>
      </c>
      <c r="F1164" s="13" t="inlineStr">
        <is>
          <t>#246 2 Step 200k</t>
        </is>
      </c>
      <c r="G1164" s="17" t="n">
        <v>200000</v>
      </c>
      <c r="H1164" s="17" t="n">
        <v>16000</v>
      </c>
      <c r="I1164" s="17" t="n">
        <v>4726063.15</v>
      </c>
      <c r="J1164" s="13" t="inlineStr">
        <is>
          <t>10 % × 200,000 × split 80%</t>
        </is>
      </c>
    </row>
    <row r="1165">
      <c r="A1165" s="19" t="n">
        <v>1164</v>
      </c>
      <c r="B1165" s="20" t="n">
        <v>46492</v>
      </c>
      <c r="C1165" s="21" t="n">
        <v>7</v>
      </c>
      <c r="D1165" s="25" t="inlineStr">
        <is>
          <t>Payout</t>
        </is>
      </c>
      <c r="E1165" s="19" t="inlineStr">
        <is>
          <t>Breakout</t>
        </is>
      </c>
      <c r="F1165" s="19" t="inlineStr">
        <is>
          <t>#249 1 Step 200k</t>
        </is>
      </c>
      <c r="G1165" s="22" t="n">
        <v>200000</v>
      </c>
      <c r="H1165" s="22" t="n">
        <v>16000</v>
      </c>
      <c r="I1165" s="22" t="n">
        <v>4742063.15</v>
      </c>
      <c r="J1165" s="19" t="inlineStr">
        <is>
          <t>10 % × 200,000 × split 80%</t>
        </is>
      </c>
    </row>
    <row r="1166">
      <c r="A1166" s="13" t="n">
        <v>1165</v>
      </c>
      <c r="B1166" s="14" t="n">
        <v>46492</v>
      </c>
      <c r="C1166" s="15" t="n">
        <v>7</v>
      </c>
      <c r="D1166" s="25" t="inlineStr">
        <is>
          <t>Payout</t>
        </is>
      </c>
      <c r="E1166" s="13" t="inlineStr">
        <is>
          <t>HyroTrader</t>
        </is>
      </c>
      <c r="F1166" s="13" t="inlineStr">
        <is>
          <t>#254 1 Step 200k</t>
        </is>
      </c>
      <c r="G1166" s="17" t="n">
        <v>200000</v>
      </c>
      <c r="H1166" s="17" t="n">
        <v>16000</v>
      </c>
      <c r="I1166" s="17" t="n">
        <v>4758063.15</v>
      </c>
      <c r="J1166" s="13" t="inlineStr">
        <is>
          <t>10 % × 200,000 × split 80%</t>
        </is>
      </c>
    </row>
    <row r="1167">
      <c r="A1167" s="19" t="n">
        <v>1166</v>
      </c>
      <c r="B1167" s="20" t="n">
        <v>46492</v>
      </c>
      <c r="C1167" s="21" t="n">
        <v>7</v>
      </c>
      <c r="D1167" s="25" t="inlineStr">
        <is>
          <t>Payout</t>
        </is>
      </c>
      <c r="E1167" s="19" t="inlineStr">
        <is>
          <t>Tradersyard</t>
        </is>
      </c>
      <c r="F1167" s="19" t="inlineStr">
        <is>
          <t>#256 1 Step 150k</t>
        </is>
      </c>
      <c r="G1167" s="22" t="n">
        <v>150000</v>
      </c>
      <c r="H1167" s="22" t="n">
        <v>15000</v>
      </c>
      <c r="I1167" s="22" t="n">
        <v>4773063.15</v>
      </c>
      <c r="J1167" s="19" t="inlineStr">
        <is>
          <t>10 % × 150,000 × split 100%</t>
        </is>
      </c>
    </row>
    <row r="1168">
      <c r="A1168" s="13" t="n">
        <v>1167</v>
      </c>
      <c r="B1168" s="14" t="n">
        <v>46506</v>
      </c>
      <c r="C1168" s="15" t="n">
        <v>7.5</v>
      </c>
      <c r="D1168" s="24" t="inlineStr">
        <is>
          <t>Financement</t>
        </is>
      </c>
      <c r="E1168" s="13" t="inlineStr">
        <is>
          <t>MFunded (MarketsVox)</t>
        </is>
      </c>
      <c r="F1168" s="13" t="inlineStr">
        <is>
          <t>#258 2 Step 100k</t>
        </is>
      </c>
      <c r="G1168" s="17" t="n">
        <v>100000</v>
      </c>
      <c r="H1168" s="17" t="n">
        <v>0</v>
      </c>
      <c r="I1168" s="17" t="n">
        <v>4773063.15</v>
      </c>
      <c r="J1168" s="13" t="inlineStr">
        <is>
          <t>Évaluation réussie (objectif par défaut (non renseigné)) – 1er payout le 27/05/2027</t>
        </is>
      </c>
    </row>
    <row r="1169">
      <c r="A1169" s="19" t="n">
        <v>1168</v>
      </c>
      <c r="B1169" s="20" t="n">
        <v>46506</v>
      </c>
      <c r="C1169" s="21" t="n">
        <v>7.5</v>
      </c>
      <c r="D1169" s="24" t="inlineStr">
        <is>
          <t>Financement</t>
        </is>
      </c>
      <c r="E1169" s="19" t="inlineStr">
        <is>
          <t>Monevis</t>
        </is>
      </c>
      <c r="F1169" s="19" t="inlineStr">
        <is>
          <t>#259 3 Step 100k</t>
        </is>
      </c>
      <c r="G1169" s="22" t="n">
        <v>100000</v>
      </c>
      <c r="H1169" s="22" t="n">
        <v>0</v>
      </c>
      <c r="I1169" s="22" t="n">
        <v>4773063.15</v>
      </c>
      <c r="J1169" s="19" t="inlineStr">
        <is>
          <t>Évaluation réussie (4% (+5 % par phase non renseignée)) – 1er payout le 27/05/2027</t>
        </is>
      </c>
    </row>
    <row r="1170">
      <c r="A1170" s="13" t="n">
        <v>1169</v>
      </c>
      <c r="B1170" s="14" t="n">
        <v>46506</v>
      </c>
      <c r="C1170" s="15" t="n">
        <v>7.5</v>
      </c>
      <c r="D1170" s="25" t="inlineStr">
        <is>
          <t>Payout</t>
        </is>
      </c>
      <c r="E1170" s="13" t="inlineStr">
        <is>
          <t>BestProp4U</t>
        </is>
      </c>
      <c r="F1170" s="13" t="inlineStr">
        <is>
          <t>#149 2 Step 400k</t>
        </is>
      </c>
      <c r="G1170" s="17" t="n">
        <v>400000</v>
      </c>
      <c r="H1170" s="17" t="n">
        <v>24000</v>
      </c>
      <c r="I1170" s="17" t="n">
        <v>4797063.15</v>
      </c>
      <c r="J1170" s="13" t="inlineStr">
        <is>
          <t>10 % × 400,000 × split 60%</t>
        </is>
      </c>
    </row>
    <row r="1171">
      <c r="A1171" s="19" t="n">
        <v>1170</v>
      </c>
      <c r="B1171" s="20" t="n">
        <v>46506</v>
      </c>
      <c r="C1171" s="21" t="n">
        <v>7.5</v>
      </c>
      <c r="D1171" s="25" t="inlineStr">
        <is>
          <t>Payout</t>
        </is>
      </c>
      <c r="E1171" s="19" t="inlineStr">
        <is>
          <t>BestProp4U</t>
        </is>
      </c>
      <c r="F1171" s="19" t="inlineStr">
        <is>
          <t>#150 2 Step 400k</t>
        </is>
      </c>
      <c r="G1171" s="22" t="n">
        <v>400000</v>
      </c>
      <c r="H1171" s="22" t="n">
        <v>24000</v>
      </c>
      <c r="I1171" s="22" t="n">
        <v>4821063.15</v>
      </c>
      <c r="J1171" s="19" t="inlineStr">
        <is>
          <t>10 % × 400,000 × split 60%</t>
        </is>
      </c>
    </row>
    <row r="1172">
      <c r="A1172" s="13" t="n">
        <v>1171</v>
      </c>
      <c r="B1172" s="14" t="n">
        <v>46506</v>
      </c>
      <c r="C1172" s="15" t="n">
        <v>7.5</v>
      </c>
      <c r="D1172" s="25" t="inlineStr">
        <is>
          <t>Payout</t>
        </is>
      </c>
      <c r="E1172" s="13" t="inlineStr">
        <is>
          <t>Blink Funding</t>
        </is>
      </c>
      <c r="F1172" s="13" t="inlineStr">
        <is>
          <t>#151 3 Step 500k</t>
        </is>
      </c>
      <c r="G1172" s="17" t="n">
        <v>500000</v>
      </c>
      <c r="H1172" s="17" t="n">
        <v>37500</v>
      </c>
      <c r="I1172" s="17" t="n">
        <v>4858563.15</v>
      </c>
      <c r="J1172" s="13" t="inlineStr">
        <is>
          <t>10 % × 500,000 × split 75%</t>
        </is>
      </c>
    </row>
    <row r="1173">
      <c r="A1173" s="19" t="n">
        <v>1172</v>
      </c>
      <c r="B1173" s="20" t="n">
        <v>46506</v>
      </c>
      <c r="C1173" s="21" t="n">
        <v>7.5</v>
      </c>
      <c r="D1173" s="25" t="inlineStr">
        <is>
          <t>Payout</t>
        </is>
      </c>
      <c r="E1173" s="19" t="inlineStr">
        <is>
          <t>Blink Funding</t>
        </is>
      </c>
      <c r="F1173" s="19" t="inlineStr">
        <is>
          <t>#152 3 Step 500k</t>
        </is>
      </c>
      <c r="G1173" s="22" t="n">
        <v>500000</v>
      </c>
      <c r="H1173" s="22" t="n">
        <v>37500</v>
      </c>
      <c r="I1173" s="22" t="n">
        <v>4896063.15</v>
      </c>
      <c r="J1173" s="19" t="inlineStr">
        <is>
          <t>10 % × 500,000 × split 75%</t>
        </is>
      </c>
    </row>
    <row r="1174">
      <c r="A1174" s="13" t="n">
        <v>1173</v>
      </c>
      <c r="B1174" s="14" t="n">
        <v>46506</v>
      </c>
      <c r="C1174" s="15" t="n">
        <v>7.5</v>
      </c>
      <c r="D1174" s="25" t="inlineStr">
        <is>
          <t>Payout</t>
        </is>
      </c>
      <c r="E1174" s="13" t="inlineStr">
        <is>
          <t>Investiqa</t>
        </is>
      </c>
      <c r="F1174" s="13" t="inlineStr">
        <is>
          <t>#162 2 Step 500k</t>
        </is>
      </c>
      <c r="G1174" s="17" t="n">
        <v>500000</v>
      </c>
      <c r="H1174" s="17" t="n">
        <v>40000</v>
      </c>
      <c r="I1174" s="17" t="n">
        <v>4936063.15</v>
      </c>
      <c r="J1174" s="13" t="inlineStr">
        <is>
          <t>10 % × 500,000 × split 80%</t>
        </is>
      </c>
    </row>
    <row r="1175">
      <c r="A1175" s="19" t="n">
        <v>1174</v>
      </c>
      <c r="B1175" s="20" t="n">
        <v>46506</v>
      </c>
      <c r="C1175" s="21" t="n">
        <v>7.5</v>
      </c>
      <c r="D1175" s="25" t="inlineStr">
        <is>
          <t>Payout</t>
        </is>
      </c>
      <c r="E1175" s="19" t="inlineStr">
        <is>
          <t>Investiqa</t>
        </is>
      </c>
      <c r="F1175" s="19" t="inlineStr">
        <is>
          <t>#163 2 Step 500k</t>
        </is>
      </c>
      <c r="G1175" s="22" t="n">
        <v>500000</v>
      </c>
      <c r="H1175" s="22" t="n">
        <v>40000</v>
      </c>
      <c r="I1175" s="22" t="n">
        <v>4976063.15</v>
      </c>
      <c r="J1175" s="19" t="inlineStr">
        <is>
          <t>10 % × 500,000 × split 80%</t>
        </is>
      </c>
    </row>
    <row r="1176">
      <c r="A1176" s="13" t="n">
        <v>1175</v>
      </c>
      <c r="B1176" s="14" t="n">
        <v>46506</v>
      </c>
      <c r="C1176" s="15" t="n">
        <v>7.5</v>
      </c>
      <c r="D1176" s="25" t="inlineStr">
        <is>
          <t>Payout</t>
        </is>
      </c>
      <c r="E1176" s="13" t="inlineStr">
        <is>
          <t>FXIFY</t>
        </is>
      </c>
      <c r="F1176" s="13" t="inlineStr">
        <is>
          <t>#166 3 Step 400k</t>
        </is>
      </c>
      <c r="G1176" s="17" t="n">
        <v>400000</v>
      </c>
      <c r="H1176" s="17" t="n">
        <v>36000</v>
      </c>
      <c r="I1176" s="17" t="n">
        <v>5012063.15</v>
      </c>
      <c r="J1176" s="13" t="inlineStr">
        <is>
          <t>10 % × 400,000 × split 90%</t>
        </is>
      </c>
    </row>
    <row r="1177">
      <c r="A1177" s="19" t="n">
        <v>1176</v>
      </c>
      <c r="B1177" s="20" t="n">
        <v>46506</v>
      </c>
      <c r="C1177" s="21" t="n">
        <v>7.5</v>
      </c>
      <c r="D1177" s="25" t="inlineStr">
        <is>
          <t>Payout</t>
        </is>
      </c>
      <c r="E1177" s="19" t="inlineStr">
        <is>
          <t>FXIFY</t>
        </is>
      </c>
      <c r="F1177" s="19" t="inlineStr">
        <is>
          <t>#167 3 Step 400k</t>
        </is>
      </c>
      <c r="G1177" s="22" t="n">
        <v>400000</v>
      </c>
      <c r="H1177" s="22" t="n">
        <v>36000</v>
      </c>
      <c r="I1177" s="22" t="n">
        <v>5048063.15</v>
      </c>
      <c r="J1177" s="19" t="inlineStr">
        <is>
          <t>10 % × 400,000 × split 90%</t>
        </is>
      </c>
    </row>
    <row r="1178">
      <c r="A1178" s="13" t="n">
        <v>1177</v>
      </c>
      <c r="B1178" s="14" t="n">
        <v>46506</v>
      </c>
      <c r="C1178" s="15" t="n">
        <v>7.5</v>
      </c>
      <c r="D1178" s="25" t="inlineStr">
        <is>
          <t>Payout</t>
        </is>
      </c>
      <c r="E1178" s="13" t="inlineStr">
        <is>
          <t>Funded Squad</t>
        </is>
      </c>
      <c r="F1178" s="13" t="inlineStr">
        <is>
          <t>#168 2 Step 200k</t>
        </is>
      </c>
      <c r="G1178" s="17" t="n">
        <v>200000</v>
      </c>
      <c r="H1178" s="17" t="n">
        <v>20000</v>
      </c>
      <c r="I1178" s="17" t="n">
        <v>5068063.15</v>
      </c>
      <c r="J1178" s="13" t="inlineStr">
        <is>
          <t>10 % × 200,000 × split 100%</t>
        </is>
      </c>
    </row>
    <row r="1179">
      <c r="A1179" s="19" t="n">
        <v>1178</v>
      </c>
      <c r="B1179" s="20" t="n">
        <v>46506</v>
      </c>
      <c r="C1179" s="21" t="n">
        <v>7.5</v>
      </c>
      <c r="D1179" s="25" t="inlineStr">
        <is>
          <t>Payout</t>
        </is>
      </c>
      <c r="E1179" s="19" t="inlineStr">
        <is>
          <t>Funded Squad</t>
        </is>
      </c>
      <c r="F1179" s="19" t="inlineStr">
        <is>
          <t>#169 2 Step 200k</t>
        </is>
      </c>
      <c r="G1179" s="22" t="n">
        <v>200000</v>
      </c>
      <c r="H1179" s="22" t="n">
        <v>20000</v>
      </c>
      <c r="I1179" s="22" t="n">
        <v>5088063.15</v>
      </c>
      <c r="J1179" s="19" t="inlineStr">
        <is>
          <t>10 % × 200,000 × split 100%</t>
        </is>
      </c>
    </row>
    <row r="1180">
      <c r="A1180" s="13" t="n">
        <v>1179</v>
      </c>
      <c r="B1180" s="14" t="n">
        <v>46506</v>
      </c>
      <c r="C1180" s="15" t="n">
        <v>7.5</v>
      </c>
      <c r="D1180" s="25" t="inlineStr">
        <is>
          <t>Payout</t>
        </is>
      </c>
      <c r="E1180" s="13" t="inlineStr">
        <is>
          <t>Funded Squad</t>
        </is>
      </c>
      <c r="F1180" s="13" t="inlineStr">
        <is>
          <t>#170 2 Step 200k</t>
        </is>
      </c>
      <c r="G1180" s="17" t="n">
        <v>200000</v>
      </c>
      <c r="H1180" s="17" t="n">
        <v>20000</v>
      </c>
      <c r="I1180" s="17" t="n">
        <v>5108063.15</v>
      </c>
      <c r="J1180" s="13" t="inlineStr">
        <is>
          <t>10 % × 200,000 × split 100%</t>
        </is>
      </c>
    </row>
    <row r="1181">
      <c r="A1181" s="19" t="n">
        <v>1180</v>
      </c>
      <c r="B1181" s="20" t="n">
        <v>46506</v>
      </c>
      <c r="C1181" s="21" t="n">
        <v>7.5</v>
      </c>
      <c r="D1181" s="25" t="inlineStr">
        <is>
          <t>Payout</t>
        </is>
      </c>
      <c r="E1181" s="19" t="inlineStr">
        <is>
          <t>Funded Squad</t>
        </is>
      </c>
      <c r="F1181" s="19" t="inlineStr">
        <is>
          <t>#171 2 Step 200k</t>
        </is>
      </c>
      <c r="G1181" s="22" t="n">
        <v>200000</v>
      </c>
      <c r="H1181" s="22" t="n">
        <v>20000</v>
      </c>
      <c r="I1181" s="22" t="n">
        <v>5128063.15</v>
      </c>
      <c r="J1181" s="19" t="inlineStr">
        <is>
          <t>10 % × 200,000 × split 100%</t>
        </is>
      </c>
    </row>
    <row r="1182">
      <c r="A1182" s="13" t="n">
        <v>1181</v>
      </c>
      <c r="B1182" s="14" t="n">
        <v>46506</v>
      </c>
      <c r="C1182" s="15" t="n">
        <v>7.5</v>
      </c>
      <c r="D1182" s="25" t="inlineStr">
        <is>
          <t>Payout</t>
        </is>
      </c>
      <c r="E1182" s="13" t="inlineStr">
        <is>
          <t>Fintokei</t>
        </is>
      </c>
      <c r="F1182" s="13" t="inlineStr">
        <is>
          <t>#189 3 Step 100k</t>
        </is>
      </c>
      <c r="G1182" s="17" t="n">
        <v>100000</v>
      </c>
      <c r="H1182" s="17" t="n">
        <v>10000</v>
      </c>
      <c r="I1182" s="17" t="n">
        <v>5138063.15</v>
      </c>
      <c r="J1182" s="13" t="inlineStr">
        <is>
          <t>10 % × 100,000 × split 100%</t>
        </is>
      </c>
    </row>
    <row r="1183">
      <c r="A1183" s="19" t="n">
        <v>1182</v>
      </c>
      <c r="B1183" s="20" t="n">
        <v>46506</v>
      </c>
      <c r="C1183" s="21" t="n">
        <v>7.5</v>
      </c>
      <c r="D1183" s="25" t="inlineStr">
        <is>
          <t>Payout</t>
        </is>
      </c>
      <c r="E1183" s="19" t="inlineStr">
        <is>
          <t>Fintokei</t>
        </is>
      </c>
      <c r="F1183" s="19" t="inlineStr">
        <is>
          <t>#190 3 Step 100k</t>
        </is>
      </c>
      <c r="G1183" s="22" t="n">
        <v>100000</v>
      </c>
      <c r="H1183" s="22" t="n">
        <v>10000</v>
      </c>
      <c r="I1183" s="22" t="n">
        <v>5148063.15</v>
      </c>
      <c r="J1183" s="19" t="inlineStr">
        <is>
          <t>10 % × 100,000 × split 100%</t>
        </is>
      </c>
    </row>
    <row r="1184">
      <c r="A1184" s="13" t="n">
        <v>1183</v>
      </c>
      <c r="B1184" s="14" t="n">
        <v>46506</v>
      </c>
      <c r="C1184" s="15" t="n">
        <v>7.5</v>
      </c>
      <c r="D1184" s="25" t="inlineStr">
        <is>
          <t>Payout</t>
        </is>
      </c>
      <c r="E1184" s="13" t="inlineStr">
        <is>
          <t>Fintokei</t>
        </is>
      </c>
      <c r="F1184" s="13" t="inlineStr">
        <is>
          <t>#191 3 Step 100k</t>
        </is>
      </c>
      <c r="G1184" s="17" t="n">
        <v>100000</v>
      </c>
      <c r="H1184" s="17" t="n">
        <v>10000</v>
      </c>
      <c r="I1184" s="17" t="n">
        <v>5158063.15</v>
      </c>
      <c r="J1184" s="13" t="inlineStr">
        <is>
          <t>10 % × 100,000 × split 100%</t>
        </is>
      </c>
    </row>
    <row r="1185">
      <c r="A1185" s="19" t="n">
        <v>1184</v>
      </c>
      <c r="B1185" s="20" t="n">
        <v>46506</v>
      </c>
      <c r="C1185" s="21" t="n">
        <v>7.5</v>
      </c>
      <c r="D1185" s="25" t="inlineStr">
        <is>
          <t>Payout</t>
        </is>
      </c>
      <c r="E1185" s="19" t="inlineStr">
        <is>
          <t>Fintokei</t>
        </is>
      </c>
      <c r="F1185" s="19" t="inlineStr">
        <is>
          <t>#192 3 Step 100k</t>
        </is>
      </c>
      <c r="G1185" s="22" t="n">
        <v>100000</v>
      </c>
      <c r="H1185" s="22" t="n">
        <v>10000</v>
      </c>
      <c r="I1185" s="22" t="n">
        <v>5168063.15</v>
      </c>
      <c r="J1185" s="19" t="inlineStr">
        <is>
          <t>10 % × 100,000 × split 100%</t>
        </is>
      </c>
    </row>
    <row r="1186">
      <c r="A1186" s="13" t="n">
        <v>1185</v>
      </c>
      <c r="B1186" s="14" t="n">
        <v>46506</v>
      </c>
      <c r="C1186" s="15" t="n">
        <v>7.5</v>
      </c>
      <c r="D1186" s="25" t="inlineStr">
        <is>
          <t>Payout</t>
        </is>
      </c>
      <c r="E1186" s="13" t="inlineStr">
        <is>
          <t>Fintokei</t>
        </is>
      </c>
      <c r="F1186" s="13" t="inlineStr">
        <is>
          <t>#193 3 Step 100k</t>
        </is>
      </c>
      <c r="G1186" s="17" t="n">
        <v>100000</v>
      </c>
      <c r="H1186" s="17" t="n">
        <v>10000</v>
      </c>
      <c r="I1186" s="17" t="n">
        <v>5178063.15</v>
      </c>
      <c r="J1186" s="13" t="inlineStr">
        <is>
          <t>10 % × 100,000 × split 100%</t>
        </is>
      </c>
    </row>
    <row r="1187">
      <c r="A1187" s="19" t="n">
        <v>1186</v>
      </c>
      <c r="B1187" s="20" t="n">
        <v>46506</v>
      </c>
      <c r="C1187" s="21" t="n">
        <v>7.5</v>
      </c>
      <c r="D1187" s="25" t="inlineStr">
        <is>
          <t>Payout</t>
        </is>
      </c>
      <c r="E1187" s="19" t="inlineStr">
        <is>
          <t>Fintokei</t>
        </is>
      </c>
      <c r="F1187" s="19" t="inlineStr">
        <is>
          <t>#194 3 Step 100k</t>
        </is>
      </c>
      <c r="G1187" s="22" t="n">
        <v>100000</v>
      </c>
      <c r="H1187" s="22" t="n">
        <v>10000</v>
      </c>
      <c r="I1187" s="22" t="n">
        <v>5188063.15</v>
      </c>
      <c r="J1187" s="19" t="inlineStr">
        <is>
          <t>10 % × 100,000 × split 100%</t>
        </is>
      </c>
    </row>
    <row r="1188">
      <c r="A1188" s="13" t="n">
        <v>1187</v>
      </c>
      <c r="B1188" s="14" t="n">
        <v>46506</v>
      </c>
      <c r="C1188" s="15" t="n">
        <v>7.5</v>
      </c>
      <c r="D1188" s="25" t="inlineStr">
        <is>
          <t>Payout</t>
        </is>
      </c>
      <c r="E1188" s="13" t="inlineStr">
        <is>
          <t>Fintokei</t>
        </is>
      </c>
      <c r="F1188" s="13" t="inlineStr">
        <is>
          <t>#195 3 Step 100k</t>
        </is>
      </c>
      <c r="G1188" s="17" t="n">
        <v>100000</v>
      </c>
      <c r="H1188" s="17" t="n">
        <v>10000</v>
      </c>
      <c r="I1188" s="17" t="n">
        <v>5198063.15</v>
      </c>
      <c r="J1188" s="13" t="inlineStr">
        <is>
          <t>10 % × 100,000 × split 100%</t>
        </is>
      </c>
    </row>
    <row r="1189">
      <c r="A1189" s="19" t="n">
        <v>1188</v>
      </c>
      <c r="B1189" s="20" t="n">
        <v>46506</v>
      </c>
      <c r="C1189" s="21" t="n">
        <v>7.5</v>
      </c>
      <c r="D1189" s="25" t="inlineStr">
        <is>
          <t>Payout</t>
        </is>
      </c>
      <c r="E1189" s="19" t="inlineStr">
        <is>
          <t>DNA Funded</t>
        </is>
      </c>
      <c r="F1189" s="19" t="inlineStr">
        <is>
          <t>#196 2 Step 200k</t>
        </is>
      </c>
      <c r="G1189" s="22" t="n">
        <v>200000</v>
      </c>
      <c r="H1189" s="22" t="n">
        <v>18000</v>
      </c>
      <c r="I1189" s="22" t="n">
        <v>5216063.15</v>
      </c>
      <c r="J1189" s="19" t="inlineStr">
        <is>
          <t>10 % × 200,000 × split 90%</t>
        </is>
      </c>
    </row>
    <row r="1190">
      <c r="A1190" s="13" t="n">
        <v>1189</v>
      </c>
      <c r="B1190" s="14" t="n">
        <v>46506</v>
      </c>
      <c r="C1190" s="15" t="n">
        <v>7.5</v>
      </c>
      <c r="D1190" s="25" t="inlineStr">
        <is>
          <t>Payout</t>
        </is>
      </c>
      <c r="E1190" s="13" t="inlineStr">
        <is>
          <t>DNA Funded</t>
        </is>
      </c>
      <c r="F1190" s="13" t="inlineStr">
        <is>
          <t>#197 2 Step 200k</t>
        </is>
      </c>
      <c r="G1190" s="17" t="n">
        <v>200000</v>
      </c>
      <c r="H1190" s="17" t="n">
        <v>18000</v>
      </c>
      <c r="I1190" s="17" t="n">
        <v>5234063.15</v>
      </c>
      <c r="J1190" s="13" t="inlineStr">
        <is>
          <t>10 % × 200,000 × split 90%</t>
        </is>
      </c>
    </row>
    <row r="1191">
      <c r="A1191" s="19" t="n">
        <v>1190</v>
      </c>
      <c r="B1191" s="20" t="n">
        <v>46506</v>
      </c>
      <c r="C1191" s="21" t="n">
        <v>7.5</v>
      </c>
      <c r="D1191" s="25" t="inlineStr">
        <is>
          <t>Payout</t>
        </is>
      </c>
      <c r="E1191" s="19" t="inlineStr">
        <is>
          <t>DNA Funded</t>
        </is>
      </c>
      <c r="F1191" s="19" t="inlineStr">
        <is>
          <t>#198 2 Step 200k</t>
        </is>
      </c>
      <c r="G1191" s="22" t="n">
        <v>200000</v>
      </c>
      <c r="H1191" s="22" t="n">
        <v>18000</v>
      </c>
      <c r="I1191" s="22" t="n">
        <v>5252063.15</v>
      </c>
      <c r="J1191" s="19" t="inlineStr">
        <is>
          <t>10 % × 200,000 × split 90%</t>
        </is>
      </c>
    </row>
    <row r="1192">
      <c r="A1192" s="13" t="n">
        <v>1191</v>
      </c>
      <c r="B1192" s="14" t="n">
        <v>46506</v>
      </c>
      <c r="C1192" s="15" t="n">
        <v>7.5</v>
      </c>
      <c r="D1192" s="25" t="inlineStr">
        <is>
          <t>Payout</t>
        </is>
      </c>
      <c r="E1192" s="13" t="inlineStr">
        <is>
          <t>Eightcap Challenges</t>
        </is>
      </c>
      <c r="F1192" s="13" t="inlineStr">
        <is>
          <t>#199 2 Step 200k</t>
        </is>
      </c>
      <c r="G1192" s="17" t="n">
        <v>200000</v>
      </c>
      <c r="H1192" s="17" t="n">
        <v>16000</v>
      </c>
      <c r="I1192" s="17" t="n">
        <v>5268063.15</v>
      </c>
      <c r="J1192" s="13" t="inlineStr">
        <is>
          <t>10 % × 200,000 × split 80%</t>
        </is>
      </c>
    </row>
    <row r="1193">
      <c r="A1193" s="19" t="n">
        <v>1192</v>
      </c>
      <c r="B1193" s="20" t="n">
        <v>46506</v>
      </c>
      <c r="C1193" s="21" t="n">
        <v>7.5</v>
      </c>
      <c r="D1193" s="25" t="inlineStr">
        <is>
          <t>Payout</t>
        </is>
      </c>
      <c r="E1193" s="19" t="inlineStr">
        <is>
          <t>Eightcap Challenges</t>
        </is>
      </c>
      <c r="F1193" s="19" t="inlineStr">
        <is>
          <t>#200 2 Step 200k</t>
        </is>
      </c>
      <c r="G1193" s="22" t="n">
        <v>200000</v>
      </c>
      <c r="H1193" s="22" t="n">
        <v>16000</v>
      </c>
      <c r="I1193" s="22" t="n">
        <v>5284063.15</v>
      </c>
      <c r="J1193" s="19" t="inlineStr">
        <is>
          <t>10 % × 200,000 × split 80%</t>
        </is>
      </c>
    </row>
    <row r="1194">
      <c r="A1194" s="13" t="n">
        <v>1193</v>
      </c>
      <c r="B1194" s="14" t="n">
        <v>46506</v>
      </c>
      <c r="C1194" s="15" t="n">
        <v>7.5</v>
      </c>
      <c r="D1194" s="25" t="inlineStr">
        <is>
          <t>Payout</t>
        </is>
      </c>
      <c r="E1194" s="13" t="inlineStr">
        <is>
          <t>Eightcap Challenges</t>
        </is>
      </c>
      <c r="F1194" s="13" t="inlineStr">
        <is>
          <t>#201 2 Step 200k</t>
        </is>
      </c>
      <c r="G1194" s="17" t="n">
        <v>200000</v>
      </c>
      <c r="H1194" s="17" t="n">
        <v>16000</v>
      </c>
      <c r="I1194" s="17" t="n">
        <v>5300063.15</v>
      </c>
      <c r="J1194" s="13" t="inlineStr">
        <is>
          <t>10 % × 200,000 × split 80%</t>
        </is>
      </c>
    </row>
    <row r="1195">
      <c r="A1195" s="19" t="n">
        <v>1194</v>
      </c>
      <c r="B1195" s="20" t="n">
        <v>46506</v>
      </c>
      <c r="C1195" s="21" t="n">
        <v>7.5</v>
      </c>
      <c r="D1195" s="25" t="inlineStr">
        <is>
          <t>Payout</t>
        </is>
      </c>
      <c r="E1195" s="19" t="inlineStr">
        <is>
          <t>E8 Markets</t>
        </is>
      </c>
      <c r="F1195" s="19" t="inlineStr">
        <is>
          <t>#203 2 Step 150k</t>
        </is>
      </c>
      <c r="G1195" s="22" t="n">
        <v>150000</v>
      </c>
      <c r="H1195" s="22" t="n">
        <v>12000</v>
      </c>
      <c r="I1195" s="22" t="n">
        <v>5312063.15</v>
      </c>
      <c r="J1195" s="19" t="inlineStr">
        <is>
          <t>10 % × 150,000 × split 80%</t>
        </is>
      </c>
    </row>
    <row r="1196">
      <c r="A1196" s="13" t="n">
        <v>1195</v>
      </c>
      <c r="B1196" s="14" t="n">
        <v>46506</v>
      </c>
      <c r="C1196" s="15" t="n">
        <v>7.5</v>
      </c>
      <c r="D1196" s="25" t="inlineStr">
        <is>
          <t>Payout</t>
        </is>
      </c>
      <c r="E1196" s="13" t="inlineStr">
        <is>
          <t>E8 Markets</t>
        </is>
      </c>
      <c r="F1196" s="13" t="inlineStr">
        <is>
          <t>#204 2 Step 150k</t>
        </is>
      </c>
      <c r="G1196" s="17" t="n">
        <v>150000</v>
      </c>
      <c r="H1196" s="17" t="n">
        <v>12000</v>
      </c>
      <c r="I1196" s="17" t="n">
        <v>5324063.15</v>
      </c>
      <c r="J1196" s="13" t="inlineStr">
        <is>
          <t>10 % × 150,000 × split 80%</t>
        </is>
      </c>
    </row>
    <row r="1197">
      <c r="A1197" s="19" t="n">
        <v>1196</v>
      </c>
      <c r="B1197" s="20" t="n">
        <v>46506</v>
      </c>
      <c r="C1197" s="21" t="n">
        <v>7.5</v>
      </c>
      <c r="D1197" s="25" t="inlineStr">
        <is>
          <t>Payout</t>
        </is>
      </c>
      <c r="E1197" s="19" t="inlineStr">
        <is>
          <t>E8 Markets</t>
        </is>
      </c>
      <c r="F1197" s="19" t="inlineStr">
        <is>
          <t>#205 2 Step 150k</t>
        </is>
      </c>
      <c r="G1197" s="22" t="n">
        <v>150000</v>
      </c>
      <c r="H1197" s="22" t="n">
        <v>12000</v>
      </c>
      <c r="I1197" s="22" t="n">
        <v>5336063.15</v>
      </c>
      <c r="J1197" s="19" t="inlineStr">
        <is>
          <t>10 % × 150,000 × split 80%</t>
        </is>
      </c>
    </row>
    <row r="1198">
      <c r="A1198" s="13" t="n">
        <v>1197</v>
      </c>
      <c r="B1198" s="14" t="n">
        <v>46506</v>
      </c>
      <c r="C1198" s="15" t="n">
        <v>7.5</v>
      </c>
      <c r="D1198" s="25" t="inlineStr">
        <is>
          <t>Payout</t>
        </is>
      </c>
      <c r="E1198" s="13" t="inlineStr">
        <is>
          <t>IC Funded</t>
        </is>
      </c>
      <c r="F1198" s="13" t="inlineStr">
        <is>
          <t>#209 2 Step 500k</t>
        </is>
      </c>
      <c r="G1198" s="17" t="n">
        <v>500000</v>
      </c>
      <c r="H1198" s="17" t="n">
        <v>45000</v>
      </c>
      <c r="I1198" s="17" t="n">
        <v>5381063.15</v>
      </c>
      <c r="J1198" s="13" t="inlineStr">
        <is>
          <t>10 % × 500,000 × split 90%</t>
        </is>
      </c>
    </row>
    <row r="1199">
      <c r="A1199" s="19" t="n">
        <v>1198</v>
      </c>
      <c r="B1199" s="20" t="n">
        <v>46506</v>
      </c>
      <c r="C1199" s="21" t="n">
        <v>7.5</v>
      </c>
      <c r="D1199" s="25" t="inlineStr">
        <is>
          <t>Payout</t>
        </is>
      </c>
      <c r="E1199" s="19" t="inlineStr">
        <is>
          <t>Blueberry Futures</t>
        </is>
      </c>
      <c r="F1199" s="19" t="inlineStr">
        <is>
          <t>#210 1 Step 150k</t>
        </is>
      </c>
      <c r="G1199" s="22" t="n">
        <v>150000</v>
      </c>
      <c r="H1199" s="22" t="n">
        <v>13500</v>
      </c>
      <c r="I1199" s="22" t="n">
        <v>5394563.15</v>
      </c>
      <c r="J1199" s="19" t="inlineStr">
        <is>
          <t>10 % × 150,000 × split 90%</t>
        </is>
      </c>
    </row>
    <row r="1200">
      <c r="A1200" s="13" t="n">
        <v>1199</v>
      </c>
      <c r="B1200" s="14" t="n">
        <v>46506</v>
      </c>
      <c r="C1200" s="15" t="n">
        <v>7.5</v>
      </c>
      <c r="D1200" s="25" t="inlineStr">
        <is>
          <t>Payout</t>
        </is>
      </c>
      <c r="E1200" s="13" t="inlineStr">
        <is>
          <t>Blueberry Futures</t>
        </is>
      </c>
      <c r="F1200" s="13" t="inlineStr">
        <is>
          <t>#211 1 Step 150k</t>
        </is>
      </c>
      <c r="G1200" s="17" t="n">
        <v>150000</v>
      </c>
      <c r="H1200" s="17" t="n">
        <v>13500</v>
      </c>
      <c r="I1200" s="17" t="n">
        <v>5408063.15</v>
      </c>
      <c r="J1200" s="13" t="inlineStr">
        <is>
          <t>10 % × 150,000 × split 90%</t>
        </is>
      </c>
    </row>
    <row r="1201">
      <c r="A1201" s="19" t="n">
        <v>1200</v>
      </c>
      <c r="B1201" s="20" t="n">
        <v>46506</v>
      </c>
      <c r="C1201" s="21" t="n">
        <v>7.5</v>
      </c>
      <c r="D1201" s="25" t="inlineStr">
        <is>
          <t>Payout</t>
        </is>
      </c>
      <c r="E1201" s="19" t="inlineStr">
        <is>
          <t>Blueberry Futures</t>
        </is>
      </c>
      <c r="F1201" s="19" t="inlineStr">
        <is>
          <t>#212 1 Step 150k</t>
        </is>
      </c>
      <c r="G1201" s="22" t="n">
        <v>150000</v>
      </c>
      <c r="H1201" s="22" t="n">
        <v>13500</v>
      </c>
      <c r="I1201" s="22" t="n">
        <v>5421563.15</v>
      </c>
      <c r="J1201" s="19" t="inlineStr">
        <is>
          <t>10 % × 150,000 × split 90%</t>
        </is>
      </c>
    </row>
    <row r="1202">
      <c r="A1202" s="13" t="n">
        <v>1201</v>
      </c>
      <c r="B1202" s="14" t="n">
        <v>46506</v>
      </c>
      <c r="C1202" s="15" t="n">
        <v>7.5</v>
      </c>
      <c r="D1202" s="25" t="inlineStr">
        <is>
          <t>Payout</t>
        </is>
      </c>
      <c r="E1202" s="13" t="inlineStr">
        <is>
          <t>Direct Funded Trader</t>
        </is>
      </c>
      <c r="F1202" s="13" t="inlineStr">
        <is>
          <t>#225 2 Step 200k</t>
        </is>
      </c>
      <c r="G1202" s="17" t="n">
        <v>200000</v>
      </c>
      <c r="H1202" s="17" t="n">
        <v>16000</v>
      </c>
      <c r="I1202" s="17" t="n">
        <v>5437563.15</v>
      </c>
      <c r="J1202" s="13" t="inlineStr">
        <is>
          <t>10 % × 200,000 × split 80%</t>
        </is>
      </c>
    </row>
    <row r="1203">
      <c r="A1203" s="19" t="n">
        <v>1202</v>
      </c>
      <c r="B1203" s="20" t="n">
        <v>46506</v>
      </c>
      <c r="C1203" s="21" t="n">
        <v>7.5</v>
      </c>
      <c r="D1203" s="25" t="inlineStr">
        <is>
          <t>Payout</t>
        </is>
      </c>
      <c r="E1203" s="19" t="inlineStr">
        <is>
          <t>Direct Funded Trader</t>
        </is>
      </c>
      <c r="F1203" s="19" t="inlineStr">
        <is>
          <t>#226 2 Step 200k</t>
        </is>
      </c>
      <c r="G1203" s="22" t="n">
        <v>200000</v>
      </c>
      <c r="H1203" s="22" t="n">
        <v>16000</v>
      </c>
      <c r="I1203" s="22" t="n">
        <v>5453563.15</v>
      </c>
      <c r="J1203" s="19" t="inlineStr">
        <is>
          <t>10 % × 200,000 × split 80%</t>
        </is>
      </c>
    </row>
    <row r="1204">
      <c r="A1204" s="13" t="n">
        <v>1203</v>
      </c>
      <c r="B1204" s="14" t="n">
        <v>46506</v>
      </c>
      <c r="C1204" s="15" t="n">
        <v>7.5</v>
      </c>
      <c r="D1204" s="25" t="inlineStr">
        <is>
          <t>Payout</t>
        </is>
      </c>
      <c r="E1204" s="13" t="inlineStr">
        <is>
          <t>Fundora</t>
        </is>
      </c>
      <c r="F1204" s="13" t="inlineStr">
        <is>
          <t>#236 2 Step 400k</t>
        </is>
      </c>
      <c r="G1204" s="17" t="n">
        <v>400000</v>
      </c>
      <c r="H1204" s="17" t="n">
        <v>32000</v>
      </c>
      <c r="I1204" s="17" t="n">
        <v>5485563.15</v>
      </c>
      <c r="J1204" s="13" t="inlineStr">
        <is>
          <t>10 % × 400,000 × split 80%</t>
        </is>
      </c>
    </row>
    <row r="1205">
      <c r="A1205" s="19" t="n">
        <v>1204</v>
      </c>
      <c r="B1205" s="20" t="n">
        <v>46506</v>
      </c>
      <c r="C1205" s="21" t="n">
        <v>7.5</v>
      </c>
      <c r="D1205" s="25" t="inlineStr">
        <is>
          <t>Payout</t>
        </is>
      </c>
      <c r="E1205" s="19" t="inlineStr">
        <is>
          <t>Lion Heart Funding</t>
        </is>
      </c>
      <c r="F1205" s="19" t="inlineStr">
        <is>
          <t>#242 2 Step 400k</t>
        </is>
      </c>
      <c r="G1205" s="22" t="n">
        <v>400000</v>
      </c>
      <c r="H1205" s="22" t="n">
        <v>32000</v>
      </c>
      <c r="I1205" s="22" t="n">
        <v>5517563.15</v>
      </c>
      <c r="J1205" s="19" t="inlineStr">
        <is>
          <t>10 % × 400,000 × split 80%</t>
        </is>
      </c>
    </row>
    <row r="1206">
      <c r="A1206" s="13" t="n">
        <v>1205</v>
      </c>
      <c r="B1206" s="14" t="n">
        <v>46506</v>
      </c>
      <c r="C1206" s="15" t="n">
        <v>7.5</v>
      </c>
      <c r="D1206" s="25" t="inlineStr">
        <is>
          <t>Payout</t>
        </is>
      </c>
      <c r="E1206" s="13" t="inlineStr">
        <is>
          <t>FX2 Funding</t>
        </is>
      </c>
      <c r="F1206" s="13" t="inlineStr">
        <is>
          <t>#243 2 Step 100k</t>
        </is>
      </c>
      <c r="G1206" s="17" t="n">
        <v>100000</v>
      </c>
      <c r="H1206" s="17" t="n">
        <v>8000</v>
      </c>
      <c r="I1206" s="17" t="n">
        <v>5525563.15</v>
      </c>
      <c r="J1206" s="13" t="inlineStr">
        <is>
          <t>10 % × 100,000 × split 80%</t>
        </is>
      </c>
    </row>
    <row r="1207">
      <c r="A1207" s="19" t="n">
        <v>1206</v>
      </c>
      <c r="B1207" s="20" t="n">
        <v>46506</v>
      </c>
      <c r="C1207" s="21" t="n">
        <v>7.5</v>
      </c>
      <c r="D1207" s="25" t="inlineStr">
        <is>
          <t>Payout</t>
        </is>
      </c>
      <c r="E1207" s="19" t="inlineStr">
        <is>
          <t>FX2 Funding</t>
        </is>
      </c>
      <c r="F1207" s="19" t="inlineStr">
        <is>
          <t>#244 2 Step 100k</t>
        </is>
      </c>
      <c r="G1207" s="22" t="n">
        <v>100000</v>
      </c>
      <c r="H1207" s="22" t="n">
        <v>8000</v>
      </c>
      <c r="I1207" s="22" t="n">
        <v>5533563.15</v>
      </c>
      <c r="J1207" s="19" t="inlineStr">
        <is>
          <t>10 % × 100,000 × split 80%</t>
        </is>
      </c>
    </row>
    <row r="1208">
      <c r="A1208" s="13" t="n">
        <v>1207</v>
      </c>
      <c r="B1208" s="14" t="n">
        <v>46506</v>
      </c>
      <c r="C1208" s="15" t="n">
        <v>7.5</v>
      </c>
      <c r="D1208" s="25" t="inlineStr">
        <is>
          <t>Payout</t>
        </is>
      </c>
      <c r="E1208" s="13" t="inlineStr">
        <is>
          <t>FX2 Funding</t>
        </is>
      </c>
      <c r="F1208" s="13" t="inlineStr">
        <is>
          <t>#245 2 Step 100k</t>
        </is>
      </c>
      <c r="G1208" s="17" t="n">
        <v>100000</v>
      </c>
      <c r="H1208" s="17" t="n">
        <v>8000</v>
      </c>
      <c r="I1208" s="17" t="n">
        <v>5541563.15</v>
      </c>
      <c r="J1208" s="13" t="inlineStr">
        <is>
          <t>10 % × 100,000 × split 80%</t>
        </is>
      </c>
    </row>
    <row r="1209">
      <c r="A1209" s="19" t="n">
        <v>1208</v>
      </c>
      <c r="B1209" s="20" t="n">
        <v>46506</v>
      </c>
      <c r="C1209" s="21" t="n">
        <v>7.5</v>
      </c>
      <c r="D1209" s="25" t="inlineStr">
        <is>
          <t>Payout</t>
        </is>
      </c>
      <c r="E1209" s="19" t="inlineStr">
        <is>
          <t>AIFO</t>
        </is>
      </c>
      <c r="F1209" s="19" t="inlineStr">
        <is>
          <t>#247 2 Step 200k</t>
        </is>
      </c>
      <c r="G1209" s="22" t="n">
        <v>200000</v>
      </c>
      <c r="H1209" s="22" t="n">
        <v>19000</v>
      </c>
      <c r="I1209" s="22" t="n">
        <v>5560563.15</v>
      </c>
      <c r="J1209" s="19" t="inlineStr">
        <is>
          <t>10 % × 200,000 × split 95%</t>
        </is>
      </c>
    </row>
    <row r="1210">
      <c r="A1210" s="13" t="n">
        <v>1209</v>
      </c>
      <c r="B1210" s="14" t="n">
        <v>46506</v>
      </c>
      <c r="C1210" s="15" t="n">
        <v>7.5</v>
      </c>
      <c r="D1210" s="25" t="inlineStr">
        <is>
          <t>Payout</t>
        </is>
      </c>
      <c r="E1210" s="13" t="inlineStr">
        <is>
          <t>BEM Funding</t>
        </is>
      </c>
      <c r="F1210" s="13" t="inlineStr">
        <is>
          <t>#248 2 Step 100k</t>
        </is>
      </c>
      <c r="G1210" s="17" t="n">
        <v>100000</v>
      </c>
      <c r="H1210" s="17" t="n">
        <v>8000</v>
      </c>
      <c r="I1210" s="17" t="n">
        <v>5568563.15</v>
      </c>
      <c r="J1210" s="13" t="inlineStr">
        <is>
          <t>10 % × 100,000 × split 80%</t>
        </is>
      </c>
    </row>
    <row r="1211">
      <c r="A1211" s="19" t="n">
        <v>1210</v>
      </c>
      <c r="B1211" s="20" t="n">
        <v>46506</v>
      </c>
      <c r="C1211" s="21" t="n">
        <v>7.5</v>
      </c>
      <c r="D1211" s="25" t="inlineStr">
        <is>
          <t>Payout</t>
        </is>
      </c>
      <c r="E1211" s="19" t="inlineStr">
        <is>
          <t>BullRush</t>
        </is>
      </c>
      <c r="F1211" s="19" t="inlineStr">
        <is>
          <t>#250 2 Step 200k</t>
        </is>
      </c>
      <c r="G1211" s="22" t="n">
        <v>200000</v>
      </c>
      <c r="H1211" s="22" t="n">
        <v>15000</v>
      </c>
      <c r="I1211" s="22" t="n">
        <v>5583563.15</v>
      </c>
      <c r="J1211" s="19" t="inlineStr">
        <is>
          <t>10 % × 200,000 × split 75%</t>
        </is>
      </c>
    </row>
    <row r="1212">
      <c r="A1212" s="13" t="n">
        <v>1211</v>
      </c>
      <c r="B1212" s="14" t="n">
        <v>46506</v>
      </c>
      <c r="C1212" s="15" t="n">
        <v>7.5</v>
      </c>
      <c r="D1212" s="25" t="inlineStr">
        <is>
          <t>Payout</t>
        </is>
      </c>
      <c r="E1212" s="13" t="inlineStr">
        <is>
          <t>Exclusive Funded Programme</t>
        </is>
      </c>
      <c r="F1212" s="13" t="inlineStr">
        <is>
          <t>#251 2 Step 200k</t>
        </is>
      </c>
      <c r="G1212" s="17" t="n">
        <v>200000</v>
      </c>
      <c r="H1212" s="17" t="n">
        <v>16000</v>
      </c>
      <c r="I1212" s="17" t="n">
        <v>5599563.15</v>
      </c>
      <c r="J1212" s="13" t="inlineStr">
        <is>
          <t>10 % × 200,000 × split 80%</t>
        </is>
      </c>
    </row>
    <row r="1213">
      <c r="A1213" s="19" t="n">
        <v>1212</v>
      </c>
      <c r="B1213" s="20" t="n">
        <v>46506</v>
      </c>
      <c r="C1213" s="21" t="n">
        <v>7.5</v>
      </c>
      <c r="D1213" s="25" t="inlineStr">
        <is>
          <t>Payout</t>
        </is>
      </c>
      <c r="E1213" s="19" t="inlineStr">
        <is>
          <t>FunderPro</t>
        </is>
      </c>
      <c r="F1213" s="19" t="inlineStr">
        <is>
          <t>#252 1 Step 200k</t>
        </is>
      </c>
      <c r="G1213" s="22" t="n">
        <v>200000</v>
      </c>
      <c r="H1213" s="22" t="n">
        <v>16000</v>
      </c>
      <c r="I1213" s="22" t="n">
        <v>5615563.15</v>
      </c>
      <c r="J1213" s="19" t="inlineStr">
        <is>
          <t>10 % × 200,000 × split 80%</t>
        </is>
      </c>
    </row>
    <row r="1214">
      <c r="A1214" s="13" t="n">
        <v>1213</v>
      </c>
      <c r="B1214" s="14" t="n">
        <v>46506</v>
      </c>
      <c r="C1214" s="15" t="n">
        <v>7.5</v>
      </c>
      <c r="D1214" s="25" t="inlineStr">
        <is>
          <t>Payout</t>
        </is>
      </c>
      <c r="E1214" s="13" t="inlineStr">
        <is>
          <t>Funding Your Trades</t>
        </is>
      </c>
      <c r="F1214" s="13" t="inlineStr">
        <is>
          <t>#253 2 Step 100k</t>
        </is>
      </c>
      <c r="G1214" s="17" t="n">
        <v>100000</v>
      </c>
      <c r="H1214" s="17" t="n">
        <v>10000</v>
      </c>
      <c r="I1214" s="17" t="n">
        <v>5625563.15</v>
      </c>
      <c r="J1214" s="13" t="inlineStr">
        <is>
          <t>10 % × 100,000 × split 100%</t>
        </is>
      </c>
    </row>
    <row r="1215">
      <c r="A1215" s="19" t="n">
        <v>1214</v>
      </c>
      <c r="B1215" s="20" t="n">
        <v>46506</v>
      </c>
      <c r="C1215" s="21" t="n">
        <v>7.5</v>
      </c>
      <c r="D1215" s="25" t="inlineStr">
        <is>
          <t>Payout</t>
        </is>
      </c>
      <c r="E1215" s="19" t="inlineStr">
        <is>
          <t>Mubite</t>
        </is>
      </c>
      <c r="F1215" s="19" t="inlineStr">
        <is>
          <t>#255 2 Step 200k</t>
        </is>
      </c>
      <c r="G1215" s="22" t="n">
        <v>200000</v>
      </c>
      <c r="H1215" s="22" t="n">
        <v>16000</v>
      </c>
      <c r="I1215" s="22" t="n">
        <v>5641563.15</v>
      </c>
      <c r="J1215" s="19" t="inlineStr">
        <is>
          <t>10 % × 200,000 × split 80%</t>
        </is>
      </c>
    </row>
    <row r="1216">
      <c r="A1216" s="13" t="n">
        <v>1215</v>
      </c>
      <c r="B1216" s="14" t="n">
        <v>46520</v>
      </c>
      <c r="C1216" s="15" t="n">
        <v>8</v>
      </c>
      <c r="D1216" s="25" t="inlineStr">
        <is>
          <t>Payout</t>
        </is>
      </c>
      <c r="E1216" s="13" t="inlineStr">
        <is>
          <t>FundedNext</t>
        </is>
      </c>
      <c r="F1216" s="13" t="inlineStr">
        <is>
          <t>#1 Départ 10k</t>
        </is>
      </c>
      <c r="G1216" s="17" t="n">
        <v>10000</v>
      </c>
      <c r="H1216" s="17" t="n">
        <v>800</v>
      </c>
      <c r="I1216" s="17" t="n">
        <v>5642363.15</v>
      </c>
      <c r="J1216" s="13" t="inlineStr">
        <is>
          <t>10 % × 10,000 × split 80%</t>
        </is>
      </c>
    </row>
    <row r="1217">
      <c r="A1217" s="19" t="n">
        <v>1216</v>
      </c>
      <c r="B1217" s="20" t="n">
        <v>46520</v>
      </c>
      <c r="C1217" s="21" t="n">
        <v>8</v>
      </c>
      <c r="D1217" s="25" t="inlineStr">
        <is>
          <t>Payout</t>
        </is>
      </c>
      <c r="E1217" s="19" t="inlineStr">
        <is>
          <t>Moneta Funded</t>
        </is>
      </c>
      <c r="F1217" s="19" t="inlineStr">
        <is>
          <t>#2 Instant-Direct 100k</t>
        </is>
      </c>
      <c r="G1217" s="22" t="n">
        <v>100000</v>
      </c>
      <c r="H1217" s="22" t="n">
        <v>8000</v>
      </c>
      <c r="I1217" s="22" t="n">
        <v>5650363.15</v>
      </c>
      <c r="J1217" s="19" t="inlineStr">
        <is>
          <t>10 % × 100,000 × split 80%</t>
        </is>
      </c>
    </row>
    <row r="1218">
      <c r="A1218" s="13" t="n">
        <v>1217</v>
      </c>
      <c r="B1218" s="14" t="n">
        <v>46520</v>
      </c>
      <c r="C1218" s="15" t="n">
        <v>8</v>
      </c>
      <c r="D1218" s="25" t="inlineStr">
        <is>
          <t>Payout</t>
        </is>
      </c>
      <c r="E1218" s="13" t="inlineStr">
        <is>
          <t>Moneta Funded</t>
        </is>
      </c>
      <c r="F1218" s="13" t="inlineStr">
        <is>
          <t>#3 Instant-Direct 100k</t>
        </is>
      </c>
      <c r="G1218" s="17" t="n">
        <v>100000</v>
      </c>
      <c r="H1218" s="17" t="n">
        <v>8000</v>
      </c>
      <c r="I1218" s="17" t="n">
        <v>5658363.15</v>
      </c>
      <c r="J1218" s="13" t="inlineStr">
        <is>
          <t>10 % × 100,000 × split 80%</t>
        </is>
      </c>
    </row>
    <row r="1219">
      <c r="A1219" s="19" t="n">
        <v>1218</v>
      </c>
      <c r="B1219" s="20" t="n">
        <v>46520</v>
      </c>
      <c r="C1219" s="21" t="n">
        <v>8</v>
      </c>
      <c r="D1219" s="25" t="inlineStr">
        <is>
          <t>Payout</t>
        </is>
      </c>
      <c r="E1219" s="19" t="inlineStr">
        <is>
          <t>Moneta Funded</t>
        </is>
      </c>
      <c r="F1219" s="19" t="inlineStr">
        <is>
          <t>#4 Instant-Direct 100k</t>
        </is>
      </c>
      <c r="G1219" s="22" t="n">
        <v>100000</v>
      </c>
      <c r="H1219" s="22" t="n">
        <v>8000</v>
      </c>
      <c r="I1219" s="22" t="n">
        <v>5666363.15</v>
      </c>
      <c r="J1219" s="19" t="inlineStr">
        <is>
          <t>10 % × 100,000 × split 80%</t>
        </is>
      </c>
    </row>
    <row r="1220">
      <c r="A1220" s="13" t="n">
        <v>1219</v>
      </c>
      <c r="B1220" s="14" t="n">
        <v>46520</v>
      </c>
      <c r="C1220" s="15" t="n">
        <v>8</v>
      </c>
      <c r="D1220" s="25" t="inlineStr">
        <is>
          <t>Payout</t>
        </is>
      </c>
      <c r="E1220" s="13" t="inlineStr">
        <is>
          <t>Moneta Funded</t>
        </is>
      </c>
      <c r="F1220" s="13" t="inlineStr">
        <is>
          <t>#5 Instant-Direct 100k</t>
        </is>
      </c>
      <c r="G1220" s="17" t="n">
        <v>100000</v>
      </c>
      <c r="H1220" s="17" t="n">
        <v>8000</v>
      </c>
      <c r="I1220" s="17" t="n">
        <v>5674363.15</v>
      </c>
      <c r="J1220" s="13" t="inlineStr">
        <is>
          <t>10 % × 100,000 × split 80%</t>
        </is>
      </c>
    </row>
    <row r="1221">
      <c r="A1221" s="19" t="n">
        <v>1220</v>
      </c>
      <c r="B1221" s="20" t="n">
        <v>46520</v>
      </c>
      <c r="C1221" s="21" t="n">
        <v>8</v>
      </c>
      <c r="D1221" s="25" t="inlineStr">
        <is>
          <t>Payout</t>
        </is>
      </c>
      <c r="E1221" s="19" t="inlineStr">
        <is>
          <t>Moneta Funded</t>
        </is>
      </c>
      <c r="F1221" s="19" t="inlineStr">
        <is>
          <t>#6 Instant-Direct 100k</t>
        </is>
      </c>
      <c r="G1221" s="22" t="n">
        <v>100000</v>
      </c>
      <c r="H1221" s="22" t="n">
        <v>8000</v>
      </c>
      <c r="I1221" s="22" t="n">
        <v>5682363.15</v>
      </c>
      <c r="J1221" s="19" t="inlineStr">
        <is>
          <t>10 % × 100,000 × split 80%</t>
        </is>
      </c>
    </row>
    <row r="1222">
      <c r="A1222" s="13" t="n">
        <v>1221</v>
      </c>
      <c r="B1222" s="14" t="n">
        <v>46520</v>
      </c>
      <c r="C1222" s="15" t="n">
        <v>8</v>
      </c>
      <c r="D1222" s="25" t="inlineStr">
        <is>
          <t>Payout</t>
        </is>
      </c>
      <c r="E1222" s="13" t="inlineStr">
        <is>
          <t>Moneta Funded</t>
        </is>
      </c>
      <c r="F1222" s="13" t="inlineStr">
        <is>
          <t>#7 Instant-Direct 100k</t>
        </is>
      </c>
      <c r="G1222" s="17" t="n">
        <v>100000</v>
      </c>
      <c r="H1222" s="17" t="n">
        <v>8000</v>
      </c>
      <c r="I1222" s="17" t="n">
        <v>5690363.15</v>
      </c>
      <c r="J1222" s="13" t="inlineStr">
        <is>
          <t>10 % × 100,000 × split 80%</t>
        </is>
      </c>
    </row>
    <row r="1223">
      <c r="A1223" s="19" t="n">
        <v>1222</v>
      </c>
      <c r="B1223" s="20" t="n">
        <v>46520</v>
      </c>
      <c r="C1223" s="21" t="n">
        <v>8</v>
      </c>
      <c r="D1223" s="25" t="inlineStr">
        <is>
          <t>Payout</t>
        </is>
      </c>
      <c r="E1223" s="19" t="inlineStr">
        <is>
          <t>Moneta Funded</t>
        </is>
      </c>
      <c r="F1223" s="19" t="inlineStr">
        <is>
          <t>#8 Instant-Direct 100k</t>
        </is>
      </c>
      <c r="G1223" s="22" t="n">
        <v>100000</v>
      </c>
      <c r="H1223" s="22" t="n">
        <v>8000</v>
      </c>
      <c r="I1223" s="22" t="n">
        <v>5698363.15</v>
      </c>
      <c r="J1223" s="19" t="inlineStr">
        <is>
          <t>10 % × 100,000 × split 80%</t>
        </is>
      </c>
    </row>
    <row r="1224">
      <c r="A1224" s="13" t="n">
        <v>1223</v>
      </c>
      <c r="B1224" s="14" t="n">
        <v>46520</v>
      </c>
      <c r="C1224" s="15" t="n">
        <v>8</v>
      </c>
      <c r="D1224" s="25" t="inlineStr">
        <is>
          <t>Payout</t>
        </is>
      </c>
      <c r="E1224" s="13" t="inlineStr">
        <is>
          <t>Moneta Funded</t>
        </is>
      </c>
      <c r="F1224" s="13" t="inlineStr">
        <is>
          <t>#9 Instant-Direct 100k</t>
        </is>
      </c>
      <c r="G1224" s="17" t="n">
        <v>100000</v>
      </c>
      <c r="H1224" s="17" t="n">
        <v>8000</v>
      </c>
      <c r="I1224" s="17" t="n">
        <v>5706363.15</v>
      </c>
      <c r="J1224" s="13" t="inlineStr">
        <is>
          <t>10 % × 100,000 × split 80%</t>
        </is>
      </c>
    </row>
    <row r="1225">
      <c r="A1225" s="19" t="n">
        <v>1224</v>
      </c>
      <c r="B1225" s="20" t="n">
        <v>46520</v>
      </c>
      <c r="C1225" s="21" t="n">
        <v>8</v>
      </c>
      <c r="D1225" s="25" t="inlineStr">
        <is>
          <t>Payout</t>
        </is>
      </c>
      <c r="E1225" s="19" t="inlineStr">
        <is>
          <t>Moneta Funded</t>
        </is>
      </c>
      <c r="F1225" s="19" t="inlineStr">
        <is>
          <t>#10 Instant-Direct 100k</t>
        </is>
      </c>
      <c r="G1225" s="22" t="n">
        <v>100000</v>
      </c>
      <c r="H1225" s="22" t="n">
        <v>8000</v>
      </c>
      <c r="I1225" s="22" t="n">
        <v>5714363.15</v>
      </c>
      <c r="J1225" s="19" t="inlineStr">
        <is>
          <t>10 % × 100,000 × split 80%</t>
        </is>
      </c>
    </row>
    <row r="1226">
      <c r="A1226" s="13" t="n">
        <v>1225</v>
      </c>
      <c r="B1226" s="14" t="n">
        <v>46520</v>
      </c>
      <c r="C1226" s="15" t="n">
        <v>8</v>
      </c>
      <c r="D1226" s="25" t="inlineStr">
        <is>
          <t>Payout</t>
        </is>
      </c>
      <c r="E1226" s="13" t="inlineStr">
        <is>
          <t>Moneta Funded</t>
        </is>
      </c>
      <c r="F1226" s="13" t="inlineStr">
        <is>
          <t>#11 Instant-Direct 100k</t>
        </is>
      </c>
      <c r="G1226" s="17" t="n">
        <v>100000</v>
      </c>
      <c r="H1226" s="17" t="n">
        <v>8000</v>
      </c>
      <c r="I1226" s="17" t="n">
        <v>5722363.15</v>
      </c>
      <c r="J1226" s="13" t="inlineStr">
        <is>
          <t>10 % × 100,000 × split 80%</t>
        </is>
      </c>
    </row>
    <row r="1227">
      <c r="A1227" s="19" t="n">
        <v>1226</v>
      </c>
      <c r="B1227" s="20" t="n">
        <v>46520</v>
      </c>
      <c r="C1227" s="21" t="n">
        <v>8</v>
      </c>
      <c r="D1227" s="25" t="inlineStr">
        <is>
          <t>Payout</t>
        </is>
      </c>
      <c r="E1227" s="19" t="inlineStr">
        <is>
          <t>Moneta Funded</t>
        </is>
      </c>
      <c r="F1227" s="19" t="inlineStr">
        <is>
          <t>#12 Instant-Direct 100k</t>
        </is>
      </c>
      <c r="G1227" s="22" t="n">
        <v>100000</v>
      </c>
      <c r="H1227" s="22" t="n">
        <v>8000</v>
      </c>
      <c r="I1227" s="22" t="n">
        <v>5730363.15</v>
      </c>
      <c r="J1227" s="19" t="inlineStr">
        <is>
          <t>10 % × 100,000 × split 80%</t>
        </is>
      </c>
    </row>
    <row r="1228">
      <c r="A1228" s="13" t="n">
        <v>1227</v>
      </c>
      <c r="B1228" s="14" t="n">
        <v>46520</v>
      </c>
      <c r="C1228" s="15" t="n">
        <v>8</v>
      </c>
      <c r="D1228" s="25" t="inlineStr">
        <is>
          <t>Payout</t>
        </is>
      </c>
      <c r="E1228" s="13" t="inlineStr">
        <is>
          <t>Moneta Funded</t>
        </is>
      </c>
      <c r="F1228" s="13" t="inlineStr">
        <is>
          <t>#13 Instant-Direct 100k</t>
        </is>
      </c>
      <c r="G1228" s="17" t="n">
        <v>100000</v>
      </c>
      <c r="H1228" s="17" t="n">
        <v>8000</v>
      </c>
      <c r="I1228" s="17" t="n">
        <v>5738363.15</v>
      </c>
      <c r="J1228" s="13" t="inlineStr">
        <is>
          <t>10 % × 100,000 × split 80%</t>
        </is>
      </c>
    </row>
    <row r="1229">
      <c r="A1229" s="19" t="n">
        <v>1228</v>
      </c>
      <c r="B1229" s="20" t="n">
        <v>46520</v>
      </c>
      <c r="C1229" s="21" t="n">
        <v>8</v>
      </c>
      <c r="D1229" s="25" t="inlineStr">
        <is>
          <t>Payout</t>
        </is>
      </c>
      <c r="E1229" s="19" t="inlineStr">
        <is>
          <t>FunderPro Futures</t>
        </is>
      </c>
      <c r="F1229" s="19" t="inlineStr">
        <is>
          <t>#14 1 Step 150k</t>
        </is>
      </c>
      <c r="G1229" s="22" t="n">
        <v>150000</v>
      </c>
      <c r="H1229" s="22" t="n">
        <v>9000</v>
      </c>
      <c r="I1229" s="22" t="n">
        <v>5747363.15</v>
      </c>
      <c r="J1229" s="19" t="inlineStr">
        <is>
          <t>10 % × 150,000 × split 60%</t>
        </is>
      </c>
    </row>
    <row r="1230">
      <c r="A1230" s="13" t="n">
        <v>1229</v>
      </c>
      <c r="B1230" s="14" t="n">
        <v>46520</v>
      </c>
      <c r="C1230" s="15" t="n">
        <v>8</v>
      </c>
      <c r="D1230" s="25" t="inlineStr">
        <is>
          <t>Payout</t>
        </is>
      </c>
      <c r="E1230" s="13" t="inlineStr">
        <is>
          <t>Moneta Funded</t>
        </is>
      </c>
      <c r="F1230" s="13" t="inlineStr">
        <is>
          <t>#15 Instant-Direct 100k</t>
        </is>
      </c>
      <c r="G1230" s="17" t="n">
        <v>100000</v>
      </c>
      <c r="H1230" s="17" t="n">
        <v>8000</v>
      </c>
      <c r="I1230" s="17" t="n">
        <v>5755363.15</v>
      </c>
      <c r="J1230" s="13" t="inlineStr">
        <is>
          <t>10 % × 100,000 × split 80%</t>
        </is>
      </c>
    </row>
    <row r="1231">
      <c r="A1231" s="19" t="n">
        <v>1230</v>
      </c>
      <c r="B1231" s="20" t="n">
        <v>46520</v>
      </c>
      <c r="C1231" s="21" t="n">
        <v>8</v>
      </c>
      <c r="D1231" s="25" t="inlineStr">
        <is>
          <t>Payout</t>
        </is>
      </c>
      <c r="E1231" s="19" t="inlineStr">
        <is>
          <t>Moneta Funded</t>
        </is>
      </c>
      <c r="F1231" s="19" t="inlineStr">
        <is>
          <t>#16 Instant-Direct 100k</t>
        </is>
      </c>
      <c r="G1231" s="22" t="n">
        <v>100000</v>
      </c>
      <c r="H1231" s="22" t="n">
        <v>8000</v>
      </c>
      <c r="I1231" s="22" t="n">
        <v>5763363.15</v>
      </c>
      <c r="J1231" s="19" t="inlineStr">
        <is>
          <t>10 % × 100,000 × split 80%</t>
        </is>
      </c>
    </row>
    <row r="1232">
      <c r="A1232" s="13" t="n">
        <v>1231</v>
      </c>
      <c r="B1232" s="14" t="n">
        <v>46520</v>
      </c>
      <c r="C1232" s="15" t="n">
        <v>8</v>
      </c>
      <c r="D1232" s="25" t="inlineStr">
        <is>
          <t>Payout</t>
        </is>
      </c>
      <c r="E1232" s="13" t="inlineStr">
        <is>
          <t>Moneta Funded</t>
        </is>
      </c>
      <c r="F1232" s="13" t="inlineStr">
        <is>
          <t>#17 Instant-Direct 100k</t>
        </is>
      </c>
      <c r="G1232" s="17" t="n">
        <v>100000</v>
      </c>
      <c r="H1232" s="17" t="n">
        <v>8000</v>
      </c>
      <c r="I1232" s="17" t="n">
        <v>5771363.15</v>
      </c>
      <c r="J1232" s="13" t="inlineStr">
        <is>
          <t>10 % × 100,000 × split 80%</t>
        </is>
      </c>
    </row>
    <row r="1233">
      <c r="A1233" s="19" t="n">
        <v>1232</v>
      </c>
      <c r="B1233" s="20" t="n">
        <v>46520</v>
      </c>
      <c r="C1233" s="21" t="n">
        <v>8</v>
      </c>
      <c r="D1233" s="25" t="inlineStr">
        <is>
          <t>Payout</t>
        </is>
      </c>
      <c r="E1233" s="19" t="inlineStr">
        <is>
          <t>Moneta Funded</t>
        </is>
      </c>
      <c r="F1233" s="19" t="inlineStr">
        <is>
          <t>#18 Instant-Direct 100k</t>
        </is>
      </c>
      <c r="G1233" s="22" t="n">
        <v>100000</v>
      </c>
      <c r="H1233" s="22" t="n">
        <v>8000</v>
      </c>
      <c r="I1233" s="22" t="n">
        <v>5779363.15</v>
      </c>
      <c r="J1233" s="19" t="inlineStr">
        <is>
          <t>10 % × 100,000 × split 80%</t>
        </is>
      </c>
    </row>
    <row r="1234">
      <c r="A1234" s="13" t="n">
        <v>1233</v>
      </c>
      <c r="B1234" s="14" t="n">
        <v>46520</v>
      </c>
      <c r="C1234" s="15" t="n">
        <v>8</v>
      </c>
      <c r="D1234" s="25" t="inlineStr">
        <is>
          <t>Payout</t>
        </is>
      </c>
      <c r="E1234" s="13" t="inlineStr">
        <is>
          <t>Moneta Funded</t>
        </is>
      </c>
      <c r="F1234" s="13" t="inlineStr">
        <is>
          <t>#19 Instant-Direct 100k</t>
        </is>
      </c>
      <c r="G1234" s="17" t="n">
        <v>100000</v>
      </c>
      <c r="H1234" s="17" t="n">
        <v>8000</v>
      </c>
      <c r="I1234" s="17" t="n">
        <v>5787363.15</v>
      </c>
      <c r="J1234" s="13" t="inlineStr">
        <is>
          <t>10 % × 100,000 × split 80%</t>
        </is>
      </c>
    </row>
    <row r="1235">
      <c r="A1235" s="19" t="n">
        <v>1234</v>
      </c>
      <c r="B1235" s="20" t="n">
        <v>46520</v>
      </c>
      <c r="C1235" s="21" t="n">
        <v>8</v>
      </c>
      <c r="D1235" s="25" t="inlineStr">
        <is>
          <t>Payout</t>
        </is>
      </c>
      <c r="E1235" s="19" t="inlineStr">
        <is>
          <t>Moneta Funded</t>
        </is>
      </c>
      <c r="F1235" s="19" t="inlineStr">
        <is>
          <t>#20 Instant-Direct 100k</t>
        </is>
      </c>
      <c r="G1235" s="22" t="n">
        <v>100000</v>
      </c>
      <c r="H1235" s="22" t="n">
        <v>8000</v>
      </c>
      <c r="I1235" s="22" t="n">
        <v>5795363.15</v>
      </c>
      <c r="J1235" s="19" t="inlineStr">
        <is>
          <t>10 % × 100,000 × split 80%</t>
        </is>
      </c>
    </row>
    <row r="1236">
      <c r="A1236" s="13" t="n">
        <v>1235</v>
      </c>
      <c r="B1236" s="14" t="n">
        <v>46520</v>
      </c>
      <c r="C1236" s="15" t="n">
        <v>8</v>
      </c>
      <c r="D1236" s="25" t="inlineStr">
        <is>
          <t>Payout</t>
        </is>
      </c>
      <c r="E1236" s="13" t="inlineStr">
        <is>
          <t>Moneta Funded</t>
        </is>
      </c>
      <c r="F1236" s="13" t="inlineStr">
        <is>
          <t>#21 Instant-Direct 100k</t>
        </is>
      </c>
      <c r="G1236" s="17" t="n">
        <v>100000</v>
      </c>
      <c r="H1236" s="17" t="n">
        <v>8000</v>
      </c>
      <c r="I1236" s="17" t="n">
        <v>5803363.15</v>
      </c>
      <c r="J1236" s="13" t="inlineStr">
        <is>
          <t>10 % × 100,000 × split 80%</t>
        </is>
      </c>
    </row>
    <row r="1237">
      <c r="A1237" s="19" t="n">
        <v>1236</v>
      </c>
      <c r="B1237" s="20" t="n">
        <v>46520</v>
      </c>
      <c r="C1237" s="21" t="n">
        <v>8</v>
      </c>
      <c r="D1237" s="25" t="inlineStr">
        <is>
          <t>Payout</t>
        </is>
      </c>
      <c r="E1237" s="19" t="inlineStr">
        <is>
          <t>Moneta Funded</t>
        </is>
      </c>
      <c r="F1237" s="19" t="inlineStr">
        <is>
          <t>#22 Instant-Direct 100k</t>
        </is>
      </c>
      <c r="G1237" s="22" t="n">
        <v>100000</v>
      </c>
      <c r="H1237" s="22" t="n">
        <v>8000</v>
      </c>
      <c r="I1237" s="22" t="n">
        <v>5811363.15</v>
      </c>
      <c r="J1237" s="19" t="inlineStr">
        <is>
          <t>10 % × 100,000 × split 80%</t>
        </is>
      </c>
    </row>
    <row r="1238">
      <c r="A1238" s="13" t="n">
        <v>1237</v>
      </c>
      <c r="B1238" s="14" t="n">
        <v>46520</v>
      </c>
      <c r="C1238" s="15" t="n">
        <v>8</v>
      </c>
      <c r="D1238" s="25" t="inlineStr">
        <is>
          <t>Payout</t>
        </is>
      </c>
      <c r="E1238" s="13" t="inlineStr">
        <is>
          <t>Moneta Funded</t>
        </is>
      </c>
      <c r="F1238" s="13" t="inlineStr">
        <is>
          <t>#23 Instant-Direct 100k</t>
        </is>
      </c>
      <c r="G1238" s="17" t="n">
        <v>100000</v>
      </c>
      <c r="H1238" s="17" t="n">
        <v>8000</v>
      </c>
      <c r="I1238" s="17" t="n">
        <v>5819363.15</v>
      </c>
      <c r="J1238" s="13" t="inlineStr">
        <is>
          <t>10 % × 100,000 × split 80%</t>
        </is>
      </c>
    </row>
    <row r="1239">
      <c r="A1239" s="19" t="n">
        <v>1238</v>
      </c>
      <c r="B1239" s="20" t="n">
        <v>46520</v>
      </c>
      <c r="C1239" s="21" t="n">
        <v>8</v>
      </c>
      <c r="D1239" s="25" t="inlineStr">
        <is>
          <t>Payout</t>
        </is>
      </c>
      <c r="E1239" s="19" t="inlineStr">
        <is>
          <t>Moneta Funded</t>
        </is>
      </c>
      <c r="F1239" s="19" t="inlineStr">
        <is>
          <t>#24 Instant-Direct 100k</t>
        </is>
      </c>
      <c r="G1239" s="22" t="n">
        <v>100000</v>
      </c>
      <c r="H1239" s="22" t="n">
        <v>8000</v>
      </c>
      <c r="I1239" s="22" t="n">
        <v>5827363.15</v>
      </c>
      <c r="J1239" s="19" t="inlineStr">
        <is>
          <t>10 % × 100,000 × split 80%</t>
        </is>
      </c>
    </row>
    <row r="1240">
      <c r="A1240" s="13" t="n">
        <v>1239</v>
      </c>
      <c r="B1240" s="14" t="n">
        <v>46520</v>
      </c>
      <c r="C1240" s="15" t="n">
        <v>8</v>
      </c>
      <c r="D1240" s="25" t="inlineStr">
        <is>
          <t>Payout</t>
        </is>
      </c>
      <c r="E1240" s="13" t="inlineStr">
        <is>
          <t>Moneta Funded</t>
        </is>
      </c>
      <c r="F1240" s="13" t="inlineStr">
        <is>
          <t>#25 Instant-Direct 100k</t>
        </is>
      </c>
      <c r="G1240" s="17" t="n">
        <v>100000</v>
      </c>
      <c r="H1240" s="17" t="n">
        <v>8000</v>
      </c>
      <c r="I1240" s="17" t="n">
        <v>5835363.15</v>
      </c>
      <c r="J1240" s="13" t="inlineStr">
        <is>
          <t>10 % × 100,000 × split 80%</t>
        </is>
      </c>
    </row>
    <row r="1241">
      <c r="A1241" s="19" t="n">
        <v>1240</v>
      </c>
      <c r="B1241" s="20" t="n">
        <v>46520</v>
      </c>
      <c r="C1241" s="21" t="n">
        <v>8</v>
      </c>
      <c r="D1241" s="25" t="inlineStr">
        <is>
          <t>Payout</t>
        </is>
      </c>
      <c r="E1241" s="19" t="inlineStr">
        <is>
          <t>IQ Capital</t>
        </is>
      </c>
      <c r="F1241" s="19" t="inlineStr">
        <is>
          <t>#26 Instant-Direct 100k</t>
        </is>
      </c>
      <c r="G1241" s="22" t="n">
        <v>100000</v>
      </c>
      <c r="H1241" s="22" t="n">
        <v>8000</v>
      </c>
      <c r="I1241" s="22" t="n">
        <v>5843363.15</v>
      </c>
      <c r="J1241" s="19" t="inlineStr">
        <is>
          <t>10 % × 100,000 × split 80%</t>
        </is>
      </c>
    </row>
    <row r="1242">
      <c r="A1242" s="13" t="n">
        <v>1241</v>
      </c>
      <c r="B1242" s="14" t="n">
        <v>46520</v>
      </c>
      <c r="C1242" s="15" t="n">
        <v>8</v>
      </c>
      <c r="D1242" s="25" t="inlineStr">
        <is>
          <t>Payout</t>
        </is>
      </c>
      <c r="E1242" s="13" t="inlineStr">
        <is>
          <t>IQ Capital</t>
        </is>
      </c>
      <c r="F1242" s="13" t="inlineStr">
        <is>
          <t>#27 Instant-Direct 100k</t>
        </is>
      </c>
      <c r="G1242" s="17" t="n">
        <v>100000</v>
      </c>
      <c r="H1242" s="17" t="n">
        <v>8000</v>
      </c>
      <c r="I1242" s="17" t="n">
        <v>5851363.15</v>
      </c>
      <c r="J1242" s="13" t="inlineStr">
        <is>
          <t>10 % × 100,000 × split 80%</t>
        </is>
      </c>
    </row>
    <row r="1243">
      <c r="A1243" s="19" t="n">
        <v>1242</v>
      </c>
      <c r="B1243" s="20" t="n">
        <v>46520</v>
      </c>
      <c r="C1243" s="21" t="n">
        <v>8</v>
      </c>
      <c r="D1243" s="25" t="inlineStr">
        <is>
          <t>Payout</t>
        </is>
      </c>
      <c r="E1243" s="19" t="inlineStr">
        <is>
          <t>IQ Capital</t>
        </is>
      </c>
      <c r="F1243" s="19" t="inlineStr">
        <is>
          <t>#28 Instant-Direct 100k</t>
        </is>
      </c>
      <c r="G1243" s="22" t="n">
        <v>100000</v>
      </c>
      <c r="H1243" s="22" t="n">
        <v>8000</v>
      </c>
      <c r="I1243" s="22" t="n">
        <v>5859363.15</v>
      </c>
      <c r="J1243" s="19" t="inlineStr">
        <is>
          <t>10 % × 100,000 × split 80%</t>
        </is>
      </c>
    </row>
    <row r="1244">
      <c r="A1244" s="13" t="n">
        <v>1243</v>
      </c>
      <c r="B1244" s="14" t="n">
        <v>46520</v>
      </c>
      <c r="C1244" s="15" t="n">
        <v>8</v>
      </c>
      <c r="D1244" s="25" t="inlineStr">
        <is>
          <t>Payout</t>
        </is>
      </c>
      <c r="E1244" s="13" t="inlineStr">
        <is>
          <t>IQ Capital</t>
        </is>
      </c>
      <c r="F1244" s="13" t="inlineStr">
        <is>
          <t>#29 Instant-Direct 100k</t>
        </is>
      </c>
      <c r="G1244" s="17" t="n">
        <v>100000</v>
      </c>
      <c r="H1244" s="17" t="n">
        <v>8000</v>
      </c>
      <c r="I1244" s="17" t="n">
        <v>5867363.15</v>
      </c>
      <c r="J1244" s="13" t="inlineStr">
        <is>
          <t>10 % × 100,000 × split 80%</t>
        </is>
      </c>
    </row>
    <row r="1245">
      <c r="A1245" s="19" t="n">
        <v>1244</v>
      </c>
      <c r="B1245" s="20" t="n">
        <v>46520</v>
      </c>
      <c r="C1245" s="21" t="n">
        <v>8</v>
      </c>
      <c r="D1245" s="25" t="inlineStr">
        <is>
          <t>Payout</t>
        </is>
      </c>
      <c r="E1245" s="19" t="inlineStr">
        <is>
          <t>IQ Capital</t>
        </is>
      </c>
      <c r="F1245" s="19" t="inlineStr">
        <is>
          <t>#30 Instant-Direct 100k</t>
        </is>
      </c>
      <c r="G1245" s="22" t="n">
        <v>100000</v>
      </c>
      <c r="H1245" s="22" t="n">
        <v>8000</v>
      </c>
      <c r="I1245" s="22" t="n">
        <v>5875363.15</v>
      </c>
      <c r="J1245" s="19" t="inlineStr">
        <is>
          <t>10 % × 100,000 × split 80%</t>
        </is>
      </c>
    </row>
    <row r="1246">
      <c r="A1246" s="13" t="n">
        <v>1245</v>
      </c>
      <c r="B1246" s="14" t="n">
        <v>46520</v>
      </c>
      <c r="C1246" s="15" t="n">
        <v>8</v>
      </c>
      <c r="D1246" s="25" t="inlineStr">
        <is>
          <t>Payout</t>
        </is>
      </c>
      <c r="E1246" s="13" t="inlineStr">
        <is>
          <t>IQ Capital</t>
        </is>
      </c>
      <c r="F1246" s="13" t="inlineStr">
        <is>
          <t>#31 Instant-Direct 100k</t>
        </is>
      </c>
      <c r="G1246" s="17" t="n">
        <v>100000</v>
      </c>
      <c r="H1246" s="17" t="n">
        <v>8000</v>
      </c>
      <c r="I1246" s="17" t="n">
        <v>5883363.15</v>
      </c>
      <c r="J1246" s="13" t="inlineStr">
        <is>
          <t>10 % × 100,000 × split 80%</t>
        </is>
      </c>
    </row>
    <row r="1247">
      <c r="A1247" s="19" t="n">
        <v>1246</v>
      </c>
      <c r="B1247" s="20" t="n">
        <v>46520</v>
      </c>
      <c r="C1247" s="21" t="n">
        <v>8</v>
      </c>
      <c r="D1247" s="25" t="inlineStr">
        <is>
          <t>Payout</t>
        </is>
      </c>
      <c r="E1247" s="19" t="inlineStr">
        <is>
          <t>IQ Capital</t>
        </is>
      </c>
      <c r="F1247" s="19" t="inlineStr">
        <is>
          <t>#32 Instant-Direct 100k</t>
        </is>
      </c>
      <c r="G1247" s="22" t="n">
        <v>100000</v>
      </c>
      <c r="H1247" s="22" t="n">
        <v>8000</v>
      </c>
      <c r="I1247" s="22" t="n">
        <v>5891363.15</v>
      </c>
      <c r="J1247" s="19" t="inlineStr">
        <is>
          <t>10 % × 100,000 × split 80%</t>
        </is>
      </c>
    </row>
    <row r="1248">
      <c r="A1248" s="13" t="n">
        <v>1247</v>
      </c>
      <c r="B1248" s="14" t="n">
        <v>46520</v>
      </c>
      <c r="C1248" s="15" t="n">
        <v>8</v>
      </c>
      <c r="D1248" s="25" t="inlineStr">
        <is>
          <t>Payout</t>
        </is>
      </c>
      <c r="E1248" s="13" t="inlineStr">
        <is>
          <t>IQ Capital</t>
        </is>
      </c>
      <c r="F1248" s="13" t="inlineStr">
        <is>
          <t>#33 Instant-Direct 100k</t>
        </is>
      </c>
      <c r="G1248" s="17" t="n">
        <v>100000</v>
      </c>
      <c r="H1248" s="17" t="n">
        <v>8000</v>
      </c>
      <c r="I1248" s="17" t="n">
        <v>5899363.15</v>
      </c>
      <c r="J1248" s="13" t="inlineStr">
        <is>
          <t>10 % × 100,000 × split 80%</t>
        </is>
      </c>
    </row>
    <row r="1249">
      <c r="A1249" s="19" t="n">
        <v>1248</v>
      </c>
      <c r="B1249" s="20" t="n">
        <v>46520</v>
      </c>
      <c r="C1249" s="21" t="n">
        <v>8</v>
      </c>
      <c r="D1249" s="25" t="inlineStr">
        <is>
          <t>Payout</t>
        </is>
      </c>
      <c r="E1249" s="19" t="inlineStr">
        <is>
          <t>IQ Capital</t>
        </is>
      </c>
      <c r="F1249" s="19" t="inlineStr">
        <is>
          <t>#34 Instant-Direct 100k</t>
        </is>
      </c>
      <c r="G1249" s="22" t="n">
        <v>100000</v>
      </c>
      <c r="H1249" s="22" t="n">
        <v>8000</v>
      </c>
      <c r="I1249" s="22" t="n">
        <v>5907363.15</v>
      </c>
      <c r="J1249" s="19" t="inlineStr">
        <is>
          <t>10 % × 100,000 × split 80%</t>
        </is>
      </c>
    </row>
    <row r="1250">
      <c r="A1250" s="13" t="n">
        <v>1249</v>
      </c>
      <c r="B1250" s="14" t="n">
        <v>46520</v>
      </c>
      <c r="C1250" s="15" t="n">
        <v>8</v>
      </c>
      <c r="D1250" s="25" t="inlineStr">
        <is>
          <t>Payout</t>
        </is>
      </c>
      <c r="E1250" s="13" t="inlineStr">
        <is>
          <t>IQ Capital</t>
        </is>
      </c>
      <c r="F1250" s="13" t="inlineStr">
        <is>
          <t>#35 Instant-Direct 100k</t>
        </is>
      </c>
      <c r="G1250" s="17" t="n">
        <v>100000</v>
      </c>
      <c r="H1250" s="17" t="n">
        <v>8000</v>
      </c>
      <c r="I1250" s="17" t="n">
        <v>5915363.15</v>
      </c>
      <c r="J1250" s="13" t="inlineStr">
        <is>
          <t>10 % × 100,000 × split 80%</t>
        </is>
      </c>
    </row>
    <row r="1251">
      <c r="A1251" s="19" t="n">
        <v>1250</v>
      </c>
      <c r="B1251" s="20" t="n">
        <v>46520</v>
      </c>
      <c r="C1251" s="21" t="n">
        <v>8</v>
      </c>
      <c r="D1251" s="25" t="inlineStr">
        <is>
          <t>Payout</t>
        </is>
      </c>
      <c r="E1251" s="19" t="inlineStr">
        <is>
          <t>IQ Capital</t>
        </is>
      </c>
      <c r="F1251" s="19" t="inlineStr">
        <is>
          <t>#36 Instant-Direct 100k</t>
        </is>
      </c>
      <c r="G1251" s="22" t="n">
        <v>100000</v>
      </c>
      <c r="H1251" s="22" t="n">
        <v>8000</v>
      </c>
      <c r="I1251" s="22" t="n">
        <v>5923363.15</v>
      </c>
      <c r="J1251" s="19" t="inlineStr">
        <is>
          <t>10 % × 100,000 × split 80%</t>
        </is>
      </c>
    </row>
    <row r="1252">
      <c r="A1252" s="13" t="n">
        <v>1251</v>
      </c>
      <c r="B1252" s="14" t="n">
        <v>46520</v>
      </c>
      <c r="C1252" s="15" t="n">
        <v>8</v>
      </c>
      <c r="D1252" s="25" t="inlineStr">
        <is>
          <t>Payout</t>
        </is>
      </c>
      <c r="E1252" s="13" t="inlineStr">
        <is>
          <t>IQ Capital</t>
        </is>
      </c>
      <c r="F1252" s="13" t="inlineStr">
        <is>
          <t>#37 Instant-Direct 100k</t>
        </is>
      </c>
      <c r="G1252" s="17" t="n">
        <v>100000</v>
      </c>
      <c r="H1252" s="17" t="n">
        <v>8000</v>
      </c>
      <c r="I1252" s="17" t="n">
        <v>5931363.15</v>
      </c>
      <c r="J1252" s="13" t="inlineStr">
        <is>
          <t>10 % × 100,000 × split 80%</t>
        </is>
      </c>
    </row>
    <row r="1253">
      <c r="A1253" s="19" t="n">
        <v>1252</v>
      </c>
      <c r="B1253" s="20" t="n">
        <v>46520</v>
      </c>
      <c r="C1253" s="21" t="n">
        <v>8</v>
      </c>
      <c r="D1253" s="25" t="inlineStr">
        <is>
          <t>Payout</t>
        </is>
      </c>
      <c r="E1253" s="19" t="inlineStr">
        <is>
          <t>IQ Capital</t>
        </is>
      </c>
      <c r="F1253" s="19" t="inlineStr">
        <is>
          <t>#38 Instant-Direct 100k</t>
        </is>
      </c>
      <c r="G1253" s="22" t="n">
        <v>100000</v>
      </c>
      <c r="H1253" s="22" t="n">
        <v>8000</v>
      </c>
      <c r="I1253" s="22" t="n">
        <v>5939363.15</v>
      </c>
      <c r="J1253" s="19" t="inlineStr">
        <is>
          <t>10 % × 100,000 × split 80%</t>
        </is>
      </c>
    </row>
    <row r="1254">
      <c r="A1254" s="13" t="n">
        <v>1253</v>
      </c>
      <c r="B1254" s="14" t="n">
        <v>46520</v>
      </c>
      <c r="C1254" s="15" t="n">
        <v>8</v>
      </c>
      <c r="D1254" s="25" t="inlineStr">
        <is>
          <t>Payout</t>
        </is>
      </c>
      <c r="E1254" s="13" t="inlineStr">
        <is>
          <t>IQ Capital</t>
        </is>
      </c>
      <c r="F1254" s="13" t="inlineStr">
        <is>
          <t>#39 Instant-Direct 100k</t>
        </is>
      </c>
      <c r="G1254" s="17" t="n">
        <v>100000</v>
      </c>
      <c r="H1254" s="17" t="n">
        <v>8000</v>
      </c>
      <c r="I1254" s="17" t="n">
        <v>5947363.15</v>
      </c>
      <c r="J1254" s="13" t="inlineStr">
        <is>
          <t>10 % × 100,000 × split 80%</t>
        </is>
      </c>
    </row>
    <row r="1255">
      <c r="A1255" s="19" t="n">
        <v>1254</v>
      </c>
      <c r="B1255" s="20" t="n">
        <v>46520</v>
      </c>
      <c r="C1255" s="21" t="n">
        <v>8</v>
      </c>
      <c r="D1255" s="25" t="inlineStr">
        <is>
          <t>Payout</t>
        </is>
      </c>
      <c r="E1255" s="19" t="inlineStr">
        <is>
          <t>IQ Capital</t>
        </is>
      </c>
      <c r="F1255" s="19" t="inlineStr">
        <is>
          <t>#40 Instant-Direct 100k</t>
        </is>
      </c>
      <c r="G1255" s="22" t="n">
        <v>100000</v>
      </c>
      <c r="H1255" s="22" t="n">
        <v>8000</v>
      </c>
      <c r="I1255" s="22" t="n">
        <v>5955363.15</v>
      </c>
      <c r="J1255" s="19" t="inlineStr">
        <is>
          <t>10 % × 100,000 × split 80%</t>
        </is>
      </c>
    </row>
    <row r="1256">
      <c r="A1256" s="13" t="n">
        <v>1255</v>
      </c>
      <c r="B1256" s="14" t="n">
        <v>46520</v>
      </c>
      <c r="C1256" s="15" t="n">
        <v>8</v>
      </c>
      <c r="D1256" s="25" t="inlineStr">
        <is>
          <t>Payout</t>
        </is>
      </c>
      <c r="E1256" s="13" t="inlineStr">
        <is>
          <t>IQ Capital</t>
        </is>
      </c>
      <c r="F1256" s="13" t="inlineStr">
        <is>
          <t>#41 Instant-Direct 100k</t>
        </is>
      </c>
      <c r="G1256" s="17" t="n">
        <v>100000</v>
      </c>
      <c r="H1256" s="17" t="n">
        <v>8000</v>
      </c>
      <c r="I1256" s="17" t="n">
        <v>5963363.15</v>
      </c>
      <c r="J1256" s="13" t="inlineStr">
        <is>
          <t>10 % × 100,000 × split 80%</t>
        </is>
      </c>
    </row>
    <row r="1257">
      <c r="A1257" s="19" t="n">
        <v>1256</v>
      </c>
      <c r="B1257" s="20" t="n">
        <v>46520</v>
      </c>
      <c r="C1257" s="21" t="n">
        <v>8</v>
      </c>
      <c r="D1257" s="25" t="inlineStr">
        <is>
          <t>Payout</t>
        </is>
      </c>
      <c r="E1257" s="19" t="inlineStr">
        <is>
          <t>IQ Capital</t>
        </is>
      </c>
      <c r="F1257" s="19" t="inlineStr">
        <is>
          <t>#42 Instant-Direct 100k</t>
        </is>
      </c>
      <c r="G1257" s="22" t="n">
        <v>100000</v>
      </c>
      <c r="H1257" s="22" t="n">
        <v>8000</v>
      </c>
      <c r="I1257" s="22" t="n">
        <v>5971363.15</v>
      </c>
      <c r="J1257" s="19" t="inlineStr">
        <is>
          <t>10 % × 100,000 × split 80%</t>
        </is>
      </c>
    </row>
    <row r="1258">
      <c r="A1258" s="13" t="n">
        <v>1257</v>
      </c>
      <c r="B1258" s="14" t="n">
        <v>46520</v>
      </c>
      <c r="C1258" s="15" t="n">
        <v>8</v>
      </c>
      <c r="D1258" s="25" t="inlineStr">
        <is>
          <t>Payout</t>
        </is>
      </c>
      <c r="E1258" s="13" t="inlineStr">
        <is>
          <t>IQ Capital</t>
        </is>
      </c>
      <c r="F1258" s="13" t="inlineStr">
        <is>
          <t>#43 Instant-Direct 100k</t>
        </is>
      </c>
      <c r="G1258" s="17" t="n">
        <v>100000</v>
      </c>
      <c r="H1258" s="17" t="n">
        <v>8000</v>
      </c>
      <c r="I1258" s="17" t="n">
        <v>5979363.15</v>
      </c>
      <c r="J1258" s="13" t="inlineStr">
        <is>
          <t>10 % × 100,000 × split 80%</t>
        </is>
      </c>
    </row>
    <row r="1259">
      <c r="A1259" s="19" t="n">
        <v>1258</v>
      </c>
      <c r="B1259" s="20" t="n">
        <v>46520</v>
      </c>
      <c r="C1259" s="21" t="n">
        <v>8</v>
      </c>
      <c r="D1259" s="25" t="inlineStr">
        <is>
          <t>Payout</t>
        </is>
      </c>
      <c r="E1259" s="19" t="inlineStr">
        <is>
          <t>IQ Capital</t>
        </is>
      </c>
      <c r="F1259" s="19" t="inlineStr">
        <is>
          <t>#44 Instant-Direct 100k</t>
        </is>
      </c>
      <c r="G1259" s="22" t="n">
        <v>100000</v>
      </c>
      <c r="H1259" s="22" t="n">
        <v>8000</v>
      </c>
      <c r="I1259" s="22" t="n">
        <v>5987363.15</v>
      </c>
      <c r="J1259" s="19" t="inlineStr">
        <is>
          <t>10 % × 100,000 × split 80%</t>
        </is>
      </c>
    </row>
    <row r="1260">
      <c r="A1260" s="13" t="n">
        <v>1259</v>
      </c>
      <c r="B1260" s="14" t="n">
        <v>46520</v>
      </c>
      <c r="C1260" s="15" t="n">
        <v>8</v>
      </c>
      <c r="D1260" s="25" t="inlineStr">
        <is>
          <t>Payout</t>
        </is>
      </c>
      <c r="E1260" s="13" t="inlineStr">
        <is>
          <t>IQ Capital</t>
        </is>
      </c>
      <c r="F1260" s="13" t="inlineStr">
        <is>
          <t>#45 Instant-Direct 100k</t>
        </is>
      </c>
      <c r="G1260" s="17" t="n">
        <v>100000</v>
      </c>
      <c r="H1260" s="17" t="n">
        <v>8000</v>
      </c>
      <c r="I1260" s="17" t="n">
        <v>5995363.15</v>
      </c>
      <c r="J1260" s="13" t="inlineStr">
        <is>
          <t>10 % × 100,000 × split 80%</t>
        </is>
      </c>
    </row>
    <row r="1261">
      <c r="A1261" s="19" t="n">
        <v>1260</v>
      </c>
      <c r="B1261" s="20" t="n">
        <v>46520</v>
      </c>
      <c r="C1261" s="21" t="n">
        <v>8</v>
      </c>
      <c r="D1261" s="25" t="inlineStr">
        <is>
          <t>Payout</t>
        </is>
      </c>
      <c r="E1261" s="19" t="inlineStr">
        <is>
          <t>Instant Funding</t>
        </is>
      </c>
      <c r="F1261" s="19" t="inlineStr">
        <is>
          <t>#46 Instant-Direct 120k</t>
        </is>
      </c>
      <c r="G1261" s="22" t="n">
        <v>120000</v>
      </c>
      <c r="H1261" s="22" t="n">
        <v>9600</v>
      </c>
      <c r="I1261" s="22" t="n">
        <v>6004963.15</v>
      </c>
      <c r="J1261" s="19" t="inlineStr">
        <is>
          <t>10 % × 120,000 × split 80%</t>
        </is>
      </c>
    </row>
    <row r="1262">
      <c r="A1262" s="13" t="n">
        <v>1261</v>
      </c>
      <c r="B1262" s="14" t="n">
        <v>46520</v>
      </c>
      <c r="C1262" s="15" t="n">
        <v>8</v>
      </c>
      <c r="D1262" s="25" t="inlineStr">
        <is>
          <t>Payout</t>
        </is>
      </c>
      <c r="E1262" s="13" t="inlineStr">
        <is>
          <t>Instant Funding</t>
        </is>
      </c>
      <c r="F1262" s="13" t="inlineStr">
        <is>
          <t>#47 Instant-Direct 120k</t>
        </is>
      </c>
      <c r="G1262" s="17" t="n">
        <v>120000</v>
      </c>
      <c r="H1262" s="17" t="n">
        <v>9600</v>
      </c>
      <c r="I1262" s="17" t="n">
        <v>6014563.15</v>
      </c>
      <c r="J1262" s="13" t="inlineStr">
        <is>
          <t>10 % × 120,000 × split 80%</t>
        </is>
      </c>
    </row>
    <row r="1263">
      <c r="A1263" s="19" t="n">
        <v>1262</v>
      </c>
      <c r="B1263" s="20" t="n">
        <v>46520</v>
      </c>
      <c r="C1263" s="21" t="n">
        <v>8</v>
      </c>
      <c r="D1263" s="25" t="inlineStr">
        <is>
          <t>Payout</t>
        </is>
      </c>
      <c r="E1263" s="19" t="inlineStr">
        <is>
          <t>Instant Funding</t>
        </is>
      </c>
      <c r="F1263" s="19" t="inlineStr">
        <is>
          <t>#48 Instant-Direct 120k</t>
        </is>
      </c>
      <c r="G1263" s="22" t="n">
        <v>120000</v>
      </c>
      <c r="H1263" s="22" t="n">
        <v>9600</v>
      </c>
      <c r="I1263" s="22" t="n">
        <v>6024163.15</v>
      </c>
      <c r="J1263" s="19" t="inlineStr">
        <is>
          <t>10 % × 120,000 × split 80%</t>
        </is>
      </c>
    </row>
    <row r="1264">
      <c r="A1264" s="13" t="n">
        <v>1263</v>
      </c>
      <c r="B1264" s="14" t="n">
        <v>46520</v>
      </c>
      <c r="C1264" s="15" t="n">
        <v>8</v>
      </c>
      <c r="D1264" s="25" t="inlineStr">
        <is>
          <t>Payout</t>
        </is>
      </c>
      <c r="E1264" s="13" t="inlineStr">
        <is>
          <t>Audacity Capital</t>
        </is>
      </c>
      <c r="F1264" s="13" t="inlineStr">
        <is>
          <t>#49 Instant-Direct 50k</t>
        </is>
      </c>
      <c r="G1264" s="17" t="n">
        <v>50000</v>
      </c>
      <c r="H1264" s="17" t="n">
        <v>4500</v>
      </c>
      <c r="I1264" s="17" t="n">
        <v>6028663.15</v>
      </c>
      <c r="J1264" s="13" t="inlineStr">
        <is>
          <t>10 % × 50,000 × split 90%</t>
        </is>
      </c>
    </row>
    <row r="1265">
      <c r="A1265" s="19" t="n">
        <v>1264</v>
      </c>
      <c r="B1265" s="20" t="n">
        <v>46520</v>
      </c>
      <c r="C1265" s="21" t="n">
        <v>8</v>
      </c>
      <c r="D1265" s="25" t="inlineStr">
        <is>
          <t>Payout</t>
        </is>
      </c>
      <c r="E1265" s="19" t="inlineStr">
        <is>
          <t>Crypto Fund Trader</t>
        </is>
      </c>
      <c r="F1265" s="19" t="inlineStr">
        <is>
          <t>#50 Instant-Direct 10k</t>
        </is>
      </c>
      <c r="G1265" s="22" t="n">
        <v>10000</v>
      </c>
      <c r="H1265" s="22" t="n">
        <v>800</v>
      </c>
      <c r="I1265" s="22" t="n">
        <v>6029463.15</v>
      </c>
      <c r="J1265" s="19" t="inlineStr">
        <is>
          <t>10 % × 10,000 × split 80%</t>
        </is>
      </c>
    </row>
    <row r="1266">
      <c r="A1266" s="13" t="n">
        <v>1265</v>
      </c>
      <c r="B1266" s="14" t="n">
        <v>46520</v>
      </c>
      <c r="C1266" s="15" t="n">
        <v>8</v>
      </c>
      <c r="D1266" s="25" t="inlineStr">
        <is>
          <t>Payout</t>
        </is>
      </c>
      <c r="E1266" s="13" t="inlineStr">
        <is>
          <t>Instant Funding</t>
        </is>
      </c>
      <c r="F1266" s="13" t="inlineStr">
        <is>
          <t>#51 Instant-Direct 120k</t>
        </is>
      </c>
      <c r="G1266" s="17" t="n">
        <v>120000</v>
      </c>
      <c r="H1266" s="17" t="n">
        <v>9600</v>
      </c>
      <c r="I1266" s="17" t="n">
        <v>6039063.15</v>
      </c>
      <c r="J1266" s="13" t="inlineStr">
        <is>
          <t>10 % × 120,000 × split 80%</t>
        </is>
      </c>
    </row>
    <row r="1267">
      <c r="A1267" s="19" t="n">
        <v>1266</v>
      </c>
      <c r="B1267" s="20" t="n">
        <v>46520</v>
      </c>
      <c r="C1267" s="21" t="n">
        <v>8</v>
      </c>
      <c r="D1267" s="25" t="inlineStr">
        <is>
          <t>Payout</t>
        </is>
      </c>
      <c r="E1267" s="19" t="inlineStr">
        <is>
          <t>Instant Funding</t>
        </is>
      </c>
      <c r="F1267" s="19" t="inlineStr">
        <is>
          <t>#52 Instant-Direct 120k</t>
        </is>
      </c>
      <c r="G1267" s="22" t="n">
        <v>120000</v>
      </c>
      <c r="H1267" s="22" t="n">
        <v>9600</v>
      </c>
      <c r="I1267" s="22" t="n">
        <v>6048663.15</v>
      </c>
      <c r="J1267" s="19" t="inlineStr">
        <is>
          <t>10 % × 120,000 × split 80%</t>
        </is>
      </c>
    </row>
    <row r="1268">
      <c r="A1268" s="13" t="n">
        <v>1267</v>
      </c>
      <c r="B1268" s="14" t="n">
        <v>46520</v>
      </c>
      <c r="C1268" s="15" t="n">
        <v>8</v>
      </c>
      <c r="D1268" s="25" t="inlineStr">
        <is>
          <t>Payout</t>
        </is>
      </c>
      <c r="E1268" s="13" t="inlineStr">
        <is>
          <t>Instant Funding</t>
        </is>
      </c>
      <c r="F1268" s="13" t="inlineStr">
        <is>
          <t>#53 Instant-Direct 120k</t>
        </is>
      </c>
      <c r="G1268" s="17" t="n">
        <v>120000</v>
      </c>
      <c r="H1268" s="17" t="n">
        <v>9600</v>
      </c>
      <c r="I1268" s="17" t="n">
        <v>6058263.15</v>
      </c>
      <c r="J1268" s="13" t="inlineStr">
        <is>
          <t>10 % × 120,000 × split 80%</t>
        </is>
      </c>
    </row>
    <row r="1269">
      <c r="A1269" s="19" t="n">
        <v>1268</v>
      </c>
      <c r="B1269" s="20" t="n">
        <v>46520</v>
      </c>
      <c r="C1269" s="21" t="n">
        <v>8</v>
      </c>
      <c r="D1269" s="25" t="inlineStr">
        <is>
          <t>Payout</t>
        </is>
      </c>
      <c r="E1269" s="19" t="inlineStr">
        <is>
          <t>Instant Funding</t>
        </is>
      </c>
      <c r="F1269" s="19" t="inlineStr">
        <is>
          <t>#54 Instant-Direct 120k</t>
        </is>
      </c>
      <c r="G1269" s="22" t="n">
        <v>120000</v>
      </c>
      <c r="H1269" s="22" t="n">
        <v>9600</v>
      </c>
      <c r="I1269" s="22" t="n">
        <v>6067863.15</v>
      </c>
      <c r="J1269" s="19" t="inlineStr">
        <is>
          <t>10 % × 120,000 × split 80%</t>
        </is>
      </c>
    </row>
    <row r="1270">
      <c r="A1270" s="13" t="n">
        <v>1269</v>
      </c>
      <c r="B1270" s="14" t="n">
        <v>46520</v>
      </c>
      <c r="C1270" s="15" t="n">
        <v>8</v>
      </c>
      <c r="D1270" s="25" t="inlineStr">
        <is>
          <t>Payout</t>
        </is>
      </c>
      <c r="E1270" s="13" t="inlineStr">
        <is>
          <t>Instant Funding</t>
        </is>
      </c>
      <c r="F1270" s="13" t="inlineStr">
        <is>
          <t>#55 Instant-Direct 120k</t>
        </is>
      </c>
      <c r="G1270" s="17" t="n">
        <v>120000</v>
      </c>
      <c r="H1270" s="17" t="n">
        <v>9600</v>
      </c>
      <c r="I1270" s="17" t="n">
        <v>6077463.15</v>
      </c>
      <c r="J1270" s="13" t="inlineStr">
        <is>
          <t>10 % × 120,000 × split 80%</t>
        </is>
      </c>
    </row>
    <row r="1271">
      <c r="A1271" s="19" t="n">
        <v>1270</v>
      </c>
      <c r="B1271" s="20" t="n">
        <v>46520</v>
      </c>
      <c r="C1271" s="21" t="n">
        <v>8</v>
      </c>
      <c r="D1271" s="25" t="inlineStr">
        <is>
          <t>Payout</t>
        </is>
      </c>
      <c r="E1271" s="19" t="inlineStr">
        <is>
          <t>Kickstart Trading</t>
        </is>
      </c>
      <c r="F1271" s="19" t="inlineStr">
        <is>
          <t>#56 Instant-Direct 100k</t>
        </is>
      </c>
      <c r="G1271" s="22" t="n">
        <v>100000</v>
      </c>
      <c r="H1271" s="22" t="n">
        <v>8000</v>
      </c>
      <c r="I1271" s="22" t="n">
        <v>6085463.15</v>
      </c>
      <c r="J1271" s="19" t="inlineStr">
        <is>
          <t>10 % × 100,000 × split 80%</t>
        </is>
      </c>
    </row>
    <row r="1272">
      <c r="A1272" s="13" t="n">
        <v>1271</v>
      </c>
      <c r="B1272" s="14" t="n">
        <v>46520</v>
      </c>
      <c r="C1272" s="15" t="n">
        <v>8</v>
      </c>
      <c r="D1272" s="25" t="inlineStr">
        <is>
          <t>Payout</t>
        </is>
      </c>
      <c r="E1272" s="13" t="inlineStr">
        <is>
          <t>Kickstart Trading</t>
        </is>
      </c>
      <c r="F1272" s="13" t="inlineStr">
        <is>
          <t>#57 Instant-Direct 100k</t>
        </is>
      </c>
      <c r="G1272" s="17" t="n">
        <v>100000</v>
      </c>
      <c r="H1272" s="17" t="n">
        <v>8000</v>
      </c>
      <c r="I1272" s="17" t="n">
        <v>6093463.15</v>
      </c>
      <c r="J1272" s="13" t="inlineStr">
        <is>
          <t>10 % × 100,000 × split 80%</t>
        </is>
      </c>
    </row>
    <row r="1273">
      <c r="A1273" s="19" t="n">
        <v>1272</v>
      </c>
      <c r="B1273" s="20" t="n">
        <v>46520</v>
      </c>
      <c r="C1273" s="21" t="n">
        <v>8</v>
      </c>
      <c r="D1273" s="25" t="inlineStr">
        <is>
          <t>Payout</t>
        </is>
      </c>
      <c r="E1273" s="19" t="inlineStr">
        <is>
          <t>Kickstart Trading</t>
        </is>
      </c>
      <c r="F1273" s="19" t="inlineStr">
        <is>
          <t>#58 Instant-Direct 100k</t>
        </is>
      </c>
      <c r="G1273" s="22" t="n">
        <v>100000</v>
      </c>
      <c r="H1273" s="22" t="n">
        <v>8000</v>
      </c>
      <c r="I1273" s="22" t="n">
        <v>6101463.15</v>
      </c>
      <c r="J1273" s="19" t="inlineStr">
        <is>
          <t>10 % × 100,000 × split 80%</t>
        </is>
      </c>
    </row>
    <row r="1274">
      <c r="A1274" s="13" t="n">
        <v>1273</v>
      </c>
      <c r="B1274" s="14" t="n">
        <v>46520</v>
      </c>
      <c r="C1274" s="15" t="n">
        <v>8</v>
      </c>
      <c r="D1274" s="25" t="inlineStr">
        <is>
          <t>Payout</t>
        </is>
      </c>
      <c r="E1274" s="13" t="inlineStr">
        <is>
          <t>Kickstart Trading</t>
        </is>
      </c>
      <c r="F1274" s="13" t="inlineStr">
        <is>
          <t>#59 Instant-Direct 100k</t>
        </is>
      </c>
      <c r="G1274" s="17" t="n">
        <v>100000</v>
      </c>
      <c r="H1274" s="17" t="n">
        <v>8000</v>
      </c>
      <c r="I1274" s="17" t="n">
        <v>6109463.15</v>
      </c>
      <c r="J1274" s="13" t="inlineStr">
        <is>
          <t>10 % × 100,000 × split 80%</t>
        </is>
      </c>
    </row>
    <row r="1275">
      <c r="A1275" s="19" t="n">
        <v>1274</v>
      </c>
      <c r="B1275" s="20" t="n">
        <v>46520</v>
      </c>
      <c r="C1275" s="21" t="n">
        <v>8</v>
      </c>
      <c r="D1275" s="25" t="inlineStr">
        <is>
          <t>Payout</t>
        </is>
      </c>
      <c r="E1275" s="19" t="inlineStr">
        <is>
          <t>Kickstart Trading</t>
        </is>
      </c>
      <c r="F1275" s="19" t="inlineStr">
        <is>
          <t>#60 Instant-Direct 100k</t>
        </is>
      </c>
      <c r="G1275" s="22" t="n">
        <v>100000</v>
      </c>
      <c r="H1275" s="22" t="n">
        <v>8000</v>
      </c>
      <c r="I1275" s="22" t="n">
        <v>6117463.15</v>
      </c>
      <c r="J1275" s="19" t="inlineStr">
        <is>
          <t>10 % × 100,000 × split 80%</t>
        </is>
      </c>
    </row>
    <row r="1276">
      <c r="A1276" s="13" t="n">
        <v>1275</v>
      </c>
      <c r="B1276" s="14" t="n">
        <v>46520</v>
      </c>
      <c r="C1276" s="15" t="n">
        <v>8</v>
      </c>
      <c r="D1276" s="25" t="inlineStr">
        <is>
          <t>Payout</t>
        </is>
      </c>
      <c r="E1276" s="13" t="inlineStr">
        <is>
          <t>Kickstart Trading</t>
        </is>
      </c>
      <c r="F1276" s="13" t="inlineStr">
        <is>
          <t>#61 Instant-Direct 100k</t>
        </is>
      </c>
      <c r="G1276" s="17" t="n">
        <v>100000</v>
      </c>
      <c r="H1276" s="17" t="n">
        <v>8000</v>
      </c>
      <c r="I1276" s="17" t="n">
        <v>6125463.15</v>
      </c>
      <c r="J1276" s="13" t="inlineStr">
        <is>
          <t>10 % × 100,000 × split 80%</t>
        </is>
      </c>
    </row>
    <row r="1277">
      <c r="A1277" s="19" t="n">
        <v>1276</v>
      </c>
      <c r="B1277" s="20" t="n">
        <v>46520</v>
      </c>
      <c r="C1277" s="21" t="n">
        <v>8</v>
      </c>
      <c r="D1277" s="25" t="inlineStr">
        <is>
          <t>Payout</t>
        </is>
      </c>
      <c r="E1277" s="19" t="inlineStr">
        <is>
          <t>Kickstart Trading</t>
        </is>
      </c>
      <c r="F1277" s="19" t="inlineStr">
        <is>
          <t>#62 Instant-Direct 100k</t>
        </is>
      </c>
      <c r="G1277" s="22" t="n">
        <v>100000</v>
      </c>
      <c r="H1277" s="22" t="n">
        <v>8000</v>
      </c>
      <c r="I1277" s="22" t="n">
        <v>6133463.15</v>
      </c>
      <c r="J1277" s="19" t="inlineStr">
        <is>
          <t>10 % × 100,000 × split 80%</t>
        </is>
      </c>
    </row>
    <row r="1278">
      <c r="A1278" s="13" t="n">
        <v>1277</v>
      </c>
      <c r="B1278" s="14" t="n">
        <v>46520</v>
      </c>
      <c r="C1278" s="15" t="n">
        <v>8</v>
      </c>
      <c r="D1278" s="25" t="inlineStr">
        <is>
          <t>Payout</t>
        </is>
      </c>
      <c r="E1278" s="13" t="inlineStr">
        <is>
          <t>Kickstart Trading</t>
        </is>
      </c>
      <c r="F1278" s="13" t="inlineStr">
        <is>
          <t>#63 Instant-Direct 100k</t>
        </is>
      </c>
      <c r="G1278" s="17" t="n">
        <v>100000</v>
      </c>
      <c r="H1278" s="17" t="n">
        <v>8000</v>
      </c>
      <c r="I1278" s="17" t="n">
        <v>6141463.15</v>
      </c>
      <c r="J1278" s="13" t="inlineStr">
        <is>
          <t>10 % × 100,000 × split 80%</t>
        </is>
      </c>
    </row>
    <row r="1279">
      <c r="A1279" s="19" t="n">
        <v>1278</v>
      </c>
      <c r="B1279" s="20" t="n">
        <v>46520</v>
      </c>
      <c r="C1279" s="21" t="n">
        <v>8</v>
      </c>
      <c r="D1279" s="25" t="inlineStr">
        <is>
          <t>Payout</t>
        </is>
      </c>
      <c r="E1279" s="19" t="inlineStr">
        <is>
          <t>Kickstart Trading</t>
        </is>
      </c>
      <c r="F1279" s="19" t="inlineStr">
        <is>
          <t>#64 Instant-Direct 100k</t>
        </is>
      </c>
      <c r="G1279" s="22" t="n">
        <v>100000</v>
      </c>
      <c r="H1279" s="22" t="n">
        <v>8000</v>
      </c>
      <c r="I1279" s="22" t="n">
        <v>6149463.15</v>
      </c>
      <c r="J1279" s="19" t="inlineStr">
        <is>
          <t>10 % × 100,000 × split 80%</t>
        </is>
      </c>
    </row>
    <row r="1280">
      <c r="A1280" s="13" t="n">
        <v>1279</v>
      </c>
      <c r="B1280" s="14" t="n">
        <v>46520</v>
      </c>
      <c r="C1280" s="15" t="n">
        <v>8</v>
      </c>
      <c r="D1280" s="25" t="inlineStr">
        <is>
          <t>Payout</t>
        </is>
      </c>
      <c r="E1280" s="13" t="inlineStr">
        <is>
          <t>Kickstart Trading</t>
        </is>
      </c>
      <c r="F1280" s="13" t="inlineStr">
        <is>
          <t>#65 Instant-Direct 100k</t>
        </is>
      </c>
      <c r="G1280" s="17" t="n">
        <v>100000</v>
      </c>
      <c r="H1280" s="17" t="n">
        <v>8000</v>
      </c>
      <c r="I1280" s="17" t="n">
        <v>6157463.15</v>
      </c>
      <c r="J1280" s="13" t="inlineStr">
        <is>
          <t>10 % × 100,000 × split 80%</t>
        </is>
      </c>
    </row>
    <row r="1281">
      <c r="A1281" s="19" t="n">
        <v>1280</v>
      </c>
      <c r="B1281" s="20" t="n">
        <v>46520</v>
      </c>
      <c r="C1281" s="21" t="n">
        <v>8</v>
      </c>
      <c r="D1281" s="25" t="inlineStr">
        <is>
          <t>Payout</t>
        </is>
      </c>
      <c r="E1281" s="19" t="inlineStr">
        <is>
          <t>Audacity Capital</t>
        </is>
      </c>
      <c r="F1281" s="19" t="inlineStr">
        <is>
          <t>#66 Instant-Direct 50k</t>
        </is>
      </c>
      <c r="G1281" s="22" t="n">
        <v>50000</v>
      </c>
      <c r="H1281" s="22" t="n">
        <v>4500</v>
      </c>
      <c r="I1281" s="22" t="n">
        <v>6161963.15</v>
      </c>
      <c r="J1281" s="19" t="inlineStr">
        <is>
          <t>10 % × 50,000 × split 90%</t>
        </is>
      </c>
    </row>
    <row r="1282">
      <c r="A1282" s="13" t="n">
        <v>1281</v>
      </c>
      <c r="B1282" s="14" t="n">
        <v>46520</v>
      </c>
      <c r="C1282" s="15" t="n">
        <v>8</v>
      </c>
      <c r="D1282" s="25" t="inlineStr">
        <is>
          <t>Payout</t>
        </is>
      </c>
      <c r="E1282" s="13" t="inlineStr">
        <is>
          <t>Audacity Capital</t>
        </is>
      </c>
      <c r="F1282" s="13" t="inlineStr">
        <is>
          <t>#67 Instant-Direct 50k</t>
        </is>
      </c>
      <c r="G1282" s="17" t="n">
        <v>50000</v>
      </c>
      <c r="H1282" s="17" t="n">
        <v>4500</v>
      </c>
      <c r="I1282" s="17" t="n">
        <v>6166463.15</v>
      </c>
      <c r="J1282" s="13" t="inlineStr">
        <is>
          <t>10 % × 50,000 × split 90%</t>
        </is>
      </c>
    </row>
    <row r="1283">
      <c r="A1283" s="19" t="n">
        <v>1282</v>
      </c>
      <c r="B1283" s="20" t="n">
        <v>46520</v>
      </c>
      <c r="C1283" s="21" t="n">
        <v>8</v>
      </c>
      <c r="D1283" s="25" t="inlineStr">
        <is>
          <t>Payout</t>
        </is>
      </c>
      <c r="E1283" s="19" t="inlineStr">
        <is>
          <t>Audacity Capital</t>
        </is>
      </c>
      <c r="F1283" s="19" t="inlineStr">
        <is>
          <t>#68 Instant-Direct 50k</t>
        </is>
      </c>
      <c r="G1283" s="22" t="n">
        <v>50000</v>
      </c>
      <c r="H1283" s="22" t="n">
        <v>4500</v>
      </c>
      <c r="I1283" s="22" t="n">
        <v>6170963.15</v>
      </c>
      <c r="J1283" s="19" t="inlineStr">
        <is>
          <t>10 % × 50,000 × split 90%</t>
        </is>
      </c>
    </row>
    <row r="1284">
      <c r="A1284" s="13" t="n">
        <v>1283</v>
      </c>
      <c r="B1284" s="14" t="n">
        <v>46520</v>
      </c>
      <c r="C1284" s="15" t="n">
        <v>8</v>
      </c>
      <c r="D1284" s="25" t="inlineStr">
        <is>
          <t>Payout</t>
        </is>
      </c>
      <c r="E1284" s="13" t="inlineStr">
        <is>
          <t>Audacity Capital</t>
        </is>
      </c>
      <c r="F1284" s="13" t="inlineStr">
        <is>
          <t>#69 Instant-Direct 50k</t>
        </is>
      </c>
      <c r="G1284" s="17" t="n">
        <v>50000</v>
      </c>
      <c r="H1284" s="17" t="n">
        <v>4500</v>
      </c>
      <c r="I1284" s="17" t="n">
        <v>6175463.15</v>
      </c>
      <c r="J1284" s="13" t="inlineStr">
        <is>
          <t>10 % × 50,000 × split 90%</t>
        </is>
      </c>
    </row>
    <row r="1285">
      <c r="A1285" s="19" t="n">
        <v>1284</v>
      </c>
      <c r="B1285" s="20" t="n">
        <v>46520</v>
      </c>
      <c r="C1285" s="21" t="n">
        <v>8</v>
      </c>
      <c r="D1285" s="25" t="inlineStr">
        <is>
          <t>Payout</t>
        </is>
      </c>
      <c r="E1285" s="19" t="inlineStr">
        <is>
          <t>Audacity Capital</t>
        </is>
      </c>
      <c r="F1285" s="19" t="inlineStr">
        <is>
          <t>#70 Instant-Direct 50k</t>
        </is>
      </c>
      <c r="G1285" s="22" t="n">
        <v>50000</v>
      </c>
      <c r="H1285" s="22" t="n">
        <v>4500</v>
      </c>
      <c r="I1285" s="22" t="n">
        <v>6179963.15</v>
      </c>
      <c r="J1285" s="19" t="inlineStr">
        <is>
          <t>10 % × 50,000 × split 90%</t>
        </is>
      </c>
    </row>
    <row r="1286">
      <c r="A1286" s="13" t="n">
        <v>1285</v>
      </c>
      <c r="B1286" s="14" t="n">
        <v>46520</v>
      </c>
      <c r="C1286" s="15" t="n">
        <v>8</v>
      </c>
      <c r="D1286" s="25" t="inlineStr">
        <is>
          <t>Payout</t>
        </is>
      </c>
      <c r="E1286" s="13" t="inlineStr">
        <is>
          <t>Audacity Capital</t>
        </is>
      </c>
      <c r="F1286" s="13" t="inlineStr">
        <is>
          <t>#71 Instant-Direct 50k</t>
        </is>
      </c>
      <c r="G1286" s="17" t="n">
        <v>50000</v>
      </c>
      <c r="H1286" s="17" t="n">
        <v>4500</v>
      </c>
      <c r="I1286" s="17" t="n">
        <v>6184463.15</v>
      </c>
      <c r="J1286" s="13" t="inlineStr">
        <is>
          <t>10 % × 50,000 × split 90%</t>
        </is>
      </c>
    </row>
    <row r="1287">
      <c r="A1287" s="19" t="n">
        <v>1286</v>
      </c>
      <c r="B1287" s="20" t="n">
        <v>46520</v>
      </c>
      <c r="C1287" s="21" t="n">
        <v>8</v>
      </c>
      <c r="D1287" s="25" t="inlineStr">
        <is>
          <t>Payout</t>
        </is>
      </c>
      <c r="E1287" s="19" t="inlineStr">
        <is>
          <t>Audacity Capital</t>
        </is>
      </c>
      <c r="F1287" s="19" t="inlineStr">
        <is>
          <t>#72 Instant-Direct 50k</t>
        </is>
      </c>
      <c r="G1287" s="22" t="n">
        <v>50000</v>
      </c>
      <c r="H1287" s="22" t="n">
        <v>4500</v>
      </c>
      <c r="I1287" s="22" t="n">
        <v>6188963.15</v>
      </c>
      <c r="J1287" s="19" t="inlineStr">
        <is>
          <t>10 % × 50,000 × split 90%</t>
        </is>
      </c>
    </row>
    <row r="1288">
      <c r="A1288" s="13" t="n">
        <v>1287</v>
      </c>
      <c r="B1288" s="14" t="n">
        <v>46520</v>
      </c>
      <c r="C1288" s="15" t="n">
        <v>8</v>
      </c>
      <c r="D1288" s="25" t="inlineStr">
        <is>
          <t>Payout</t>
        </is>
      </c>
      <c r="E1288" s="13" t="inlineStr">
        <is>
          <t>Audacity Capital</t>
        </is>
      </c>
      <c r="F1288" s="13" t="inlineStr">
        <is>
          <t>#73 Instant-Direct 50k</t>
        </is>
      </c>
      <c r="G1288" s="17" t="n">
        <v>50000</v>
      </c>
      <c r="H1288" s="17" t="n">
        <v>4500</v>
      </c>
      <c r="I1288" s="17" t="n">
        <v>6193463.15</v>
      </c>
      <c r="J1288" s="13" t="inlineStr">
        <is>
          <t>10 % × 50,000 × split 90%</t>
        </is>
      </c>
    </row>
    <row r="1289">
      <c r="A1289" s="19" t="n">
        <v>1288</v>
      </c>
      <c r="B1289" s="20" t="n">
        <v>46520</v>
      </c>
      <c r="C1289" s="21" t="n">
        <v>8</v>
      </c>
      <c r="D1289" s="25" t="inlineStr">
        <is>
          <t>Payout</t>
        </is>
      </c>
      <c r="E1289" s="19" t="inlineStr">
        <is>
          <t>Audacity Capital</t>
        </is>
      </c>
      <c r="F1289" s="19" t="inlineStr">
        <is>
          <t>#74 Instant-Direct 50k</t>
        </is>
      </c>
      <c r="G1289" s="22" t="n">
        <v>50000</v>
      </c>
      <c r="H1289" s="22" t="n">
        <v>4500</v>
      </c>
      <c r="I1289" s="22" t="n">
        <v>6197963.15</v>
      </c>
      <c r="J1289" s="19" t="inlineStr">
        <is>
          <t>10 % × 50,000 × split 90%</t>
        </is>
      </c>
    </row>
    <row r="1290">
      <c r="A1290" s="13" t="n">
        <v>1289</v>
      </c>
      <c r="B1290" s="14" t="n">
        <v>46520</v>
      </c>
      <c r="C1290" s="15" t="n">
        <v>8</v>
      </c>
      <c r="D1290" s="25" t="inlineStr">
        <is>
          <t>Payout</t>
        </is>
      </c>
      <c r="E1290" s="13" t="inlineStr">
        <is>
          <t>Audacity Capital</t>
        </is>
      </c>
      <c r="F1290" s="13" t="inlineStr">
        <is>
          <t>#75 Instant-Direct 50k</t>
        </is>
      </c>
      <c r="G1290" s="17" t="n">
        <v>50000</v>
      </c>
      <c r="H1290" s="17" t="n">
        <v>4500</v>
      </c>
      <c r="I1290" s="17" t="n">
        <v>6202463.15</v>
      </c>
      <c r="J1290" s="13" t="inlineStr">
        <is>
          <t>10 % × 50,000 × split 90%</t>
        </is>
      </c>
    </row>
    <row r="1291">
      <c r="A1291" s="19" t="n">
        <v>1290</v>
      </c>
      <c r="B1291" s="20" t="n">
        <v>46520</v>
      </c>
      <c r="C1291" s="21" t="n">
        <v>8</v>
      </c>
      <c r="D1291" s="25" t="inlineStr">
        <is>
          <t>Payout</t>
        </is>
      </c>
      <c r="E1291" s="19" t="inlineStr">
        <is>
          <t>Audacity Capital</t>
        </is>
      </c>
      <c r="F1291" s="19" t="inlineStr">
        <is>
          <t>#76 Instant-Direct 50k</t>
        </is>
      </c>
      <c r="G1291" s="22" t="n">
        <v>50000</v>
      </c>
      <c r="H1291" s="22" t="n">
        <v>4500</v>
      </c>
      <c r="I1291" s="22" t="n">
        <v>6206963.15</v>
      </c>
      <c r="J1291" s="19" t="inlineStr">
        <is>
          <t>10 % × 50,000 × split 90%</t>
        </is>
      </c>
    </row>
    <row r="1292">
      <c r="A1292" s="13" t="n">
        <v>1291</v>
      </c>
      <c r="B1292" s="14" t="n">
        <v>46520</v>
      </c>
      <c r="C1292" s="15" t="n">
        <v>8</v>
      </c>
      <c r="D1292" s="25" t="inlineStr">
        <is>
          <t>Payout</t>
        </is>
      </c>
      <c r="E1292" s="13" t="inlineStr">
        <is>
          <t>Audacity Capital</t>
        </is>
      </c>
      <c r="F1292" s="13" t="inlineStr">
        <is>
          <t>#77 Instant-Direct 50k</t>
        </is>
      </c>
      <c r="G1292" s="17" t="n">
        <v>50000</v>
      </c>
      <c r="H1292" s="17" t="n">
        <v>4500</v>
      </c>
      <c r="I1292" s="17" t="n">
        <v>6211463.15</v>
      </c>
      <c r="J1292" s="13" t="inlineStr">
        <is>
          <t>10 % × 50,000 × split 90%</t>
        </is>
      </c>
    </row>
    <row r="1293">
      <c r="A1293" s="19" t="n">
        <v>1292</v>
      </c>
      <c r="B1293" s="20" t="n">
        <v>46520</v>
      </c>
      <c r="C1293" s="21" t="n">
        <v>8</v>
      </c>
      <c r="D1293" s="25" t="inlineStr">
        <is>
          <t>Payout</t>
        </is>
      </c>
      <c r="E1293" s="19" t="inlineStr">
        <is>
          <t>Audacity Capital</t>
        </is>
      </c>
      <c r="F1293" s="19" t="inlineStr">
        <is>
          <t>#78 Instant-Direct 50k</t>
        </is>
      </c>
      <c r="G1293" s="22" t="n">
        <v>50000</v>
      </c>
      <c r="H1293" s="22" t="n">
        <v>4500</v>
      </c>
      <c r="I1293" s="22" t="n">
        <v>6215963.15</v>
      </c>
      <c r="J1293" s="19" t="inlineStr">
        <is>
          <t>10 % × 50,000 × split 90%</t>
        </is>
      </c>
    </row>
    <row r="1294">
      <c r="A1294" s="13" t="n">
        <v>1293</v>
      </c>
      <c r="B1294" s="14" t="n">
        <v>46520</v>
      </c>
      <c r="C1294" s="15" t="n">
        <v>8</v>
      </c>
      <c r="D1294" s="25" t="inlineStr">
        <is>
          <t>Payout</t>
        </is>
      </c>
      <c r="E1294" s="13" t="inlineStr">
        <is>
          <t>Fill88</t>
        </is>
      </c>
      <c r="F1294" s="13" t="inlineStr">
        <is>
          <t>#79 Instant-Direct 100k</t>
        </is>
      </c>
      <c r="G1294" s="17" t="n">
        <v>100000</v>
      </c>
      <c r="H1294" s="17" t="n">
        <v>8000</v>
      </c>
      <c r="I1294" s="17" t="n">
        <v>6223963.15</v>
      </c>
      <c r="J1294" s="13" t="inlineStr">
        <is>
          <t>10 % × 100,000 × split 80%</t>
        </is>
      </c>
    </row>
    <row r="1295">
      <c r="A1295" s="19" t="n">
        <v>1294</v>
      </c>
      <c r="B1295" s="20" t="n">
        <v>46520</v>
      </c>
      <c r="C1295" s="21" t="n">
        <v>8</v>
      </c>
      <c r="D1295" s="25" t="inlineStr">
        <is>
          <t>Payout</t>
        </is>
      </c>
      <c r="E1295" s="19" t="inlineStr">
        <is>
          <t>Fill88</t>
        </is>
      </c>
      <c r="F1295" s="19" t="inlineStr">
        <is>
          <t>#80 Instant-Direct 100k</t>
        </is>
      </c>
      <c r="G1295" s="22" t="n">
        <v>100000</v>
      </c>
      <c r="H1295" s="22" t="n">
        <v>8000</v>
      </c>
      <c r="I1295" s="22" t="n">
        <v>6231963.15</v>
      </c>
      <c r="J1295" s="19" t="inlineStr">
        <is>
          <t>10 % × 100,000 × split 80%</t>
        </is>
      </c>
    </row>
    <row r="1296">
      <c r="A1296" s="13" t="n">
        <v>1295</v>
      </c>
      <c r="B1296" s="14" t="n">
        <v>46520</v>
      </c>
      <c r="C1296" s="15" t="n">
        <v>8</v>
      </c>
      <c r="D1296" s="25" t="inlineStr">
        <is>
          <t>Payout</t>
        </is>
      </c>
      <c r="E1296" s="13" t="inlineStr">
        <is>
          <t>Fill88</t>
        </is>
      </c>
      <c r="F1296" s="13" t="inlineStr">
        <is>
          <t>#81 Instant-Direct 100k</t>
        </is>
      </c>
      <c r="G1296" s="17" t="n">
        <v>100000</v>
      </c>
      <c r="H1296" s="17" t="n">
        <v>8000</v>
      </c>
      <c r="I1296" s="17" t="n">
        <v>6239963.15</v>
      </c>
      <c r="J1296" s="13" t="inlineStr">
        <is>
          <t>10 % × 100,000 × split 80%</t>
        </is>
      </c>
    </row>
    <row r="1297">
      <c r="A1297" s="19" t="n">
        <v>1296</v>
      </c>
      <c r="B1297" s="20" t="n">
        <v>46520</v>
      </c>
      <c r="C1297" s="21" t="n">
        <v>8</v>
      </c>
      <c r="D1297" s="25" t="inlineStr">
        <is>
          <t>Payout</t>
        </is>
      </c>
      <c r="E1297" s="19" t="inlineStr">
        <is>
          <t>Fill88</t>
        </is>
      </c>
      <c r="F1297" s="19" t="inlineStr">
        <is>
          <t>#82 Instant-Direct 100k</t>
        </is>
      </c>
      <c r="G1297" s="22" t="n">
        <v>100000</v>
      </c>
      <c r="H1297" s="22" t="n">
        <v>8000</v>
      </c>
      <c r="I1297" s="22" t="n">
        <v>6247963.15</v>
      </c>
      <c r="J1297" s="19" t="inlineStr">
        <is>
          <t>10 % × 100,000 × split 80%</t>
        </is>
      </c>
    </row>
    <row r="1298">
      <c r="A1298" s="13" t="n">
        <v>1297</v>
      </c>
      <c r="B1298" s="14" t="n">
        <v>46520</v>
      </c>
      <c r="C1298" s="15" t="n">
        <v>8</v>
      </c>
      <c r="D1298" s="25" t="inlineStr">
        <is>
          <t>Payout</t>
        </is>
      </c>
      <c r="E1298" s="13" t="inlineStr">
        <is>
          <t>Fill88</t>
        </is>
      </c>
      <c r="F1298" s="13" t="inlineStr">
        <is>
          <t>#83 Instant-Direct 100k</t>
        </is>
      </c>
      <c r="G1298" s="17" t="n">
        <v>100000</v>
      </c>
      <c r="H1298" s="17" t="n">
        <v>8000</v>
      </c>
      <c r="I1298" s="17" t="n">
        <v>6255963.15</v>
      </c>
      <c r="J1298" s="13" t="inlineStr">
        <is>
          <t>10 % × 100,000 × split 80%</t>
        </is>
      </c>
    </row>
    <row r="1299">
      <c r="A1299" s="19" t="n">
        <v>1298</v>
      </c>
      <c r="B1299" s="20" t="n">
        <v>46520</v>
      </c>
      <c r="C1299" s="21" t="n">
        <v>8</v>
      </c>
      <c r="D1299" s="25" t="inlineStr">
        <is>
          <t>Payout</t>
        </is>
      </c>
      <c r="E1299" s="19" t="inlineStr">
        <is>
          <t>Fill88</t>
        </is>
      </c>
      <c r="F1299" s="19" t="inlineStr">
        <is>
          <t>#84 Instant-Direct 100k</t>
        </is>
      </c>
      <c r="G1299" s="22" t="n">
        <v>100000</v>
      </c>
      <c r="H1299" s="22" t="n">
        <v>8000</v>
      </c>
      <c r="I1299" s="22" t="n">
        <v>6263963.15</v>
      </c>
      <c r="J1299" s="19" t="inlineStr">
        <is>
          <t>10 % × 100,000 × split 80%</t>
        </is>
      </c>
    </row>
    <row r="1300">
      <c r="A1300" s="13" t="n">
        <v>1299</v>
      </c>
      <c r="B1300" s="14" t="n">
        <v>46520</v>
      </c>
      <c r="C1300" s="15" t="n">
        <v>8</v>
      </c>
      <c r="D1300" s="25" t="inlineStr">
        <is>
          <t>Payout</t>
        </is>
      </c>
      <c r="E1300" s="13" t="inlineStr">
        <is>
          <t>Finotive Funding</t>
        </is>
      </c>
      <c r="F1300" s="13" t="inlineStr">
        <is>
          <t>#85 Instant-Direct 100k</t>
        </is>
      </c>
      <c r="G1300" s="17" t="n">
        <v>100000</v>
      </c>
      <c r="H1300" s="17" t="n">
        <v>7500</v>
      </c>
      <c r="I1300" s="17" t="n">
        <v>6271463.15</v>
      </c>
      <c r="J1300" s="13" t="inlineStr">
        <is>
          <t>10 % × 100,000 × split 75%</t>
        </is>
      </c>
    </row>
    <row r="1301">
      <c r="A1301" s="19" t="n">
        <v>1300</v>
      </c>
      <c r="B1301" s="20" t="n">
        <v>46520</v>
      </c>
      <c r="C1301" s="21" t="n">
        <v>8</v>
      </c>
      <c r="D1301" s="25" t="inlineStr">
        <is>
          <t>Payout</t>
        </is>
      </c>
      <c r="E1301" s="19" t="inlineStr">
        <is>
          <t>Finotive Funding</t>
        </is>
      </c>
      <c r="F1301" s="19" t="inlineStr">
        <is>
          <t>#86 Instant-Direct 100k</t>
        </is>
      </c>
      <c r="G1301" s="22" t="n">
        <v>100000</v>
      </c>
      <c r="H1301" s="22" t="n">
        <v>7500</v>
      </c>
      <c r="I1301" s="22" t="n">
        <v>6278963.15</v>
      </c>
      <c r="J1301" s="19" t="inlineStr">
        <is>
          <t>10 % × 100,000 × split 75%</t>
        </is>
      </c>
    </row>
    <row r="1302">
      <c r="A1302" s="13" t="n">
        <v>1301</v>
      </c>
      <c r="B1302" s="14" t="n">
        <v>46520</v>
      </c>
      <c r="C1302" s="15" t="n">
        <v>8</v>
      </c>
      <c r="D1302" s="25" t="inlineStr">
        <is>
          <t>Payout</t>
        </is>
      </c>
      <c r="E1302" s="13" t="inlineStr">
        <is>
          <t>Finotive Funding</t>
        </is>
      </c>
      <c r="F1302" s="13" t="inlineStr">
        <is>
          <t>#87 Instant-Direct 100k</t>
        </is>
      </c>
      <c r="G1302" s="17" t="n">
        <v>100000</v>
      </c>
      <c r="H1302" s="17" t="n">
        <v>7500</v>
      </c>
      <c r="I1302" s="17" t="n">
        <v>6286463.15</v>
      </c>
      <c r="J1302" s="13" t="inlineStr">
        <is>
          <t>10 % × 100,000 × split 75%</t>
        </is>
      </c>
    </row>
    <row r="1303">
      <c r="A1303" s="19" t="n">
        <v>1302</v>
      </c>
      <c r="B1303" s="20" t="n">
        <v>46520</v>
      </c>
      <c r="C1303" s="21" t="n">
        <v>8</v>
      </c>
      <c r="D1303" s="25" t="inlineStr">
        <is>
          <t>Payout</t>
        </is>
      </c>
      <c r="E1303" s="19" t="inlineStr">
        <is>
          <t>Finotive Funding</t>
        </is>
      </c>
      <c r="F1303" s="19" t="inlineStr">
        <is>
          <t>#88 Instant-Direct 100k</t>
        </is>
      </c>
      <c r="G1303" s="22" t="n">
        <v>100000</v>
      </c>
      <c r="H1303" s="22" t="n">
        <v>7500</v>
      </c>
      <c r="I1303" s="22" t="n">
        <v>6293963.15</v>
      </c>
      <c r="J1303" s="19" t="inlineStr">
        <is>
          <t>10 % × 100,000 × split 75%</t>
        </is>
      </c>
    </row>
    <row r="1304">
      <c r="A1304" s="13" t="n">
        <v>1303</v>
      </c>
      <c r="B1304" s="14" t="n">
        <v>46520</v>
      </c>
      <c r="C1304" s="15" t="n">
        <v>8</v>
      </c>
      <c r="D1304" s="25" t="inlineStr">
        <is>
          <t>Payout</t>
        </is>
      </c>
      <c r="E1304" s="13" t="inlineStr">
        <is>
          <t>Finotive Funding</t>
        </is>
      </c>
      <c r="F1304" s="13" t="inlineStr">
        <is>
          <t>#89 Instant-Direct 100k</t>
        </is>
      </c>
      <c r="G1304" s="17" t="n">
        <v>100000</v>
      </c>
      <c r="H1304" s="17" t="n">
        <v>7500</v>
      </c>
      <c r="I1304" s="17" t="n">
        <v>6301463.15</v>
      </c>
      <c r="J1304" s="13" t="inlineStr">
        <is>
          <t>10 % × 100,000 × split 75%</t>
        </is>
      </c>
    </row>
    <row r="1305">
      <c r="A1305" s="19" t="n">
        <v>1304</v>
      </c>
      <c r="B1305" s="20" t="n">
        <v>46520</v>
      </c>
      <c r="C1305" s="21" t="n">
        <v>8</v>
      </c>
      <c r="D1305" s="25" t="inlineStr">
        <is>
          <t>Payout</t>
        </is>
      </c>
      <c r="E1305" s="19" t="inlineStr">
        <is>
          <t>Finotive Funding</t>
        </is>
      </c>
      <c r="F1305" s="19" t="inlineStr">
        <is>
          <t>#90 Instant-Direct 100k</t>
        </is>
      </c>
      <c r="G1305" s="22" t="n">
        <v>100000</v>
      </c>
      <c r="H1305" s="22" t="n">
        <v>7500</v>
      </c>
      <c r="I1305" s="22" t="n">
        <v>6308963.15</v>
      </c>
      <c r="J1305" s="19" t="inlineStr">
        <is>
          <t>10 % × 100,000 × split 75%</t>
        </is>
      </c>
    </row>
    <row r="1306">
      <c r="A1306" s="13" t="n">
        <v>1305</v>
      </c>
      <c r="B1306" s="14" t="n">
        <v>46520</v>
      </c>
      <c r="C1306" s="15" t="n">
        <v>8</v>
      </c>
      <c r="D1306" s="25" t="inlineStr">
        <is>
          <t>Payout</t>
        </is>
      </c>
      <c r="E1306" s="13" t="inlineStr">
        <is>
          <t>FNC Funding</t>
        </is>
      </c>
      <c r="F1306" s="13" t="inlineStr">
        <is>
          <t>#91 Instant-Direct 100k</t>
        </is>
      </c>
      <c r="G1306" s="17" t="n">
        <v>100000</v>
      </c>
      <c r="H1306" s="17" t="n">
        <v>7500</v>
      </c>
      <c r="I1306" s="17" t="n">
        <v>6316463.15</v>
      </c>
      <c r="J1306" s="13" t="inlineStr">
        <is>
          <t>10 % × 100,000 × split 75%</t>
        </is>
      </c>
    </row>
    <row r="1307">
      <c r="A1307" s="19" t="n">
        <v>1306</v>
      </c>
      <c r="B1307" s="20" t="n">
        <v>46520</v>
      </c>
      <c r="C1307" s="21" t="n">
        <v>8</v>
      </c>
      <c r="D1307" s="25" t="inlineStr">
        <is>
          <t>Payout</t>
        </is>
      </c>
      <c r="E1307" s="19" t="inlineStr">
        <is>
          <t>FNC Funding</t>
        </is>
      </c>
      <c r="F1307" s="19" t="inlineStr">
        <is>
          <t>#92 Instant-Direct 100k</t>
        </is>
      </c>
      <c r="G1307" s="22" t="n">
        <v>100000</v>
      </c>
      <c r="H1307" s="22" t="n">
        <v>7500</v>
      </c>
      <c r="I1307" s="22" t="n">
        <v>6323963.15</v>
      </c>
      <c r="J1307" s="19" t="inlineStr">
        <is>
          <t>10 % × 100,000 × split 75%</t>
        </is>
      </c>
    </row>
    <row r="1308">
      <c r="A1308" s="13" t="n">
        <v>1307</v>
      </c>
      <c r="B1308" s="14" t="n">
        <v>46520</v>
      </c>
      <c r="C1308" s="15" t="n">
        <v>8</v>
      </c>
      <c r="D1308" s="25" t="inlineStr">
        <is>
          <t>Payout</t>
        </is>
      </c>
      <c r="E1308" s="13" t="inlineStr">
        <is>
          <t>FNC Funding</t>
        </is>
      </c>
      <c r="F1308" s="13" t="inlineStr">
        <is>
          <t>#93 Instant-Direct 100k</t>
        </is>
      </c>
      <c r="G1308" s="17" t="n">
        <v>100000</v>
      </c>
      <c r="H1308" s="17" t="n">
        <v>7500</v>
      </c>
      <c r="I1308" s="17" t="n">
        <v>6331463.15</v>
      </c>
      <c r="J1308" s="13" t="inlineStr">
        <is>
          <t>10 % × 100,000 × split 75%</t>
        </is>
      </c>
    </row>
    <row r="1309">
      <c r="A1309" s="19" t="n">
        <v>1308</v>
      </c>
      <c r="B1309" s="20" t="n">
        <v>46520</v>
      </c>
      <c r="C1309" s="21" t="n">
        <v>8</v>
      </c>
      <c r="D1309" s="25" t="inlineStr">
        <is>
          <t>Payout</t>
        </is>
      </c>
      <c r="E1309" s="19" t="inlineStr">
        <is>
          <t>FNC Funding</t>
        </is>
      </c>
      <c r="F1309" s="19" t="inlineStr">
        <is>
          <t>#94 Instant-Direct 100k</t>
        </is>
      </c>
      <c r="G1309" s="22" t="n">
        <v>100000</v>
      </c>
      <c r="H1309" s="22" t="n">
        <v>7500</v>
      </c>
      <c r="I1309" s="22" t="n">
        <v>6338963.15</v>
      </c>
      <c r="J1309" s="19" t="inlineStr">
        <is>
          <t>10 % × 100,000 × split 75%</t>
        </is>
      </c>
    </row>
    <row r="1310">
      <c r="A1310" s="13" t="n">
        <v>1309</v>
      </c>
      <c r="B1310" s="14" t="n">
        <v>46520</v>
      </c>
      <c r="C1310" s="15" t="n">
        <v>8</v>
      </c>
      <c r="D1310" s="25" t="inlineStr">
        <is>
          <t>Payout</t>
        </is>
      </c>
      <c r="E1310" s="13" t="inlineStr">
        <is>
          <t>FNC Funding</t>
        </is>
      </c>
      <c r="F1310" s="13" t="inlineStr">
        <is>
          <t>#95 Instant-Direct 100k</t>
        </is>
      </c>
      <c r="G1310" s="17" t="n">
        <v>100000</v>
      </c>
      <c r="H1310" s="17" t="n">
        <v>7500</v>
      </c>
      <c r="I1310" s="17" t="n">
        <v>6346463.15</v>
      </c>
      <c r="J1310" s="13" t="inlineStr">
        <is>
          <t>10 % × 100,000 × split 75%</t>
        </is>
      </c>
    </row>
    <row r="1311">
      <c r="A1311" s="19" t="n">
        <v>1310</v>
      </c>
      <c r="B1311" s="20" t="n">
        <v>46520</v>
      </c>
      <c r="C1311" s="21" t="n">
        <v>8</v>
      </c>
      <c r="D1311" s="25" t="inlineStr">
        <is>
          <t>Payout</t>
        </is>
      </c>
      <c r="E1311" s="19" t="inlineStr">
        <is>
          <t>Funding Traders</t>
        </is>
      </c>
      <c r="F1311" s="19" t="inlineStr">
        <is>
          <t>#96 Instant-Direct 400k</t>
        </is>
      </c>
      <c r="G1311" s="22" t="n">
        <v>400000</v>
      </c>
      <c r="H1311" s="22" t="n">
        <v>40000</v>
      </c>
      <c r="I1311" s="22" t="n">
        <v>6386463.15</v>
      </c>
      <c r="J1311" s="19" t="inlineStr">
        <is>
          <t>10 % × 400,000 × split 100%</t>
        </is>
      </c>
    </row>
    <row r="1312">
      <c r="A1312" s="13" t="n">
        <v>1311</v>
      </c>
      <c r="B1312" s="14" t="n">
        <v>46520</v>
      </c>
      <c r="C1312" s="15" t="n">
        <v>8</v>
      </c>
      <c r="D1312" s="25" t="inlineStr">
        <is>
          <t>Payout</t>
        </is>
      </c>
      <c r="E1312" s="13" t="inlineStr">
        <is>
          <t>Ifunds</t>
        </is>
      </c>
      <c r="F1312" s="13" t="inlineStr">
        <is>
          <t>#97 Instant-Direct 500k</t>
        </is>
      </c>
      <c r="G1312" s="17" t="n">
        <v>500000</v>
      </c>
      <c r="H1312" s="17" t="n">
        <v>40000</v>
      </c>
      <c r="I1312" s="17" t="n">
        <v>6426463.15</v>
      </c>
      <c r="J1312" s="13" t="inlineStr">
        <is>
          <t>10 % × 500,000 × split 80%</t>
        </is>
      </c>
    </row>
    <row r="1313">
      <c r="A1313" s="19" t="n">
        <v>1312</v>
      </c>
      <c r="B1313" s="20" t="n">
        <v>46520</v>
      </c>
      <c r="C1313" s="21" t="n">
        <v>8</v>
      </c>
      <c r="D1313" s="25" t="inlineStr">
        <is>
          <t>Payout</t>
        </is>
      </c>
      <c r="E1313" s="19" t="inlineStr">
        <is>
          <t>Alpine Funded</t>
        </is>
      </c>
      <c r="F1313" s="19" t="inlineStr">
        <is>
          <t>#98 Instant-Direct 200k</t>
        </is>
      </c>
      <c r="G1313" s="22" t="n">
        <v>200000</v>
      </c>
      <c r="H1313" s="22" t="n">
        <v>20000</v>
      </c>
      <c r="I1313" s="22" t="n">
        <v>6446463.15</v>
      </c>
      <c r="J1313" s="19" t="inlineStr">
        <is>
          <t>10 % × 200,000 × split 100%</t>
        </is>
      </c>
    </row>
    <row r="1314">
      <c r="A1314" s="13" t="n">
        <v>1313</v>
      </c>
      <c r="B1314" s="14" t="n">
        <v>46520</v>
      </c>
      <c r="C1314" s="15" t="n">
        <v>8</v>
      </c>
      <c r="D1314" s="25" t="inlineStr">
        <is>
          <t>Payout</t>
        </is>
      </c>
      <c r="E1314" s="13" t="inlineStr">
        <is>
          <t>Alpine Funded</t>
        </is>
      </c>
      <c r="F1314" s="13" t="inlineStr">
        <is>
          <t>#99 Instant-Direct 200k</t>
        </is>
      </c>
      <c r="G1314" s="17" t="n">
        <v>200000</v>
      </c>
      <c r="H1314" s="17" t="n">
        <v>20000</v>
      </c>
      <c r="I1314" s="17" t="n">
        <v>6466463.15</v>
      </c>
      <c r="J1314" s="13" t="inlineStr">
        <is>
          <t>10 % × 200,000 × split 100%</t>
        </is>
      </c>
    </row>
    <row r="1315">
      <c r="A1315" s="19" t="n">
        <v>1314</v>
      </c>
      <c r="B1315" s="20" t="n">
        <v>46520</v>
      </c>
      <c r="C1315" s="21" t="n">
        <v>8</v>
      </c>
      <c r="D1315" s="25" t="inlineStr">
        <is>
          <t>Payout</t>
        </is>
      </c>
      <c r="E1315" s="19" t="inlineStr">
        <is>
          <t>AquaFunded</t>
        </is>
      </c>
      <c r="F1315" s="19" t="inlineStr">
        <is>
          <t>#100 Instant-Direct 400k</t>
        </is>
      </c>
      <c r="G1315" s="22" t="n">
        <v>400000</v>
      </c>
      <c r="H1315" s="22" t="n">
        <v>36000</v>
      </c>
      <c r="I1315" s="22" t="n">
        <v>6502463.15</v>
      </c>
      <c r="J1315" s="19" t="inlineStr">
        <is>
          <t>10 % × 400,000 × split 90%</t>
        </is>
      </c>
    </row>
    <row r="1316">
      <c r="A1316" s="13" t="n">
        <v>1315</v>
      </c>
      <c r="B1316" s="14" t="n">
        <v>46520</v>
      </c>
      <c r="C1316" s="15" t="n">
        <v>8</v>
      </c>
      <c r="D1316" s="25" t="inlineStr">
        <is>
          <t>Payout</t>
        </is>
      </c>
      <c r="E1316" s="13" t="inlineStr">
        <is>
          <t>Atlas Funded</t>
        </is>
      </c>
      <c r="F1316" s="13" t="inlineStr">
        <is>
          <t>#101 Instant-Direct 300k</t>
        </is>
      </c>
      <c r="G1316" s="17" t="n">
        <v>300000</v>
      </c>
      <c r="H1316" s="17" t="n">
        <v>30000</v>
      </c>
      <c r="I1316" s="17" t="n">
        <v>6532463.15</v>
      </c>
      <c r="J1316" s="13" t="inlineStr">
        <is>
          <t>10 % × 300,000 × split 100%</t>
        </is>
      </c>
    </row>
    <row r="1317">
      <c r="A1317" s="19" t="n">
        <v>1316</v>
      </c>
      <c r="B1317" s="20" t="n">
        <v>46520</v>
      </c>
      <c r="C1317" s="21" t="n">
        <v>8</v>
      </c>
      <c r="D1317" s="25" t="inlineStr">
        <is>
          <t>Payout</t>
        </is>
      </c>
      <c r="E1317" s="19" t="inlineStr">
        <is>
          <t>Atmos Funded</t>
        </is>
      </c>
      <c r="F1317" s="19" t="inlineStr">
        <is>
          <t>#102 Instant-Direct 100k</t>
        </is>
      </c>
      <c r="G1317" s="22" t="n">
        <v>100000</v>
      </c>
      <c r="H1317" s="22" t="n">
        <v>9000</v>
      </c>
      <c r="I1317" s="22" t="n">
        <v>6541463.15</v>
      </c>
      <c r="J1317" s="19" t="inlineStr">
        <is>
          <t>10 % × 100,000 × split 90%</t>
        </is>
      </c>
    </row>
    <row r="1318">
      <c r="A1318" s="13" t="n">
        <v>1317</v>
      </c>
      <c r="B1318" s="14" t="n">
        <v>46520</v>
      </c>
      <c r="C1318" s="15" t="n">
        <v>8</v>
      </c>
      <c r="D1318" s="25" t="inlineStr">
        <is>
          <t>Payout</t>
        </is>
      </c>
      <c r="E1318" s="13" t="inlineStr">
        <is>
          <t>Atmos Funded</t>
        </is>
      </c>
      <c r="F1318" s="13" t="inlineStr">
        <is>
          <t>#103 Instant-Direct 100k</t>
        </is>
      </c>
      <c r="G1318" s="17" t="n">
        <v>100000</v>
      </c>
      <c r="H1318" s="17" t="n">
        <v>9000</v>
      </c>
      <c r="I1318" s="17" t="n">
        <v>6550463.15</v>
      </c>
      <c r="J1318" s="13" t="inlineStr">
        <is>
          <t>10 % × 100,000 × split 90%</t>
        </is>
      </c>
    </row>
    <row r="1319">
      <c r="A1319" s="19" t="n">
        <v>1318</v>
      </c>
      <c r="B1319" s="20" t="n">
        <v>46520</v>
      </c>
      <c r="C1319" s="21" t="n">
        <v>8</v>
      </c>
      <c r="D1319" s="25" t="inlineStr">
        <is>
          <t>Payout</t>
        </is>
      </c>
      <c r="E1319" s="19" t="inlineStr">
        <is>
          <t>Atmos Funded</t>
        </is>
      </c>
      <c r="F1319" s="19" t="inlineStr">
        <is>
          <t>#104 Instant-Direct 100k</t>
        </is>
      </c>
      <c r="G1319" s="22" t="n">
        <v>100000</v>
      </c>
      <c r="H1319" s="22" t="n">
        <v>9000</v>
      </c>
      <c r="I1319" s="22" t="n">
        <v>6559463.15</v>
      </c>
      <c r="J1319" s="19" t="inlineStr">
        <is>
          <t>10 % × 100,000 × split 90%</t>
        </is>
      </c>
    </row>
    <row r="1320">
      <c r="A1320" s="13" t="n">
        <v>1319</v>
      </c>
      <c r="B1320" s="14" t="n">
        <v>46520</v>
      </c>
      <c r="C1320" s="15" t="n">
        <v>8</v>
      </c>
      <c r="D1320" s="25" t="inlineStr">
        <is>
          <t>Payout</t>
        </is>
      </c>
      <c r="E1320" s="13" t="inlineStr">
        <is>
          <t>Atmos Funded</t>
        </is>
      </c>
      <c r="F1320" s="13" t="inlineStr">
        <is>
          <t>#105 Instant-Direct 100k</t>
        </is>
      </c>
      <c r="G1320" s="17" t="n">
        <v>100000</v>
      </c>
      <c r="H1320" s="17" t="n">
        <v>9000</v>
      </c>
      <c r="I1320" s="17" t="n">
        <v>6568463.15</v>
      </c>
      <c r="J1320" s="13" t="inlineStr">
        <is>
          <t>10 % × 100,000 × split 90%</t>
        </is>
      </c>
    </row>
    <row r="1321">
      <c r="A1321" s="19" t="n">
        <v>1320</v>
      </c>
      <c r="B1321" s="20" t="n">
        <v>46520</v>
      </c>
      <c r="C1321" s="21" t="n">
        <v>8</v>
      </c>
      <c r="D1321" s="25" t="inlineStr">
        <is>
          <t>Payout</t>
        </is>
      </c>
      <c r="E1321" s="19" t="inlineStr">
        <is>
          <t>Blue Guardian</t>
        </is>
      </c>
      <c r="F1321" s="19" t="inlineStr">
        <is>
          <t>#106 Instant-Direct 400k</t>
        </is>
      </c>
      <c r="G1321" s="22" t="n">
        <v>400000</v>
      </c>
      <c r="H1321" s="22" t="n">
        <v>32000</v>
      </c>
      <c r="I1321" s="22" t="n">
        <v>6600463.15</v>
      </c>
      <c r="J1321" s="19" t="inlineStr">
        <is>
          <t>10 % × 400,000 × split 80%</t>
        </is>
      </c>
    </row>
    <row r="1322">
      <c r="A1322" s="13" t="n">
        <v>1321</v>
      </c>
      <c r="B1322" s="14" t="n">
        <v>46520</v>
      </c>
      <c r="C1322" s="15" t="n">
        <v>8</v>
      </c>
      <c r="D1322" s="25" t="inlineStr">
        <is>
          <t>Payout</t>
        </is>
      </c>
      <c r="E1322" s="13" t="inlineStr">
        <is>
          <t>FundedElite</t>
        </is>
      </c>
      <c r="F1322" s="13" t="inlineStr">
        <is>
          <t>#107 Instant-Direct 100k</t>
        </is>
      </c>
      <c r="G1322" s="17" t="n">
        <v>100000</v>
      </c>
      <c r="H1322" s="17" t="n">
        <v>9500</v>
      </c>
      <c r="I1322" s="17" t="n">
        <v>6609963.15</v>
      </c>
      <c r="J1322" s="13" t="inlineStr">
        <is>
          <t>10 % × 100,000 × split 95%</t>
        </is>
      </c>
    </row>
    <row r="1323">
      <c r="A1323" s="19" t="n">
        <v>1322</v>
      </c>
      <c r="B1323" s="20" t="n">
        <v>46520</v>
      </c>
      <c r="C1323" s="21" t="n">
        <v>8</v>
      </c>
      <c r="D1323" s="25" t="inlineStr">
        <is>
          <t>Payout</t>
        </is>
      </c>
      <c r="E1323" s="19" t="inlineStr">
        <is>
          <t>FundedElite</t>
        </is>
      </c>
      <c r="F1323" s="19" t="inlineStr">
        <is>
          <t>#108 Instant-Direct 100k</t>
        </is>
      </c>
      <c r="G1323" s="22" t="n">
        <v>100000</v>
      </c>
      <c r="H1323" s="22" t="n">
        <v>9500</v>
      </c>
      <c r="I1323" s="22" t="n">
        <v>6619463.15</v>
      </c>
      <c r="J1323" s="19" t="inlineStr">
        <is>
          <t>10 % × 100,000 × split 95%</t>
        </is>
      </c>
    </row>
    <row r="1324">
      <c r="A1324" s="13" t="n">
        <v>1323</v>
      </c>
      <c r="B1324" s="14" t="n">
        <v>46520</v>
      </c>
      <c r="C1324" s="15" t="n">
        <v>8</v>
      </c>
      <c r="D1324" s="25" t="inlineStr">
        <is>
          <t>Payout</t>
        </is>
      </c>
      <c r="E1324" s="13" t="inlineStr">
        <is>
          <t>FundedElite</t>
        </is>
      </c>
      <c r="F1324" s="13" t="inlineStr">
        <is>
          <t>#109 Instant-Direct 100k</t>
        </is>
      </c>
      <c r="G1324" s="17" t="n">
        <v>100000</v>
      </c>
      <c r="H1324" s="17" t="n">
        <v>9500</v>
      </c>
      <c r="I1324" s="17" t="n">
        <v>6628963.15</v>
      </c>
      <c r="J1324" s="13" t="inlineStr">
        <is>
          <t>10 % × 100,000 × split 95%</t>
        </is>
      </c>
    </row>
    <row r="1325">
      <c r="A1325" s="19" t="n">
        <v>1324</v>
      </c>
      <c r="B1325" s="20" t="n">
        <v>46520</v>
      </c>
      <c r="C1325" s="21" t="n">
        <v>8</v>
      </c>
      <c r="D1325" s="25" t="inlineStr">
        <is>
          <t>Payout</t>
        </is>
      </c>
      <c r="E1325" s="19" t="inlineStr">
        <is>
          <t>FundedElite</t>
        </is>
      </c>
      <c r="F1325" s="19" t="inlineStr">
        <is>
          <t>#110 Instant-Direct 100k</t>
        </is>
      </c>
      <c r="G1325" s="22" t="n">
        <v>100000</v>
      </c>
      <c r="H1325" s="22" t="n">
        <v>9500</v>
      </c>
      <c r="I1325" s="22" t="n">
        <v>6638463.15</v>
      </c>
      <c r="J1325" s="19" t="inlineStr">
        <is>
          <t>10 % × 100,000 × split 95%</t>
        </is>
      </c>
    </row>
    <row r="1326">
      <c r="A1326" s="13" t="n">
        <v>1325</v>
      </c>
      <c r="B1326" s="14" t="n">
        <v>46520</v>
      </c>
      <c r="C1326" s="15" t="n">
        <v>8</v>
      </c>
      <c r="D1326" s="25" t="inlineStr">
        <is>
          <t>Payout</t>
        </is>
      </c>
      <c r="E1326" s="13" t="inlineStr">
        <is>
          <t>Funding Pips</t>
        </is>
      </c>
      <c r="F1326" s="13" t="inlineStr">
        <is>
          <t>#111 Instant-Direct 200k</t>
        </is>
      </c>
      <c r="G1326" s="17" t="n">
        <v>200000</v>
      </c>
      <c r="H1326" s="17" t="n">
        <v>20000</v>
      </c>
      <c r="I1326" s="17" t="n">
        <v>6658463.15</v>
      </c>
      <c r="J1326" s="13" t="inlineStr">
        <is>
          <t>10 % × 200,000 × split 100%</t>
        </is>
      </c>
    </row>
    <row r="1327">
      <c r="A1327" s="19" t="n">
        <v>1326</v>
      </c>
      <c r="B1327" s="20" t="n">
        <v>46520</v>
      </c>
      <c r="C1327" s="21" t="n">
        <v>8</v>
      </c>
      <c r="D1327" s="25" t="inlineStr">
        <is>
          <t>Payout</t>
        </is>
      </c>
      <c r="E1327" s="19" t="inlineStr">
        <is>
          <t>Funding Pips</t>
        </is>
      </c>
      <c r="F1327" s="19" t="inlineStr">
        <is>
          <t>#112 Instant-Direct 200k</t>
        </is>
      </c>
      <c r="G1327" s="22" t="n">
        <v>200000</v>
      </c>
      <c r="H1327" s="22" t="n">
        <v>20000</v>
      </c>
      <c r="I1327" s="22" t="n">
        <v>6678463.15</v>
      </c>
      <c r="J1327" s="19" t="inlineStr">
        <is>
          <t>10 % × 200,000 × split 100%</t>
        </is>
      </c>
    </row>
    <row r="1328">
      <c r="A1328" s="13" t="n">
        <v>1327</v>
      </c>
      <c r="B1328" s="14" t="n">
        <v>46520</v>
      </c>
      <c r="C1328" s="15" t="n">
        <v>8</v>
      </c>
      <c r="D1328" s="25" t="inlineStr">
        <is>
          <t>Payout</t>
        </is>
      </c>
      <c r="E1328" s="13" t="inlineStr">
        <is>
          <t>Global Forex Funds</t>
        </is>
      </c>
      <c r="F1328" s="13" t="inlineStr">
        <is>
          <t>#113 Instant-Direct 100k</t>
        </is>
      </c>
      <c r="G1328" s="17" t="n">
        <v>100000</v>
      </c>
      <c r="H1328" s="17" t="n">
        <v>9000</v>
      </c>
      <c r="I1328" s="17" t="n">
        <v>6687463.15</v>
      </c>
      <c r="J1328" s="13" t="inlineStr">
        <is>
          <t>10 % × 100,000 × split 90%</t>
        </is>
      </c>
    </row>
    <row r="1329">
      <c r="A1329" s="19" t="n">
        <v>1328</v>
      </c>
      <c r="B1329" s="20" t="n">
        <v>46520</v>
      </c>
      <c r="C1329" s="21" t="n">
        <v>8</v>
      </c>
      <c r="D1329" s="25" t="inlineStr">
        <is>
          <t>Payout</t>
        </is>
      </c>
      <c r="E1329" s="19" t="inlineStr">
        <is>
          <t>Goat Funded Trader</t>
        </is>
      </c>
      <c r="F1329" s="19" t="inlineStr">
        <is>
          <t>#114 Instant-Direct 100k</t>
        </is>
      </c>
      <c r="G1329" s="22" t="n">
        <v>100000</v>
      </c>
      <c r="H1329" s="22" t="n">
        <v>10000</v>
      </c>
      <c r="I1329" s="22" t="n">
        <v>6697463.15</v>
      </c>
      <c r="J1329" s="19" t="inlineStr">
        <is>
          <t>10 % × 100,000 × split 100%</t>
        </is>
      </c>
    </row>
    <row r="1330">
      <c r="A1330" s="13" t="n">
        <v>1329</v>
      </c>
      <c r="B1330" s="14" t="n">
        <v>46520</v>
      </c>
      <c r="C1330" s="15" t="n">
        <v>8</v>
      </c>
      <c r="D1330" s="25" t="inlineStr">
        <is>
          <t>Payout</t>
        </is>
      </c>
      <c r="E1330" s="13" t="inlineStr">
        <is>
          <t>Goat Funded Trader</t>
        </is>
      </c>
      <c r="F1330" s="13" t="inlineStr">
        <is>
          <t>#115 Instant-Direct 100k</t>
        </is>
      </c>
      <c r="G1330" s="17" t="n">
        <v>100000</v>
      </c>
      <c r="H1330" s="17" t="n">
        <v>10000</v>
      </c>
      <c r="I1330" s="17" t="n">
        <v>6707463.15</v>
      </c>
      <c r="J1330" s="13" t="inlineStr">
        <is>
          <t>10 % × 100,000 × split 100%</t>
        </is>
      </c>
    </row>
    <row r="1331">
      <c r="A1331" s="19" t="n">
        <v>1330</v>
      </c>
      <c r="B1331" s="20" t="n">
        <v>46520</v>
      </c>
      <c r="C1331" s="21" t="n">
        <v>8</v>
      </c>
      <c r="D1331" s="25" t="inlineStr">
        <is>
          <t>Payout</t>
        </is>
      </c>
      <c r="E1331" s="19" t="inlineStr">
        <is>
          <t>Goat Funded Trader</t>
        </is>
      </c>
      <c r="F1331" s="19" t="inlineStr">
        <is>
          <t>#116 Instant-Direct 100k</t>
        </is>
      </c>
      <c r="G1331" s="22" t="n">
        <v>100000</v>
      </c>
      <c r="H1331" s="22" t="n">
        <v>10000</v>
      </c>
      <c r="I1331" s="22" t="n">
        <v>6717463.15</v>
      </c>
      <c r="J1331" s="19" t="inlineStr">
        <is>
          <t>10 % × 100,000 × split 100%</t>
        </is>
      </c>
    </row>
    <row r="1332">
      <c r="A1332" s="13" t="n">
        <v>1331</v>
      </c>
      <c r="B1332" s="14" t="n">
        <v>46520</v>
      </c>
      <c r="C1332" s="15" t="n">
        <v>8</v>
      </c>
      <c r="D1332" s="25" t="inlineStr">
        <is>
          <t>Payout</t>
        </is>
      </c>
      <c r="E1332" s="13" t="inlineStr">
        <is>
          <t>Goat Funded Trader</t>
        </is>
      </c>
      <c r="F1332" s="13" t="inlineStr">
        <is>
          <t>#117 Instant-Direct 100k</t>
        </is>
      </c>
      <c r="G1332" s="17" t="n">
        <v>100000</v>
      </c>
      <c r="H1332" s="17" t="n">
        <v>10000</v>
      </c>
      <c r="I1332" s="17" t="n">
        <v>6727463.15</v>
      </c>
      <c r="J1332" s="13" t="inlineStr">
        <is>
          <t>10 % × 100,000 × split 100%</t>
        </is>
      </c>
    </row>
    <row r="1333">
      <c r="A1333" s="19" t="n">
        <v>1332</v>
      </c>
      <c r="B1333" s="20" t="n">
        <v>46520</v>
      </c>
      <c r="C1333" s="21" t="n">
        <v>8</v>
      </c>
      <c r="D1333" s="25" t="inlineStr">
        <is>
          <t>Payout</t>
        </is>
      </c>
      <c r="E1333" s="19" t="inlineStr">
        <is>
          <t>FundedVerse</t>
        </is>
      </c>
      <c r="F1333" s="19" t="inlineStr">
        <is>
          <t>#118 Instant-Direct 50k</t>
        </is>
      </c>
      <c r="G1333" s="22" t="n">
        <v>50000</v>
      </c>
      <c r="H1333" s="22" t="n">
        <v>4000</v>
      </c>
      <c r="I1333" s="22" t="n">
        <v>6731463.15</v>
      </c>
      <c r="J1333" s="19" t="inlineStr">
        <is>
          <t>10 % × 50,000 × split 80%</t>
        </is>
      </c>
    </row>
    <row r="1334">
      <c r="A1334" s="13" t="n">
        <v>1333</v>
      </c>
      <c r="B1334" s="14" t="n">
        <v>46520</v>
      </c>
      <c r="C1334" s="15" t="n">
        <v>8</v>
      </c>
      <c r="D1334" s="25" t="inlineStr">
        <is>
          <t>Payout</t>
        </is>
      </c>
      <c r="E1334" s="13" t="inlineStr">
        <is>
          <t>FundedVerse</t>
        </is>
      </c>
      <c r="F1334" s="13" t="inlineStr">
        <is>
          <t>#119 Instant-Direct 50k</t>
        </is>
      </c>
      <c r="G1334" s="17" t="n">
        <v>50000</v>
      </c>
      <c r="H1334" s="17" t="n">
        <v>4000</v>
      </c>
      <c r="I1334" s="17" t="n">
        <v>6735463.15</v>
      </c>
      <c r="J1334" s="13" t="inlineStr">
        <is>
          <t>10 % × 50,000 × split 80%</t>
        </is>
      </c>
    </row>
    <row r="1335">
      <c r="A1335" s="19" t="n">
        <v>1334</v>
      </c>
      <c r="B1335" s="20" t="n">
        <v>46520</v>
      </c>
      <c r="C1335" s="21" t="n">
        <v>8</v>
      </c>
      <c r="D1335" s="25" t="inlineStr">
        <is>
          <t>Payout</t>
        </is>
      </c>
      <c r="E1335" s="19" t="inlineStr">
        <is>
          <t>FundedVerse</t>
        </is>
      </c>
      <c r="F1335" s="19" t="inlineStr">
        <is>
          <t>#120 Instant-Direct 50k</t>
        </is>
      </c>
      <c r="G1335" s="22" t="n">
        <v>50000</v>
      </c>
      <c r="H1335" s="22" t="n">
        <v>4000</v>
      </c>
      <c r="I1335" s="22" t="n">
        <v>6739463.15</v>
      </c>
      <c r="J1335" s="19" t="inlineStr">
        <is>
          <t>10 % × 50,000 × split 80%</t>
        </is>
      </c>
    </row>
    <row r="1336">
      <c r="A1336" s="13" t="n">
        <v>1335</v>
      </c>
      <c r="B1336" s="14" t="n">
        <v>46520</v>
      </c>
      <c r="C1336" s="15" t="n">
        <v>8</v>
      </c>
      <c r="D1336" s="25" t="inlineStr">
        <is>
          <t>Payout</t>
        </is>
      </c>
      <c r="E1336" s="13" t="inlineStr">
        <is>
          <t>FundedVerse</t>
        </is>
      </c>
      <c r="F1336" s="13" t="inlineStr">
        <is>
          <t>#121 Instant-Direct 50k</t>
        </is>
      </c>
      <c r="G1336" s="17" t="n">
        <v>50000</v>
      </c>
      <c r="H1336" s="17" t="n">
        <v>4000</v>
      </c>
      <c r="I1336" s="17" t="n">
        <v>6743463.15</v>
      </c>
      <c r="J1336" s="13" t="inlineStr">
        <is>
          <t>10 % × 50,000 × split 80%</t>
        </is>
      </c>
    </row>
    <row r="1337">
      <c r="A1337" s="19" t="n">
        <v>1336</v>
      </c>
      <c r="B1337" s="20" t="n">
        <v>46520</v>
      </c>
      <c r="C1337" s="21" t="n">
        <v>8</v>
      </c>
      <c r="D1337" s="25" t="inlineStr">
        <is>
          <t>Payout</t>
        </is>
      </c>
      <c r="E1337" s="19" t="inlineStr">
        <is>
          <t>FundedVerse</t>
        </is>
      </c>
      <c r="F1337" s="19" t="inlineStr">
        <is>
          <t>#122 Instant-Direct 50k</t>
        </is>
      </c>
      <c r="G1337" s="22" t="n">
        <v>50000</v>
      </c>
      <c r="H1337" s="22" t="n">
        <v>4000</v>
      </c>
      <c r="I1337" s="22" t="n">
        <v>6747463.15</v>
      </c>
      <c r="J1337" s="19" t="inlineStr">
        <is>
          <t>10 % × 50,000 × split 80%</t>
        </is>
      </c>
    </row>
    <row r="1338">
      <c r="A1338" s="13" t="n">
        <v>1337</v>
      </c>
      <c r="B1338" s="14" t="n">
        <v>46520</v>
      </c>
      <c r="C1338" s="15" t="n">
        <v>8</v>
      </c>
      <c r="D1338" s="25" t="inlineStr">
        <is>
          <t>Payout</t>
        </is>
      </c>
      <c r="E1338" s="13" t="inlineStr">
        <is>
          <t>FundedVerse</t>
        </is>
      </c>
      <c r="F1338" s="13" t="inlineStr">
        <is>
          <t>#123 Instant-Direct 50k</t>
        </is>
      </c>
      <c r="G1338" s="17" t="n">
        <v>50000</v>
      </c>
      <c r="H1338" s="17" t="n">
        <v>4000</v>
      </c>
      <c r="I1338" s="17" t="n">
        <v>6751463.15</v>
      </c>
      <c r="J1338" s="13" t="inlineStr">
        <is>
          <t>10 % × 50,000 × split 80%</t>
        </is>
      </c>
    </row>
    <row r="1339">
      <c r="A1339" s="19" t="n">
        <v>1338</v>
      </c>
      <c r="B1339" s="20" t="n">
        <v>46520</v>
      </c>
      <c r="C1339" s="21" t="n">
        <v>8</v>
      </c>
      <c r="D1339" s="25" t="inlineStr">
        <is>
          <t>Payout</t>
        </is>
      </c>
      <c r="E1339" s="19" t="inlineStr">
        <is>
          <t>Lark Funding</t>
        </is>
      </c>
      <c r="F1339" s="19" t="inlineStr">
        <is>
          <t>#124 Instant-Direct 100k</t>
        </is>
      </c>
      <c r="G1339" s="22" t="n">
        <v>100000</v>
      </c>
      <c r="H1339" s="22" t="n">
        <v>8000</v>
      </c>
      <c r="I1339" s="22" t="n">
        <v>6759463.15</v>
      </c>
      <c r="J1339" s="19" t="inlineStr">
        <is>
          <t>10 % × 100,000 × split 80%</t>
        </is>
      </c>
    </row>
    <row r="1340">
      <c r="A1340" s="13" t="n">
        <v>1339</v>
      </c>
      <c r="B1340" s="14" t="n">
        <v>46520</v>
      </c>
      <c r="C1340" s="15" t="n">
        <v>8</v>
      </c>
      <c r="D1340" s="25" t="inlineStr">
        <is>
          <t>Payout</t>
        </is>
      </c>
      <c r="E1340" s="13" t="inlineStr">
        <is>
          <t>Lark Funding</t>
        </is>
      </c>
      <c r="F1340" s="13" t="inlineStr">
        <is>
          <t>#125 Instant-Direct 100k</t>
        </is>
      </c>
      <c r="G1340" s="17" t="n">
        <v>100000</v>
      </c>
      <c r="H1340" s="17" t="n">
        <v>8000</v>
      </c>
      <c r="I1340" s="17" t="n">
        <v>6767463.15</v>
      </c>
      <c r="J1340" s="13" t="inlineStr">
        <is>
          <t>10 % × 100,000 × split 80%</t>
        </is>
      </c>
    </row>
    <row r="1341">
      <c r="A1341" s="19" t="n">
        <v>1340</v>
      </c>
      <c r="B1341" s="20" t="n">
        <v>46520</v>
      </c>
      <c r="C1341" s="21" t="n">
        <v>8</v>
      </c>
      <c r="D1341" s="25" t="inlineStr">
        <is>
          <t>Payout</t>
        </is>
      </c>
      <c r="E1341" s="19" t="inlineStr">
        <is>
          <t>Lark Funding</t>
        </is>
      </c>
      <c r="F1341" s="19" t="inlineStr">
        <is>
          <t>#126 Instant-Direct 100k</t>
        </is>
      </c>
      <c r="G1341" s="22" t="n">
        <v>100000</v>
      </c>
      <c r="H1341" s="22" t="n">
        <v>8000</v>
      </c>
      <c r="I1341" s="22" t="n">
        <v>6775463.15</v>
      </c>
      <c r="J1341" s="19" t="inlineStr">
        <is>
          <t>10 % × 100,000 × split 80%</t>
        </is>
      </c>
    </row>
    <row r="1342">
      <c r="A1342" s="13" t="n">
        <v>1341</v>
      </c>
      <c r="B1342" s="14" t="n">
        <v>46520</v>
      </c>
      <c r="C1342" s="15" t="n">
        <v>8</v>
      </c>
      <c r="D1342" s="25" t="inlineStr">
        <is>
          <t>Payout</t>
        </is>
      </c>
      <c r="E1342" s="13" t="inlineStr">
        <is>
          <t>Mockapital</t>
        </is>
      </c>
      <c r="F1342" s="13" t="inlineStr">
        <is>
          <t>#127 Instant-Direct 50k</t>
        </is>
      </c>
      <c r="G1342" s="17" t="n">
        <v>50000</v>
      </c>
      <c r="H1342" s="17" t="n">
        <v>4000</v>
      </c>
      <c r="I1342" s="17" t="n">
        <v>6779463.15</v>
      </c>
      <c r="J1342" s="13" t="inlineStr">
        <is>
          <t>10 % × 50,000 × split 80%</t>
        </is>
      </c>
    </row>
    <row r="1343">
      <c r="A1343" s="19" t="n">
        <v>1342</v>
      </c>
      <c r="B1343" s="20" t="n">
        <v>46520</v>
      </c>
      <c r="C1343" s="21" t="n">
        <v>8</v>
      </c>
      <c r="D1343" s="25" t="inlineStr">
        <is>
          <t>Payout</t>
        </is>
      </c>
      <c r="E1343" s="19" t="inlineStr">
        <is>
          <t>Mockapital</t>
        </is>
      </c>
      <c r="F1343" s="19" t="inlineStr">
        <is>
          <t>#128 Instant-Direct 50k</t>
        </is>
      </c>
      <c r="G1343" s="22" t="n">
        <v>50000</v>
      </c>
      <c r="H1343" s="22" t="n">
        <v>4000</v>
      </c>
      <c r="I1343" s="22" t="n">
        <v>6783463.15</v>
      </c>
      <c r="J1343" s="19" t="inlineStr">
        <is>
          <t>10 % × 50,000 × split 80%</t>
        </is>
      </c>
    </row>
    <row r="1344">
      <c r="A1344" s="13" t="n">
        <v>1343</v>
      </c>
      <c r="B1344" s="14" t="n">
        <v>46520</v>
      </c>
      <c r="C1344" s="15" t="n">
        <v>8</v>
      </c>
      <c r="D1344" s="25" t="inlineStr">
        <is>
          <t>Payout</t>
        </is>
      </c>
      <c r="E1344" s="13" t="inlineStr">
        <is>
          <t>Mockapital</t>
        </is>
      </c>
      <c r="F1344" s="13" t="inlineStr">
        <is>
          <t>#129 Instant-Direct 50k</t>
        </is>
      </c>
      <c r="G1344" s="17" t="n">
        <v>50000</v>
      </c>
      <c r="H1344" s="17" t="n">
        <v>4000</v>
      </c>
      <c r="I1344" s="17" t="n">
        <v>6787463.15</v>
      </c>
      <c r="J1344" s="13" t="inlineStr">
        <is>
          <t>10 % × 50,000 × split 80%</t>
        </is>
      </c>
    </row>
    <row r="1345">
      <c r="A1345" s="19" t="n">
        <v>1344</v>
      </c>
      <c r="B1345" s="20" t="n">
        <v>46520</v>
      </c>
      <c r="C1345" s="21" t="n">
        <v>8</v>
      </c>
      <c r="D1345" s="25" t="inlineStr">
        <is>
          <t>Payout</t>
        </is>
      </c>
      <c r="E1345" s="19" t="inlineStr">
        <is>
          <t>Mockapital</t>
        </is>
      </c>
      <c r="F1345" s="19" t="inlineStr">
        <is>
          <t>#130 Instant-Direct 50k</t>
        </is>
      </c>
      <c r="G1345" s="22" t="n">
        <v>50000</v>
      </c>
      <c r="H1345" s="22" t="n">
        <v>4000</v>
      </c>
      <c r="I1345" s="22" t="n">
        <v>6791463.15</v>
      </c>
      <c r="J1345" s="19" t="inlineStr">
        <is>
          <t>10 % × 50,000 × split 80%</t>
        </is>
      </c>
    </row>
    <row r="1346">
      <c r="A1346" s="13" t="n">
        <v>1345</v>
      </c>
      <c r="B1346" s="14" t="n">
        <v>46520</v>
      </c>
      <c r="C1346" s="15" t="n">
        <v>8</v>
      </c>
      <c r="D1346" s="25" t="inlineStr">
        <is>
          <t>Payout</t>
        </is>
      </c>
      <c r="E1346" s="13" t="inlineStr">
        <is>
          <t>Mockapital</t>
        </is>
      </c>
      <c r="F1346" s="13" t="inlineStr">
        <is>
          <t>#131 Instant-Direct 50k</t>
        </is>
      </c>
      <c r="G1346" s="17" t="n">
        <v>50000</v>
      </c>
      <c r="H1346" s="17" t="n">
        <v>4000</v>
      </c>
      <c r="I1346" s="17" t="n">
        <v>6795463.15</v>
      </c>
      <c r="J1346" s="13" t="inlineStr">
        <is>
          <t>10 % × 50,000 × split 80%</t>
        </is>
      </c>
    </row>
    <row r="1347">
      <c r="A1347" s="19" t="n">
        <v>1346</v>
      </c>
      <c r="B1347" s="20" t="n">
        <v>46520</v>
      </c>
      <c r="C1347" s="21" t="n">
        <v>8</v>
      </c>
      <c r="D1347" s="25" t="inlineStr">
        <is>
          <t>Payout</t>
        </is>
      </c>
      <c r="E1347" s="19" t="inlineStr">
        <is>
          <t>Mockapital</t>
        </is>
      </c>
      <c r="F1347" s="19" t="inlineStr">
        <is>
          <t>#132 Instant-Direct 50k</t>
        </is>
      </c>
      <c r="G1347" s="22" t="n">
        <v>50000</v>
      </c>
      <c r="H1347" s="22" t="n">
        <v>4000</v>
      </c>
      <c r="I1347" s="22" t="n">
        <v>6799463.15</v>
      </c>
      <c r="J1347" s="19" t="inlineStr">
        <is>
          <t>10 % × 50,000 × split 80%</t>
        </is>
      </c>
    </row>
    <row r="1348">
      <c r="A1348" s="13" t="n">
        <v>1347</v>
      </c>
      <c r="B1348" s="14" t="n">
        <v>46520</v>
      </c>
      <c r="C1348" s="15" t="n">
        <v>8</v>
      </c>
      <c r="D1348" s="25" t="inlineStr">
        <is>
          <t>Payout</t>
        </is>
      </c>
      <c r="E1348" s="13" t="inlineStr">
        <is>
          <t>Myfundedcapital</t>
        </is>
      </c>
      <c r="F1348" s="13" t="inlineStr">
        <is>
          <t>#133 Instant-Direct 80k</t>
        </is>
      </c>
      <c r="G1348" s="17" t="n">
        <v>80000</v>
      </c>
      <c r="H1348" s="17" t="n">
        <v>6400</v>
      </c>
      <c r="I1348" s="17" t="n">
        <v>6805863.15</v>
      </c>
      <c r="J1348" s="13" t="inlineStr">
        <is>
          <t>10 % × 80,000 × split 80%</t>
        </is>
      </c>
    </row>
    <row r="1349">
      <c r="A1349" s="19" t="n">
        <v>1348</v>
      </c>
      <c r="B1349" s="20" t="n">
        <v>46520</v>
      </c>
      <c r="C1349" s="21" t="n">
        <v>8</v>
      </c>
      <c r="D1349" s="25" t="inlineStr">
        <is>
          <t>Payout</t>
        </is>
      </c>
      <c r="E1349" s="19" t="inlineStr">
        <is>
          <t>Myfundedcapital</t>
        </is>
      </c>
      <c r="F1349" s="19" t="inlineStr">
        <is>
          <t>#134 Instant-Direct 80k</t>
        </is>
      </c>
      <c r="G1349" s="22" t="n">
        <v>80000</v>
      </c>
      <c r="H1349" s="22" t="n">
        <v>6400</v>
      </c>
      <c r="I1349" s="22" t="n">
        <v>6812263.15</v>
      </c>
      <c r="J1349" s="19" t="inlineStr">
        <is>
          <t>10 % × 80,000 × split 80%</t>
        </is>
      </c>
    </row>
    <row r="1350">
      <c r="A1350" s="13" t="n">
        <v>1349</v>
      </c>
      <c r="B1350" s="14" t="n">
        <v>46520</v>
      </c>
      <c r="C1350" s="15" t="n">
        <v>8</v>
      </c>
      <c r="D1350" s="25" t="inlineStr">
        <is>
          <t>Payout</t>
        </is>
      </c>
      <c r="E1350" s="13" t="inlineStr">
        <is>
          <t>Myfundedcapital</t>
        </is>
      </c>
      <c r="F1350" s="13" t="inlineStr">
        <is>
          <t>#135 Instant-Direct 80k</t>
        </is>
      </c>
      <c r="G1350" s="17" t="n">
        <v>80000</v>
      </c>
      <c r="H1350" s="17" t="n">
        <v>6400</v>
      </c>
      <c r="I1350" s="17" t="n">
        <v>6818663.15</v>
      </c>
      <c r="J1350" s="13" t="inlineStr">
        <is>
          <t>10 % × 80,000 × split 80%</t>
        </is>
      </c>
    </row>
    <row r="1351">
      <c r="A1351" s="19" t="n">
        <v>1350</v>
      </c>
      <c r="B1351" s="20" t="n">
        <v>46520</v>
      </c>
      <c r="C1351" s="21" t="n">
        <v>8</v>
      </c>
      <c r="D1351" s="25" t="inlineStr">
        <is>
          <t>Payout</t>
        </is>
      </c>
      <c r="E1351" s="19" t="inlineStr">
        <is>
          <t>City Traders Imperium</t>
        </is>
      </c>
      <c r="F1351" s="19" t="inlineStr">
        <is>
          <t>#136 Instant-Direct 80k</t>
        </is>
      </c>
      <c r="G1351" s="22" t="n">
        <v>80000</v>
      </c>
      <c r="H1351" s="22" t="n">
        <v>7200</v>
      </c>
      <c r="I1351" s="22" t="n">
        <v>6825863.15</v>
      </c>
      <c r="J1351" s="19" t="inlineStr">
        <is>
          <t>10 % × 80,000 × split 90%</t>
        </is>
      </c>
    </row>
    <row r="1352">
      <c r="A1352" s="13" t="n">
        <v>1351</v>
      </c>
      <c r="B1352" s="14" t="n">
        <v>46520</v>
      </c>
      <c r="C1352" s="15" t="n">
        <v>8</v>
      </c>
      <c r="D1352" s="25" t="inlineStr">
        <is>
          <t>Payout</t>
        </is>
      </c>
      <c r="E1352" s="13" t="inlineStr">
        <is>
          <t>City Traders Imperium</t>
        </is>
      </c>
      <c r="F1352" s="13" t="inlineStr">
        <is>
          <t>#137 Instant-Direct 80k</t>
        </is>
      </c>
      <c r="G1352" s="17" t="n">
        <v>80000</v>
      </c>
      <c r="H1352" s="17" t="n">
        <v>7200</v>
      </c>
      <c r="I1352" s="17" t="n">
        <v>6833063.15</v>
      </c>
      <c r="J1352" s="13" t="inlineStr">
        <is>
          <t>10 % × 80,000 × split 90%</t>
        </is>
      </c>
    </row>
    <row r="1353">
      <c r="A1353" s="19" t="n">
        <v>1352</v>
      </c>
      <c r="B1353" s="20" t="n">
        <v>46520</v>
      </c>
      <c r="C1353" s="21" t="n">
        <v>8</v>
      </c>
      <c r="D1353" s="25" t="inlineStr">
        <is>
          <t>Payout</t>
        </is>
      </c>
      <c r="E1353" s="19" t="inlineStr">
        <is>
          <t>FTUK</t>
        </is>
      </c>
      <c r="F1353" s="19" t="inlineStr">
        <is>
          <t>#138 Instant-Direct 100k</t>
        </is>
      </c>
      <c r="G1353" s="22" t="n">
        <v>100000</v>
      </c>
      <c r="H1353" s="22" t="n">
        <v>8000</v>
      </c>
      <c r="I1353" s="22" t="n">
        <v>6841063.15</v>
      </c>
      <c r="J1353" s="19" t="inlineStr">
        <is>
          <t>10 % × 100,000 × split 80%</t>
        </is>
      </c>
    </row>
    <row r="1354">
      <c r="A1354" s="13" t="n">
        <v>1353</v>
      </c>
      <c r="B1354" s="14" t="n">
        <v>46520</v>
      </c>
      <c r="C1354" s="15" t="n">
        <v>8</v>
      </c>
      <c r="D1354" s="25" t="inlineStr">
        <is>
          <t>Payout</t>
        </is>
      </c>
      <c r="E1354" s="13" t="inlineStr">
        <is>
          <t>Funded Friday</t>
        </is>
      </c>
      <c r="F1354" s="13" t="inlineStr">
        <is>
          <t>#139 Instant-Direct 200k</t>
        </is>
      </c>
      <c r="G1354" s="17" t="n">
        <v>200000</v>
      </c>
      <c r="H1354" s="17" t="n">
        <v>16000</v>
      </c>
      <c r="I1354" s="17" t="n">
        <v>6857063.15</v>
      </c>
      <c r="J1354" s="13" t="inlineStr">
        <is>
          <t>10 % × 200,000 × split 80%</t>
        </is>
      </c>
    </row>
    <row r="1355">
      <c r="A1355" s="19" t="n">
        <v>1354</v>
      </c>
      <c r="B1355" s="20" t="n">
        <v>46520</v>
      </c>
      <c r="C1355" s="21" t="n">
        <v>8</v>
      </c>
      <c r="D1355" s="25" t="inlineStr">
        <is>
          <t>Payout</t>
        </is>
      </c>
      <c r="E1355" s="19" t="inlineStr">
        <is>
          <t>Funded Trading Plus</t>
        </is>
      </c>
      <c r="F1355" s="19" t="inlineStr">
        <is>
          <t>#140 Instant-Direct 100k</t>
        </is>
      </c>
      <c r="G1355" s="22" t="n">
        <v>100000</v>
      </c>
      <c r="H1355" s="22" t="n">
        <v>8000</v>
      </c>
      <c r="I1355" s="22" t="n">
        <v>6865063.15</v>
      </c>
      <c r="J1355" s="19" t="inlineStr">
        <is>
          <t>10 % × 100,000 × split 80%</t>
        </is>
      </c>
    </row>
    <row r="1356">
      <c r="A1356" s="13" t="n">
        <v>1355</v>
      </c>
      <c r="B1356" s="14" t="n">
        <v>46520</v>
      </c>
      <c r="C1356" s="15" t="n">
        <v>8</v>
      </c>
      <c r="D1356" s="25" t="inlineStr">
        <is>
          <t>Payout</t>
        </is>
      </c>
      <c r="E1356" s="13" t="inlineStr">
        <is>
          <t>Funding Dynasty</t>
        </is>
      </c>
      <c r="F1356" s="13" t="inlineStr">
        <is>
          <t>#141 Instant-Direct 200k</t>
        </is>
      </c>
      <c r="G1356" s="17" t="n">
        <v>200000</v>
      </c>
      <c r="H1356" s="17" t="n">
        <v>16000</v>
      </c>
      <c r="I1356" s="17" t="n">
        <v>6881063.15</v>
      </c>
      <c r="J1356" s="13" t="inlineStr">
        <is>
          <t>10 % × 200,000 × split 80%</t>
        </is>
      </c>
    </row>
    <row r="1357">
      <c r="A1357" s="19" t="n">
        <v>1356</v>
      </c>
      <c r="B1357" s="20" t="n">
        <v>46520</v>
      </c>
      <c r="C1357" s="21" t="n">
        <v>8</v>
      </c>
      <c r="D1357" s="25" t="inlineStr">
        <is>
          <t>Payout</t>
        </is>
      </c>
      <c r="E1357" s="19" t="inlineStr">
        <is>
          <t>Funding Frontier</t>
        </is>
      </c>
      <c r="F1357" s="19" t="inlineStr">
        <is>
          <t>#142 Instant-Direct 50k</t>
        </is>
      </c>
      <c r="G1357" s="22" t="n">
        <v>50000</v>
      </c>
      <c r="H1357" s="22" t="n">
        <v>4000</v>
      </c>
      <c r="I1357" s="22" t="n">
        <v>6885063.15</v>
      </c>
      <c r="J1357" s="19" t="inlineStr">
        <is>
          <t>10 % × 50,000 × split 80%</t>
        </is>
      </c>
    </row>
    <row r="1358">
      <c r="A1358" s="13" t="n">
        <v>1357</v>
      </c>
      <c r="B1358" s="14" t="n">
        <v>46520</v>
      </c>
      <c r="C1358" s="15" t="n">
        <v>8</v>
      </c>
      <c r="D1358" s="25" t="inlineStr">
        <is>
          <t>Payout</t>
        </is>
      </c>
      <c r="E1358" s="13" t="inlineStr">
        <is>
          <t>FundYourFX</t>
        </is>
      </c>
      <c r="F1358" s="13" t="inlineStr">
        <is>
          <t>#143 Instant-Direct 200k</t>
        </is>
      </c>
      <c r="G1358" s="17" t="n">
        <v>200000</v>
      </c>
      <c r="H1358" s="17" t="n">
        <v>19000</v>
      </c>
      <c r="I1358" s="17" t="n">
        <v>6904063.15</v>
      </c>
      <c r="J1358" s="13" t="inlineStr">
        <is>
          <t>10 % × 200,000 × split 95%</t>
        </is>
      </c>
    </row>
    <row r="1359">
      <c r="A1359" s="19" t="n">
        <v>1358</v>
      </c>
      <c r="B1359" s="20" t="n">
        <v>46520</v>
      </c>
      <c r="C1359" s="21" t="n">
        <v>8</v>
      </c>
      <c r="D1359" s="25" t="inlineStr">
        <is>
          <t>Payout</t>
        </is>
      </c>
      <c r="E1359" s="19" t="inlineStr">
        <is>
          <t>Hex Funded</t>
        </is>
      </c>
      <c r="F1359" s="19" t="inlineStr">
        <is>
          <t>#144 Instant-Direct 100k</t>
        </is>
      </c>
      <c r="G1359" s="22" t="n">
        <v>100000</v>
      </c>
      <c r="H1359" s="22" t="n">
        <v>9000</v>
      </c>
      <c r="I1359" s="22" t="n">
        <v>6913063.15</v>
      </c>
      <c r="J1359" s="19" t="inlineStr">
        <is>
          <t>10 % × 100,000 × split 90%</t>
        </is>
      </c>
    </row>
    <row r="1360">
      <c r="A1360" s="13" t="n">
        <v>1359</v>
      </c>
      <c r="B1360" s="14" t="n">
        <v>46520</v>
      </c>
      <c r="C1360" s="15" t="n">
        <v>8</v>
      </c>
      <c r="D1360" s="25" t="inlineStr">
        <is>
          <t>Payout</t>
        </is>
      </c>
      <c r="E1360" s="13" t="inlineStr">
        <is>
          <t>FundingRock</t>
        </is>
      </c>
      <c r="F1360" s="13" t="inlineStr">
        <is>
          <t>#145 Instant-Direct 100k</t>
        </is>
      </c>
      <c r="G1360" s="17" t="n">
        <v>100000</v>
      </c>
      <c r="H1360" s="17" t="n">
        <v>8000</v>
      </c>
      <c r="I1360" s="17" t="n">
        <v>6921063.15</v>
      </c>
      <c r="J1360" s="13" t="inlineStr">
        <is>
          <t>10 % × 100,000 × split 80%</t>
        </is>
      </c>
    </row>
    <row r="1361">
      <c r="A1361" s="19" t="n">
        <v>1360</v>
      </c>
      <c r="B1361" s="20" t="n">
        <v>46520</v>
      </c>
      <c r="C1361" s="21" t="n">
        <v>8</v>
      </c>
      <c r="D1361" s="25" t="inlineStr">
        <is>
          <t>Payout</t>
        </is>
      </c>
      <c r="E1361" s="19" t="inlineStr">
        <is>
          <t>LegionFunding</t>
        </is>
      </c>
      <c r="F1361" s="19" t="inlineStr">
        <is>
          <t>#146 Instant-Direct 100k</t>
        </is>
      </c>
      <c r="G1361" s="22" t="n">
        <v>100000</v>
      </c>
      <c r="H1361" s="22" t="n">
        <v>8000</v>
      </c>
      <c r="I1361" s="22" t="n">
        <v>6929063.15</v>
      </c>
      <c r="J1361" s="19" t="inlineStr">
        <is>
          <t>10 % × 100,000 × split 80%</t>
        </is>
      </c>
    </row>
    <row r="1362">
      <c r="A1362" s="13" t="n">
        <v>1361</v>
      </c>
      <c r="B1362" s="14" t="n">
        <v>46520</v>
      </c>
      <c r="C1362" s="15" t="n">
        <v>8</v>
      </c>
      <c r="D1362" s="25" t="inlineStr">
        <is>
          <t>Payout</t>
        </is>
      </c>
      <c r="E1362" s="13" t="inlineStr">
        <is>
          <t>MasterFunders</t>
        </is>
      </c>
      <c r="F1362" s="13" t="inlineStr">
        <is>
          <t>#147 Instant-Direct 100k</t>
        </is>
      </c>
      <c r="G1362" s="17" t="n">
        <v>100000</v>
      </c>
      <c r="H1362" s="17" t="n">
        <v>8000</v>
      </c>
      <c r="I1362" s="17" t="n">
        <v>6937063.15</v>
      </c>
      <c r="J1362" s="13" t="inlineStr">
        <is>
          <t>10 % × 100,000 × split 80%</t>
        </is>
      </c>
    </row>
    <row r="1363">
      <c r="A1363" s="19" t="n">
        <v>1362</v>
      </c>
      <c r="B1363" s="20" t="n">
        <v>46520</v>
      </c>
      <c r="C1363" s="21" t="n">
        <v>8</v>
      </c>
      <c r="D1363" s="25" t="inlineStr">
        <is>
          <t>Payout</t>
        </is>
      </c>
      <c r="E1363" s="19" t="inlineStr">
        <is>
          <t>BloomFunded</t>
        </is>
      </c>
      <c r="F1363" s="19" t="inlineStr">
        <is>
          <t>#148 Instant-Direct 50k</t>
        </is>
      </c>
      <c r="G1363" s="22" t="n">
        <v>50000</v>
      </c>
      <c r="H1363" s="22" t="n">
        <v>4500</v>
      </c>
      <c r="I1363" s="22" t="n">
        <v>6941563.15</v>
      </c>
      <c r="J1363" s="19" t="inlineStr">
        <is>
          <t>10 % × 50,000 × split 90%</t>
        </is>
      </c>
    </row>
    <row r="1364">
      <c r="A1364" s="13" t="n">
        <v>1363</v>
      </c>
      <c r="B1364" s="14" t="n">
        <v>46520</v>
      </c>
      <c r="C1364" s="15" t="n">
        <v>8</v>
      </c>
      <c r="D1364" s="25" t="inlineStr">
        <is>
          <t>Payout</t>
        </is>
      </c>
      <c r="E1364" s="13" t="inlineStr">
        <is>
          <t>Finotive Futures</t>
        </is>
      </c>
      <c r="F1364" s="13" t="inlineStr">
        <is>
          <t>#153 1 Step 150k</t>
        </is>
      </c>
      <c r="G1364" s="17" t="n">
        <v>150000</v>
      </c>
      <c r="H1364" s="17" t="n">
        <v>13500</v>
      </c>
      <c r="I1364" s="17" t="n">
        <v>6955063.15</v>
      </c>
      <c r="J1364" s="13" t="inlineStr">
        <is>
          <t>10 % × 150,000 × split 90%</t>
        </is>
      </c>
    </row>
    <row r="1365">
      <c r="A1365" s="19" t="n">
        <v>1364</v>
      </c>
      <c r="B1365" s="20" t="n">
        <v>46520</v>
      </c>
      <c r="C1365" s="21" t="n">
        <v>8</v>
      </c>
      <c r="D1365" s="25" t="inlineStr">
        <is>
          <t>Payout</t>
        </is>
      </c>
      <c r="E1365" s="19" t="inlineStr">
        <is>
          <t>Finotive Futures</t>
        </is>
      </c>
      <c r="F1365" s="19" t="inlineStr">
        <is>
          <t>#154 1 Step 150k</t>
        </is>
      </c>
      <c r="G1365" s="22" t="n">
        <v>150000</v>
      </c>
      <c r="H1365" s="22" t="n">
        <v>13500</v>
      </c>
      <c r="I1365" s="22" t="n">
        <v>6968563.15</v>
      </c>
      <c r="J1365" s="19" t="inlineStr">
        <is>
          <t>10 % × 150,000 × split 90%</t>
        </is>
      </c>
    </row>
    <row r="1366">
      <c r="A1366" s="13" t="n">
        <v>1365</v>
      </c>
      <c r="B1366" s="14" t="n">
        <v>46520</v>
      </c>
      <c r="C1366" s="15" t="n">
        <v>8</v>
      </c>
      <c r="D1366" s="25" t="inlineStr">
        <is>
          <t>Payout</t>
        </is>
      </c>
      <c r="E1366" s="13" t="inlineStr">
        <is>
          <t>Finotive Futures</t>
        </is>
      </c>
      <c r="F1366" s="13" t="inlineStr">
        <is>
          <t>#155 1 Step 150k</t>
        </is>
      </c>
      <c r="G1366" s="17" t="n">
        <v>150000</v>
      </c>
      <c r="H1366" s="17" t="n">
        <v>13500</v>
      </c>
      <c r="I1366" s="17" t="n">
        <v>6982063.15</v>
      </c>
      <c r="J1366" s="13" t="inlineStr">
        <is>
          <t>10 % × 150,000 × split 90%</t>
        </is>
      </c>
    </row>
    <row r="1367">
      <c r="A1367" s="19" t="n">
        <v>1366</v>
      </c>
      <c r="B1367" s="20" t="n">
        <v>46520</v>
      </c>
      <c r="C1367" s="21" t="n">
        <v>8</v>
      </c>
      <c r="D1367" s="25" t="inlineStr">
        <is>
          <t>Payout</t>
        </is>
      </c>
      <c r="E1367" s="19" t="inlineStr">
        <is>
          <t>Finotive Futures</t>
        </is>
      </c>
      <c r="F1367" s="19" t="inlineStr">
        <is>
          <t>#156 1 Step 150k</t>
        </is>
      </c>
      <c r="G1367" s="22" t="n">
        <v>150000</v>
      </c>
      <c r="H1367" s="22" t="n">
        <v>13500</v>
      </c>
      <c r="I1367" s="22" t="n">
        <v>6995563.15</v>
      </c>
      <c r="J1367" s="19" t="inlineStr">
        <is>
          <t>10 % × 150,000 × split 90%</t>
        </is>
      </c>
    </row>
    <row r="1368">
      <c r="A1368" s="13" t="n">
        <v>1367</v>
      </c>
      <c r="B1368" s="14" t="n">
        <v>46520</v>
      </c>
      <c r="C1368" s="15" t="n">
        <v>8</v>
      </c>
      <c r="D1368" s="25" t="inlineStr">
        <is>
          <t>Payout</t>
        </is>
      </c>
      <c r="E1368" s="13" t="inlineStr">
        <is>
          <t>Finotive Futures</t>
        </is>
      </c>
      <c r="F1368" s="13" t="inlineStr">
        <is>
          <t>#157 1 Step 150k</t>
        </is>
      </c>
      <c r="G1368" s="17" t="n">
        <v>150000</v>
      </c>
      <c r="H1368" s="17" t="n">
        <v>13500</v>
      </c>
      <c r="I1368" s="17" t="n">
        <v>7009063.15</v>
      </c>
      <c r="J1368" s="13" t="inlineStr">
        <is>
          <t>10 % × 150,000 × split 90%</t>
        </is>
      </c>
    </row>
    <row r="1369">
      <c r="A1369" s="19" t="n">
        <v>1368</v>
      </c>
      <c r="B1369" s="20" t="n">
        <v>46520</v>
      </c>
      <c r="C1369" s="21" t="n">
        <v>8</v>
      </c>
      <c r="D1369" s="25" t="inlineStr">
        <is>
          <t>Payout</t>
        </is>
      </c>
      <c r="E1369" s="19" t="inlineStr">
        <is>
          <t>Finotive Futures</t>
        </is>
      </c>
      <c r="F1369" s="19" t="inlineStr">
        <is>
          <t>#158 1 Step 150k</t>
        </is>
      </c>
      <c r="G1369" s="22" t="n">
        <v>150000</v>
      </c>
      <c r="H1369" s="22" t="n">
        <v>13500</v>
      </c>
      <c r="I1369" s="22" t="n">
        <v>7022563.15</v>
      </c>
      <c r="J1369" s="19" t="inlineStr">
        <is>
          <t>10 % × 150,000 × split 90%</t>
        </is>
      </c>
    </row>
    <row r="1370">
      <c r="A1370" s="13" t="n">
        <v>1369</v>
      </c>
      <c r="B1370" s="14" t="n">
        <v>46520</v>
      </c>
      <c r="C1370" s="15" t="n">
        <v>8</v>
      </c>
      <c r="D1370" s="25" t="inlineStr">
        <is>
          <t>Payout</t>
        </is>
      </c>
      <c r="E1370" s="13" t="inlineStr">
        <is>
          <t>Funded Trader Markets</t>
        </is>
      </c>
      <c r="F1370" s="13" t="inlineStr">
        <is>
          <t>#159 1 Step 300k</t>
        </is>
      </c>
      <c r="G1370" s="17" t="n">
        <v>300000</v>
      </c>
      <c r="H1370" s="17" t="n">
        <v>27000</v>
      </c>
      <c r="I1370" s="17" t="n">
        <v>7049563.15</v>
      </c>
      <c r="J1370" s="13" t="inlineStr">
        <is>
          <t>10 % × 300,000 × split 90%</t>
        </is>
      </c>
    </row>
    <row r="1371">
      <c r="A1371" s="19" t="n">
        <v>1370</v>
      </c>
      <c r="B1371" s="20" t="n">
        <v>46520</v>
      </c>
      <c r="C1371" s="21" t="n">
        <v>8</v>
      </c>
      <c r="D1371" s="25" t="inlineStr">
        <is>
          <t>Payout</t>
        </is>
      </c>
      <c r="E1371" s="19" t="inlineStr">
        <is>
          <t>Funded Trader Markets</t>
        </is>
      </c>
      <c r="F1371" s="19" t="inlineStr">
        <is>
          <t>#160 1 Step 300k</t>
        </is>
      </c>
      <c r="G1371" s="22" t="n">
        <v>300000</v>
      </c>
      <c r="H1371" s="22" t="n">
        <v>27000</v>
      </c>
      <c r="I1371" s="22" t="n">
        <v>7076563.15</v>
      </c>
      <c r="J1371" s="19" t="inlineStr">
        <is>
          <t>10 % × 300,000 × split 90%</t>
        </is>
      </c>
    </row>
    <row r="1372">
      <c r="A1372" s="13" t="n">
        <v>1371</v>
      </c>
      <c r="B1372" s="14" t="n">
        <v>46520</v>
      </c>
      <c r="C1372" s="15" t="n">
        <v>8</v>
      </c>
      <c r="D1372" s="25" t="inlineStr">
        <is>
          <t>Payout</t>
        </is>
      </c>
      <c r="E1372" s="13" t="inlineStr">
        <is>
          <t>Funded Trader Markets</t>
        </is>
      </c>
      <c r="F1372" s="13" t="inlineStr">
        <is>
          <t>#161 1 Step 300k</t>
        </is>
      </c>
      <c r="G1372" s="17" t="n">
        <v>300000</v>
      </c>
      <c r="H1372" s="17" t="n">
        <v>27000</v>
      </c>
      <c r="I1372" s="17" t="n">
        <v>7103563.15</v>
      </c>
      <c r="J1372" s="13" t="inlineStr">
        <is>
          <t>10 % × 300,000 × split 90%</t>
        </is>
      </c>
    </row>
    <row r="1373">
      <c r="A1373" s="19" t="n">
        <v>1372</v>
      </c>
      <c r="B1373" s="20" t="n">
        <v>46520</v>
      </c>
      <c r="C1373" s="21" t="n">
        <v>8</v>
      </c>
      <c r="D1373" s="25" t="inlineStr">
        <is>
          <t>Payout</t>
        </is>
      </c>
      <c r="E1373" s="19" t="inlineStr">
        <is>
          <t>Kingdom Wealth Funding</t>
        </is>
      </c>
      <c r="F1373" s="19" t="inlineStr">
        <is>
          <t>#164 1 Step 1000k</t>
        </is>
      </c>
      <c r="G1373" s="22" t="n">
        <v>1000000</v>
      </c>
      <c r="H1373" s="22" t="n">
        <v>80000</v>
      </c>
      <c r="I1373" s="22" t="n">
        <v>7183563.15</v>
      </c>
      <c r="J1373" s="19" t="inlineStr">
        <is>
          <t>10 % × 1,000,000 × split 80%</t>
        </is>
      </c>
    </row>
    <row r="1374">
      <c r="A1374" s="13" t="n">
        <v>1373</v>
      </c>
      <c r="B1374" s="14" t="n">
        <v>46520</v>
      </c>
      <c r="C1374" s="15" t="n">
        <v>8</v>
      </c>
      <c r="D1374" s="25" t="inlineStr">
        <is>
          <t>Payout</t>
        </is>
      </c>
      <c r="E1374" s="13" t="inlineStr">
        <is>
          <t>Ment Funding</t>
        </is>
      </c>
      <c r="F1374" s="13" t="inlineStr">
        <is>
          <t>#165 1 Step 1000k</t>
        </is>
      </c>
      <c r="G1374" s="17" t="n">
        <v>1000000</v>
      </c>
      <c r="H1374" s="17" t="n">
        <v>80000</v>
      </c>
      <c r="I1374" s="17" t="n">
        <v>7263563.15</v>
      </c>
      <c r="J1374" s="13" t="inlineStr">
        <is>
          <t>10 % × 1,000,000 × split 80%</t>
        </is>
      </c>
    </row>
    <row r="1375">
      <c r="A1375" s="19" t="n">
        <v>1374</v>
      </c>
      <c r="B1375" s="20" t="n">
        <v>46520</v>
      </c>
      <c r="C1375" s="21" t="n">
        <v>8</v>
      </c>
      <c r="D1375" s="25" t="inlineStr">
        <is>
          <t>Payout</t>
        </is>
      </c>
      <c r="E1375" s="19" t="inlineStr">
        <is>
          <t>Ment Funding Futures</t>
        </is>
      </c>
      <c r="F1375" s="19" t="inlineStr">
        <is>
          <t>#172 1 Step 400k</t>
        </is>
      </c>
      <c r="G1375" s="22" t="n">
        <v>400000</v>
      </c>
      <c r="H1375" s="22" t="n">
        <v>32000</v>
      </c>
      <c r="I1375" s="22" t="n">
        <v>7295563.15</v>
      </c>
      <c r="J1375" s="19" t="inlineStr">
        <is>
          <t>10 % × 400,000 × split 80%</t>
        </is>
      </c>
    </row>
    <row r="1376">
      <c r="A1376" s="13" t="n">
        <v>1375</v>
      </c>
      <c r="B1376" s="14" t="n">
        <v>46520</v>
      </c>
      <c r="C1376" s="15" t="n">
        <v>8</v>
      </c>
      <c r="D1376" s="25" t="inlineStr">
        <is>
          <t>Payout</t>
        </is>
      </c>
      <c r="E1376" s="13" t="inlineStr">
        <is>
          <t>10FOUR</t>
        </is>
      </c>
      <c r="F1376" s="13" t="inlineStr">
        <is>
          <t>#173 1 Step 150k</t>
        </is>
      </c>
      <c r="G1376" s="17" t="n">
        <v>150000</v>
      </c>
      <c r="H1376" s="17" t="n">
        <v>13500</v>
      </c>
      <c r="I1376" s="17" t="n">
        <v>7309063.15</v>
      </c>
      <c r="J1376" s="13" t="inlineStr">
        <is>
          <t>10 % × 150,000 × split 90%</t>
        </is>
      </c>
    </row>
    <row r="1377">
      <c r="A1377" s="19" t="n">
        <v>1376</v>
      </c>
      <c r="B1377" s="20" t="n">
        <v>46520</v>
      </c>
      <c r="C1377" s="21" t="n">
        <v>8</v>
      </c>
      <c r="D1377" s="25" t="inlineStr">
        <is>
          <t>Payout</t>
        </is>
      </c>
      <c r="E1377" s="19" t="inlineStr">
        <is>
          <t>10FOUR</t>
        </is>
      </c>
      <c r="F1377" s="19" t="inlineStr">
        <is>
          <t>#174 1 Step 150k</t>
        </is>
      </c>
      <c r="G1377" s="22" t="n">
        <v>150000</v>
      </c>
      <c r="H1377" s="22" t="n">
        <v>13500</v>
      </c>
      <c r="I1377" s="22" t="n">
        <v>7322563.15</v>
      </c>
      <c r="J1377" s="19" t="inlineStr">
        <is>
          <t>10 % × 150,000 × split 90%</t>
        </is>
      </c>
    </row>
    <row r="1378">
      <c r="A1378" s="13" t="n">
        <v>1377</v>
      </c>
      <c r="B1378" s="14" t="n">
        <v>46520</v>
      </c>
      <c r="C1378" s="15" t="n">
        <v>8</v>
      </c>
      <c r="D1378" s="25" t="inlineStr">
        <is>
          <t>Payout</t>
        </is>
      </c>
      <c r="E1378" s="13" t="inlineStr">
        <is>
          <t>10FOUR</t>
        </is>
      </c>
      <c r="F1378" s="13" t="inlineStr">
        <is>
          <t>#175 1 Step 150k</t>
        </is>
      </c>
      <c r="G1378" s="17" t="n">
        <v>150000</v>
      </c>
      <c r="H1378" s="17" t="n">
        <v>13500</v>
      </c>
      <c r="I1378" s="17" t="n">
        <v>7336063.15</v>
      </c>
      <c r="J1378" s="13" t="inlineStr">
        <is>
          <t>10 % × 150,000 × split 90%</t>
        </is>
      </c>
    </row>
    <row r="1379">
      <c r="A1379" s="19" t="n">
        <v>1378</v>
      </c>
      <c r="B1379" s="20" t="n">
        <v>46520</v>
      </c>
      <c r="C1379" s="21" t="n">
        <v>8</v>
      </c>
      <c r="D1379" s="25" t="inlineStr">
        <is>
          <t>Payout</t>
        </is>
      </c>
      <c r="E1379" s="19" t="inlineStr">
        <is>
          <t>10FOUR</t>
        </is>
      </c>
      <c r="F1379" s="19" t="inlineStr">
        <is>
          <t>#176 1 Step 150k</t>
        </is>
      </c>
      <c r="G1379" s="22" t="n">
        <v>150000</v>
      </c>
      <c r="H1379" s="22" t="n">
        <v>13500</v>
      </c>
      <c r="I1379" s="22" t="n">
        <v>7349563.15</v>
      </c>
      <c r="J1379" s="19" t="inlineStr">
        <is>
          <t>10 % × 150,000 × split 90%</t>
        </is>
      </c>
    </row>
    <row r="1380">
      <c r="A1380" s="13" t="n">
        <v>1379</v>
      </c>
      <c r="B1380" s="14" t="n">
        <v>46520</v>
      </c>
      <c r="C1380" s="15" t="n">
        <v>8</v>
      </c>
      <c r="D1380" s="25" t="inlineStr">
        <is>
          <t>Payout</t>
        </is>
      </c>
      <c r="E1380" s="13" t="inlineStr">
        <is>
          <t>10FOUR</t>
        </is>
      </c>
      <c r="F1380" s="13" t="inlineStr">
        <is>
          <t>#177 1 Step 150k</t>
        </is>
      </c>
      <c r="G1380" s="17" t="n">
        <v>150000</v>
      </c>
      <c r="H1380" s="17" t="n">
        <v>13500</v>
      </c>
      <c r="I1380" s="17" t="n">
        <v>7363063.15</v>
      </c>
      <c r="J1380" s="13" t="inlineStr">
        <is>
          <t>10 % × 150,000 × split 90%</t>
        </is>
      </c>
    </row>
    <row r="1381">
      <c r="A1381" s="19" t="n">
        <v>1380</v>
      </c>
      <c r="B1381" s="20" t="n">
        <v>46520</v>
      </c>
      <c r="C1381" s="21" t="n">
        <v>8</v>
      </c>
      <c r="D1381" s="25" t="inlineStr">
        <is>
          <t>Payout</t>
        </is>
      </c>
      <c r="E1381" s="19" t="inlineStr">
        <is>
          <t>Blue Guardian Futures</t>
        </is>
      </c>
      <c r="F1381" s="19" t="inlineStr">
        <is>
          <t>#178 1 Step 100k</t>
        </is>
      </c>
      <c r="G1381" s="22" t="n">
        <v>100000</v>
      </c>
      <c r="H1381" s="22" t="n">
        <v>9000</v>
      </c>
      <c r="I1381" s="22" t="n">
        <v>7372063.15</v>
      </c>
      <c r="J1381" s="19" t="inlineStr">
        <is>
          <t>10 % × 100,000 × split 90%</t>
        </is>
      </c>
    </row>
    <row r="1382">
      <c r="A1382" s="13" t="n">
        <v>1381</v>
      </c>
      <c r="B1382" s="14" t="n">
        <v>46520</v>
      </c>
      <c r="C1382" s="15" t="n">
        <v>8</v>
      </c>
      <c r="D1382" s="25" t="inlineStr">
        <is>
          <t>Payout</t>
        </is>
      </c>
      <c r="E1382" s="13" t="inlineStr">
        <is>
          <t>Blue Guardian Futures</t>
        </is>
      </c>
      <c r="F1382" s="13" t="inlineStr">
        <is>
          <t>#179 1 Step 100k</t>
        </is>
      </c>
      <c r="G1382" s="17" t="n">
        <v>100000</v>
      </c>
      <c r="H1382" s="17" t="n">
        <v>9000</v>
      </c>
      <c r="I1382" s="17" t="n">
        <v>7381063.15</v>
      </c>
      <c r="J1382" s="13" t="inlineStr">
        <is>
          <t>10 % × 100,000 × split 90%</t>
        </is>
      </c>
    </row>
    <row r="1383">
      <c r="A1383" s="19" t="n">
        <v>1382</v>
      </c>
      <c r="B1383" s="20" t="n">
        <v>46520</v>
      </c>
      <c r="C1383" s="21" t="n">
        <v>8</v>
      </c>
      <c r="D1383" s="25" t="inlineStr">
        <is>
          <t>Payout</t>
        </is>
      </c>
      <c r="E1383" s="19" t="inlineStr">
        <is>
          <t>Blue Guardian Futures</t>
        </is>
      </c>
      <c r="F1383" s="19" t="inlineStr">
        <is>
          <t>#180 1 Step 100k</t>
        </is>
      </c>
      <c r="G1383" s="22" t="n">
        <v>100000</v>
      </c>
      <c r="H1383" s="22" t="n">
        <v>9000</v>
      </c>
      <c r="I1383" s="22" t="n">
        <v>7390063.15</v>
      </c>
      <c r="J1383" s="19" t="inlineStr">
        <is>
          <t>10 % × 100,000 × split 90%</t>
        </is>
      </c>
    </row>
    <row r="1384">
      <c r="A1384" s="13" t="n">
        <v>1383</v>
      </c>
      <c r="B1384" s="14" t="n">
        <v>46520</v>
      </c>
      <c r="C1384" s="15" t="n">
        <v>8</v>
      </c>
      <c r="D1384" s="25" t="inlineStr">
        <is>
          <t>Payout</t>
        </is>
      </c>
      <c r="E1384" s="13" t="inlineStr">
        <is>
          <t>Blue Guardian Futures</t>
        </is>
      </c>
      <c r="F1384" s="13" t="inlineStr">
        <is>
          <t>#181 1 Step 100k</t>
        </is>
      </c>
      <c r="G1384" s="17" t="n">
        <v>100000</v>
      </c>
      <c r="H1384" s="17" t="n">
        <v>9000</v>
      </c>
      <c r="I1384" s="17" t="n">
        <v>7399063.15</v>
      </c>
      <c r="J1384" s="13" t="inlineStr">
        <is>
          <t>10 % × 100,000 × split 90%</t>
        </is>
      </c>
    </row>
    <row r="1385">
      <c r="A1385" s="19" t="n">
        <v>1384</v>
      </c>
      <c r="B1385" s="20" t="n">
        <v>46520</v>
      </c>
      <c r="C1385" s="21" t="n">
        <v>8</v>
      </c>
      <c r="D1385" s="25" t="inlineStr">
        <is>
          <t>Payout</t>
        </is>
      </c>
      <c r="E1385" s="19" t="inlineStr">
        <is>
          <t>Blue Guardian Futures</t>
        </is>
      </c>
      <c r="F1385" s="19" t="inlineStr">
        <is>
          <t>#182 1 Step 100k</t>
        </is>
      </c>
      <c r="G1385" s="22" t="n">
        <v>100000</v>
      </c>
      <c r="H1385" s="22" t="n">
        <v>9000</v>
      </c>
      <c r="I1385" s="22" t="n">
        <v>7408063.15</v>
      </c>
      <c r="J1385" s="19" t="inlineStr">
        <is>
          <t>10 % × 100,000 × split 90%</t>
        </is>
      </c>
    </row>
    <row r="1386">
      <c r="A1386" s="13" t="n">
        <v>1385</v>
      </c>
      <c r="B1386" s="14" t="n">
        <v>46520</v>
      </c>
      <c r="C1386" s="15" t="n">
        <v>8</v>
      </c>
      <c r="D1386" s="25" t="inlineStr">
        <is>
          <t>Payout</t>
        </is>
      </c>
      <c r="E1386" s="13" t="inlineStr">
        <is>
          <t>Blue Guardian Futures</t>
        </is>
      </c>
      <c r="F1386" s="13" t="inlineStr">
        <is>
          <t>#183 1 Step 100k</t>
        </is>
      </c>
      <c r="G1386" s="17" t="n">
        <v>100000</v>
      </c>
      <c r="H1386" s="17" t="n">
        <v>9000</v>
      </c>
      <c r="I1386" s="17" t="n">
        <v>7417063.15</v>
      </c>
      <c r="J1386" s="13" t="inlineStr">
        <is>
          <t>10 % × 100,000 × split 90%</t>
        </is>
      </c>
    </row>
    <row r="1387">
      <c r="A1387" s="19" t="n">
        <v>1386</v>
      </c>
      <c r="B1387" s="20" t="n">
        <v>46520</v>
      </c>
      <c r="C1387" s="21" t="n">
        <v>8</v>
      </c>
      <c r="D1387" s="25" t="inlineStr">
        <is>
          <t>Payout</t>
        </is>
      </c>
      <c r="E1387" s="19" t="inlineStr">
        <is>
          <t>Blue Guardian Futures</t>
        </is>
      </c>
      <c r="F1387" s="19" t="inlineStr">
        <is>
          <t>#184 1 Step 100k</t>
        </is>
      </c>
      <c r="G1387" s="22" t="n">
        <v>100000</v>
      </c>
      <c r="H1387" s="22" t="n">
        <v>9000</v>
      </c>
      <c r="I1387" s="22" t="n">
        <v>7426063.15</v>
      </c>
      <c r="J1387" s="19" t="inlineStr">
        <is>
          <t>10 % × 100,000 × split 90%</t>
        </is>
      </c>
    </row>
    <row r="1388">
      <c r="A1388" s="13" t="n">
        <v>1387</v>
      </c>
      <c r="B1388" s="14" t="n">
        <v>46520</v>
      </c>
      <c r="C1388" s="15" t="n">
        <v>8</v>
      </c>
      <c r="D1388" s="25" t="inlineStr">
        <is>
          <t>Payout</t>
        </is>
      </c>
      <c r="E1388" s="13" t="inlineStr">
        <is>
          <t>FunderPro Futures</t>
        </is>
      </c>
      <c r="F1388" s="13" t="inlineStr">
        <is>
          <t>#185 1 Step 150k</t>
        </is>
      </c>
      <c r="G1388" s="17" t="n">
        <v>150000</v>
      </c>
      <c r="H1388" s="17" t="n">
        <v>9000</v>
      </c>
      <c r="I1388" s="17" t="n">
        <v>7435063.15</v>
      </c>
      <c r="J1388" s="13" t="inlineStr">
        <is>
          <t>10 % × 150,000 × split 60%</t>
        </is>
      </c>
    </row>
    <row r="1389">
      <c r="A1389" s="19" t="n">
        <v>1388</v>
      </c>
      <c r="B1389" s="20" t="n">
        <v>46520</v>
      </c>
      <c r="C1389" s="21" t="n">
        <v>8</v>
      </c>
      <c r="D1389" s="25" t="inlineStr">
        <is>
          <t>Payout</t>
        </is>
      </c>
      <c r="E1389" s="19" t="inlineStr">
        <is>
          <t>FunderPro Futures</t>
        </is>
      </c>
      <c r="F1389" s="19" t="inlineStr">
        <is>
          <t>#186 1 Step 150k</t>
        </is>
      </c>
      <c r="G1389" s="22" t="n">
        <v>150000</v>
      </c>
      <c r="H1389" s="22" t="n">
        <v>9000</v>
      </c>
      <c r="I1389" s="22" t="n">
        <v>7444063.15</v>
      </c>
      <c r="J1389" s="19" t="inlineStr">
        <is>
          <t>10 % × 150,000 × split 60%</t>
        </is>
      </c>
    </row>
    <row r="1390">
      <c r="A1390" s="13" t="n">
        <v>1389</v>
      </c>
      <c r="B1390" s="14" t="n">
        <v>46520</v>
      </c>
      <c r="C1390" s="15" t="n">
        <v>8</v>
      </c>
      <c r="D1390" s="25" t="inlineStr">
        <is>
          <t>Payout</t>
        </is>
      </c>
      <c r="E1390" s="13" t="inlineStr">
        <is>
          <t>FunderPro Futures</t>
        </is>
      </c>
      <c r="F1390" s="13" t="inlineStr">
        <is>
          <t>#187 1 Step 150k</t>
        </is>
      </c>
      <c r="G1390" s="17" t="n">
        <v>150000</v>
      </c>
      <c r="H1390" s="17" t="n">
        <v>9000</v>
      </c>
      <c r="I1390" s="17" t="n">
        <v>7453063.15</v>
      </c>
      <c r="J1390" s="13" t="inlineStr">
        <is>
          <t>10 % × 150,000 × split 60%</t>
        </is>
      </c>
    </row>
    <row r="1391">
      <c r="A1391" s="19" t="n">
        <v>1390</v>
      </c>
      <c r="B1391" s="20" t="n">
        <v>46520</v>
      </c>
      <c r="C1391" s="21" t="n">
        <v>8</v>
      </c>
      <c r="D1391" s="25" t="inlineStr">
        <is>
          <t>Payout</t>
        </is>
      </c>
      <c r="E1391" s="19" t="inlineStr">
        <is>
          <t>FunderPro Futures</t>
        </is>
      </c>
      <c r="F1391" s="19" t="inlineStr">
        <is>
          <t>#188 1 Step 150k</t>
        </is>
      </c>
      <c r="G1391" s="22" t="n">
        <v>150000</v>
      </c>
      <c r="H1391" s="22" t="n">
        <v>9000</v>
      </c>
      <c r="I1391" s="22" t="n">
        <v>7462063.15</v>
      </c>
      <c r="J1391" s="19" t="inlineStr">
        <is>
          <t>10 % × 150,000 × split 60%</t>
        </is>
      </c>
    </row>
    <row r="1392">
      <c r="A1392" s="13" t="n">
        <v>1391</v>
      </c>
      <c r="B1392" s="14" t="n">
        <v>46520</v>
      </c>
      <c r="C1392" s="15" t="n">
        <v>8</v>
      </c>
      <c r="D1392" s="25" t="inlineStr">
        <is>
          <t>Payout</t>
        </is>
      </c>
      <c r="E1392" s="13" t="inlineStr">
        <is>
          <t>Capitalize</t>
        </is>
      </c>
      <c r="F1392" s="13" t="inlineStr">
        <is>
          <t>#202 1 Step 500k</t>
        </is>
      </c>
      <c r="G1392" s="17" t="n">
        <v>500000</v>
      </c>
      <c r="H1392" s="17" t="n">
        <v>40000</v>
      </c>
      <c r="I1392" s="17" t="n">
        <v>7502063.15</v>
      </c>
      <c r="J1392" s="13" t="inlineStr">
        <is>
          <t>10 % × 500,000 × split 80%</t>
        </is>
      </c>
    </row>
    <row r="1393">
      <c r="A1393" s="19" t="n">
        <v>1392</v>
      </c>
      <c r="B1393" s="20" t="n">
        <v>46520</v>
      </c>
      <c r="C1393" s="21" t="n">
        <v>8</v>
      </c>
      <c r="D1393" s="25" t="inlineStr">
        <is>
          <t>Payout</t>
        </is>
      </c>
      <c r="E1393" s="19" t="inlineStr">
        <is>
          <t>Hola Prime</t>
        </is>
      </c>
      <c r="F1393" s="19" t="inlineStr">
        <is>
          <t>#206 1 Step 150k</t>
        </is>
      </c>
      <c r="G1393" s="22" t="n">
        <v>150000</v>
      </c>
      <c r="H1393" s="22" t="n">
        <v>12000</v>
      </c>
      <c r="I1393" s="22" t="n">
        <v>7514063.15</v>
      </c>
      <c r="J1393" s="19" t="inlineStr">
        <is>
          <t>10 % × 150,000 × split 80%</t>
        </is>
      </c>
    </row>
    <row r="1394">
      <c r="A1394" s="13" t="n">
        <v>1393</v>
      </c>
      <c r="B1394" s="14" t="n">
        <v>46520</v>
      </c>
      <c r="C1394" s="15" t="n">
        <v>8</v>
      </c>
      <c r="D1394" s="25" t="inlineStr">
        <is>
          <t>Payout</t>
        </is>
      </c>
      <c r="E1394" s="13" t="inlineStr">
        <is>
          <t>Hola Prime</t>
        </is>
      </c>
      <c r="F1394" s="13" t="inlineStr">
        <is>
          <t>#207 1 Step 150k</t>
        </is>
      </c>
      <c r="G1394" s="17" t="n">
        <v>150000</v>
      </c>
      <c r="H1394" s="17" t="n">
        <v>12000</v>
      </c>
      <c r="I1394" s="17" t="n">
        <v>7526063.15</v>
      </c>
      <c r="J1394" s="13" t="inlineStr">
        <is>
          <t>10 % × 150,000 × split 80%</t>
        </is>
      </c>
    </row>
    <row r="1395">
      <c r="A1395" s="19" t="n">
        <v>1394</v>
      </c>
      <c r="B1395" s="20" t="n">
        <v>46520</v>
      </c>
      <c r="C1395" s="21" t="n">
        <v>8</v>
      </c>
      <c r="D1395" s="25" t="inlineStr">
        <is>
          <t>Payout</t>
        </is>
      </c>
      <c r="E1395" s="19" t="inlineStr">
        <is>
          <t>Hola Prime</t>
        </is>
      </c>
      <c r="F1395" s="19" t="inlineStr">
        <is>
          <t>#208 1 Step 150k</t>
        </is>
      </c>
      <c r="G1395" s="22" t="n">
        <v>150000</v>
      </c>
      <c r="H1395" s="22" t="n">
        <v>12000</v>
      </c>
      <c r="I1395" s="22" t="n">
        <v>7538063.15</v>
      </c>
      <c r="J1395" s="19" t="inlineStr">
        <is>
          <t>10 % × 150,000 × split 80%</t>
        </is>
      </c>
    </row>
    <row r="1396">
      <c r="A1396" s="13" t="n">
        <v>1395</v>
      </c>
      <c r="B1396" s="14" t="n">
        <v>46520</v>
      </c>
      <c r="C1396" s="15" t="n">
        <v>8</v>
      </c>
      <c r="D1396" s="25" t="inlineStr">
        <is>
          <t>Payout</t>
        </is>
      </c>
      <c r="E1396" s="13" t="inlineStr">
        <is>
          <t>FTMO Futures</t>
        </is>
      </c>
      <c r="F1396" s="13" t="inlineStr">
        <is>
          <t>#213 1 Step 150k</t>
        </is>
      </c>
      <c r="G1396" s="17" t="n">
        <v>150000</v>
      </c>
      <c r="H1396" s="17" t="n">
        <v>13500</v>
      </c>
      <c r="I1396" s="17" t="n">
        <v>7551563.15</v>
      </c>
      <c r="J1396" s="13" t="inlineStr">
        <is>
          <t>10 % × 150,000 × split 90%</t>
        </is>
      </c>
    </row>
    <row r="1397">
      <c r="A1397" s="19" t="n">
        <v>1396</v>
      </c>
      <c r="B1397" s="20" t="n">
        <v>46520</v>
      </c>
      <c r="C1397" s="21" t="n">
        <v>8</v>
      </c>
      <c r="D1397" s="25" t="inlineStr">
        <is>
          <t>Payout</t>
        </is>
      </c>
      <c r="E1397" s="19" t="inlineStr">
        <is>
          <t>FTMO Futures</t>
        </is>
      </c>
      <c r="F1397" s="19" t="inlineStr">
        <is>
          <t>#214 1 Step 150k</t>
        </is>
      </c>
      <c r="G1397" s="22" t="n">
        <v>150000</v>
      </c>
      <c r="H1397" s="22" t="n">
        <v>13500</v>
      </c>
      <c r="I1397" s="22" t="n">
        <v>7565063.15</v>
      </c>
      <c r="J1397" s="19" t="inlineStr">
        <is>
          <t>10 % × 150,000 × split 90%</t>
        </is>
      </c>
    </row>
    <row r="1398">
      <c r="A1398" s="13" t="n">
        <v>1397</v>
      </c>
      <c r="B1398" s="14" t="n">
        <v>46520</v>
      </c>
      <c r="C1398" s="15" t="n">
        <v>8</v>
      </c>
      <c r="D1398" s="25" t="inlineStr">
        <is>
          <t>Payout</t>
        </is>
      </c>
      <c r="E1398" s="13" t="inlineStr">
        <is>
          <t>FTMO Futures</t>
        </is>
      </c>
      <c r="F1398" s="13" t="inlineStr">
        <is>
          <t>#215 1 Step 150k</t>
        </is>
      </c>
      <c r="G1398" s="17" t="n">
        <v>150000</v>
      </c>
      <c r="H1398" s="17" t="n">
        <v>13500</v>
      </c>
      <c r="I1398" s="17" t="n">
        <v>7578563.15</v>
      </c>
      <c r="J1398" s="13" t="inlineStr">
        <is>
          <t>10 % × 150,000 × split 90%</t>
        </is>
      </c>
    </row>
    <row r="1399">
      <c r="A1399" s="19" t="n">
        <v>1398</v>
      </c>
      <c r="B1399" s="20" t="n">
        <v>46520</v>
      </c>
      <c r="C1399" s="21" t="n">
        <v>8</v>
      </c>
      <c r="D1399" s="25" t="inlineStr">
        <is>
          <t>Payout</t>
        </is>
      </c>
      <c r="E1399" s="19" t="inlineStr">
        <is>
          <t>Halcyon Trader Funding</t>
        </is>
      </c>
      <c r="F1399" s="19" t="inlineStr">
        <is>
          <t>#216 1 Step 150k</t>
        </is>
      </c>
      <c r="G1399" s="22" t="n">
        <v>150000</v>
      </c>
      <c r="H1399" s="22" t="n">
        <v>13500</v>
      </c>
      <c r="I1399" s="22" t="n">
        <v>7592063.15</v>
      </c>
      <c r="J1399" s="19" t="inlineStr">
        <is>
          <t>10 % × 150,000 × split 90%</t>
        </is>
      </c>
    </row>
    <row r="1400">
      <c r="A1400" s="13" t="n">
        <v>1399</v>
      </c>
      <c r="B1400" s="14" t="n">
        <v>46520</v>
      </c>
      <c r="C1400" s="15" t="n">
        <v>8</v>
      </c>
      <c r="D1400" s="25" t="inlineStr">
        <is>
          <t>Payout</t>
        </is>
      </c>
      <c r="E1400" s="13" t="inlineStr">
        <is>
          <t>Halcyon Trader Funding</t>
        </is>
      </c>
      <c r="F1400" s="13" t="inlineStr">
        <is>
          <t>#217 1 Step 150k</t>
        </is>
      </c>
      <c r="G1400" s="17" t="n">
        <v>150000</v>
      </c>
      <c r="H1400" s="17" t="n">
        <v>13500</v>
      </c>
      <c r="I1400" s="17" t="n">
        <v>7605563.15</v>
      </c>
      <c r="J1400" s="13" t="inlineStr">
        <is>
          <t>10 % × 150,000 × split 90%</t>
        </is>
      </c>
    </row>
    <row r="1401">
      <c r="A1401" s="19" t="n">
        <v>1400</v>
      </c>
      <c r="B1401" s="20" t="n">
        <v>46520</v>
      </c>
      <c r="C1401" s="21" t="n">
        <v>8</v>
      </c>
      <c r="D1401" s="25" t="inlineStr">
        <is>
          <t>Payout</t>
        </is>
      </c>
      <c r="E1401" s="19" t="inlineStr">
        <is>
          <t>Halcyon Trader Funding</t>
        </is>
      </c>
      <c r="F1401" s="19" t="inlineStr">
        <is>
          <t>#218 1 Step 150k</t>
        </is>
      </c>
      <c r="G1401" s="22" t="n">
        <v>150000</v>
      </c>
      <c r="H1401" s="22" t="n">
        <v>13500</v>
      </c>
      <c r="I1401" s="22" t="n">
        <v>7619063.15</v>
      </c>
      <c r="J1401" s="19" t="inlineStr">
        <is>
          <t>10 % × 150,000 × split 90%</t>
        </is>
      </c>
    </row>
    <row r="1402">
      <c r="A1402" s="13" t="n">
        <v>1401</v>
      </c>
      <c r="B1402" s="14" t="n">
        <v>46520</v>
      </c>
      <c r="C1402" s="15" t="n">
        <v>8</v>
      </c>
      <c r="D1402" s="25" t="inlineStr">
        <is>
          <t>Payout</t>
        </is>
      </c>
      <c r="E1402" s="13" t="inlineStr">
        <is>
          <t>Astrofund</t>
        </is>
      </c>
      <c r="F1402" s="13" t="inlineStr">
        <is>
          <t>#219 1 Step 100k</t>
        </is>
      </c>
      <c r="G1402" s="17" t="n">
        <v>100000</v>
      </c>
      <c r="H1402" s="17" t="n">
        <v>9000</v>
      </c>
      <c r="I1402" s="17" t="n">
        <v>7628063.15</v>
      </c>
      <c r="J1402" s="13" t="inlineStr">
        <is>
          <t>10 % × 100,000 × split 90%</t>
        </is>
      </c>
    </row>
    <row r="1403">
      <c r="A1403" s="19" t="n">
        <v>1402</v>
      </c>
      <c r="B1403" s="20" t="n">
        <v>46520</v>
      </c>
      <c r="C1403" s="21" t="n">
        <v>8</v>
      </c>
      <c r="D1403" s="25" t="inlineStr">
        <is>
          <t>Payout</t>
        </is>
      </c>
      <c r="E1403" s="19" t="inlineStr">
        <is>
          <t>Astrofund</t>
        </is>
      </c>
      <c r="F1403" s="19" t="inlineStr">
        <is>
          <t>#220 1 Step 100k</t>
        </is>
      </c>
      <c r="G1403" s="22" t="n">
        <v>100000</v>
      </c>
      <c r="H1403" s="22" t="n">
        <v>9000</v>
      </c>
      <c r="I1403" s="22" t="n">
        <v>7637063.15</v>
      </c>
      <c r="J1403" s="19" t="inlineStr">
        <is>
          <t>10 % × 100,000 × split 90%</t>
        </is>
      </c>
    </row>
    <row r="1404">
      <c r="A1404" s="13" t="n">
        <v>1403</v>
      </c>
      <c r="B1404" s="14" t="n">
        <v>46520</v>
      </c>
      <c r="C1404" s="15" t="n">
        <v>8</v>
      </c>
      <c r="D1404" s="25" t="inlineStr">
        <is>
          <t>Payout</t>
        </is>
      </c>
      <c r="E1404" s="13" t="inlineStr">
        <is>
          <t>Astrofund</t>
        </is>
      </c>
      <c r="F1404" s="13" t="inlineStr">
        <is>
          <t>#221 1 Step 100k</t>
        </is>
      </c>
      <c r="G1404" s="17" t="n">
        <v>100000</v>
      </c>
      <c r="H1404" s="17" t="n">
        <v>9000</v>
      </c>
      <c r="I1404" s="17" t="n">
        <v>7646063.15</v>
      </c>
      <c r="J1404" s="13" t="inlineStr">
        <is>
          <t>10 % × 100,000 × split 90%</t>
        </is>
      </c>
    </row>
    <row r="1405">
      <c r="A1405" s="19" t="n">
        <v>1404</v>
      </c>
      <c r="B1405" s="20" t="n">
        <v>46520</v>
      </c>
      <c r="C1405" s="21" t="n">
        <v>8</v>
      </c>
      <c r="D1405" s="25" t="inlineStr">
        <is>
          <t>Payout</t>
        </is>
      </c>
      <c r="E1405" s="19" t="inlineStr">
        <is>
          <t>Astrofund</t>
        </is>
      </c>
      <c r="F1405" s="19" t="inlineStr">
        <is>
          <t>#222 1 Step 100k</t>
        </is>
      </c>
      <c r="G1405" s="22" t="n">
        <v>100000</v>
      </c>
      <c r="H1405" s="22" t="n">
        <v>9000</v>
      </c>
      <c r="I1405" s="22" t="n">
        <v>7655063.15</v>
      </c>
      <c r="J1405" s="19" t="inlineStr">
        <is>
          <t>10 % × 100,000 × split 90%</t>
        </is>
      </c>
    </row>
    <row r="1406">
      <c r="A1406" s="13" t="n">
        <v>1405</v>
      </c>
      <c r="B1406" s="14" t="n">
        <v>46520</v>
      </c>
      <c r="C1406" s="15" t="n">
        <v>8</v>
      </c>
      <c r="D1406" s="25" t="inlineStr">
        <is>
          <t>Payout</t>
        </is>
      </c>
      <c r="E1406" s="13" t="inlineStr">
        <is>
          <t>BrightFunded</t>
        </is>
      </c>
      <c r="F1406" s="13" t="inlineStr">
        <is>
          <t>#223 1 Step 200k</t>
        </is>
      </c>
      <c r="G1406" s="17" t="n">
        <v>200000</v>
      </c>
      <c r="H1406" s="17" t="n">
        <v>20000</v>
      </c>
      <c r="I1406" s="17" t="n">
        <v>7675063.15</v>
      </c>
      <c r="J1406" s="13" t="inlineStr">
        <is>
          <t>10 % × 200,000 × split 100%</t>
        </is>
      </c>
    </row>
    <row r="1407">
      <c r="A1407" s="19" t="n">
        <v>1406</v>
      </c>
      <c r="B1407" s="20" t="n">
        <v>46520</v>
      </c>
      <c r="C1407" s="21" t="n">
        <v>8</v>
      </c>
      <c r="D1407" s="25" t="inlineStr">
        <is>
          <t>Payout</t>
        </is>
      </c>
      <c r="E1407" s="19" t="inlineStr">
        <is>
          <t>BrightFunded</t>
        </is>
      </c>
      <c r="F1407" s="19" t="inlineStr">
        <is>
          <t>#224 1 Step 200k</t>
        </is>
      </c>
      <c r="G1407" s="22" t="n">
        <v>200000</v>
      </c>
      <c r="H1407" s="22" t="n">
        <v>20000</v>
      </c>
      <c r="I1407" s="22" t="n">
        <v>7695063.15</v>
      </c>
      <c r="J1407" s="19" t="inlineStr">
        <is>
          <t>10 % × 200,000 × split 100%</t>
        </is>
      </c>
    </row>
    <row r="1408">
      <c r="A1408" s="13" t="n">
        <v>1407</v>
      </c>
      <c r="B1408" s="14" t="n">
        <v>46520</v>
      </c>
      <c r="C1408" s="15" t="n">
        <v>8</v>
      </c>
      <c r="D1408" s="25" t="inlineStr">
        <is>
          <t>Payout</t>
        </is>
      </c>
      <c r="E1408" s="13" t="inlineStr">
        <is>
          <t>FTMO</t>
        </is>
      </c>
      <c r="F1408" s="13" t="inlineStr">
        <is>
          <t>#227 1 Step 200k</t>
        </is>
      </c>
      <c r="G1408" s="17" t="n">
        <v>200000</v>
      </c>
      <c r="H1408" s="17" t="n">
        <v>16000</v>
      </c>
      <c r="I1408" s="17" t="n">
        <v>7711063.15</v>
      </c>
      <c r="J1408" s="13" t="inlineStr">
        <is>
          <t>10 % × 200,000 × split 80%</t>
        </is>
      </c>
    </row>
    <row r="1409">
      <c r="A1409" s="19" t="n">
        <v>1408</v>
      </c>
      <c r="B1409" s="20" t="n">
        <v>46520</v>
      </c>
      <c r="C1409" s="21" t="n">
        <v>8</v>
      </c>
      <c r="D1409" s="25" t="inlineStr">
        <is>
          <t>Payout</t>
        </is>
      </c>
      <c r="E1409" s="19" t="inlineStr">
        <is>
          <t>FTMO</t>
        </is>
      </c>
      <c r="F1409" s="19" t="inlineStr">
        <is>
          <t>#228 1 Step 200k</t>
        </is>
      </c>
      <c r="G1409" s="22" t="n">
        <v>200000</v>
      </c>
      <c r="H1409" s="22" t="n">
        <v>16000</v>
      </c>
      <c r="I1409" s="22" t="n">
        <v>7727063.15</v>
      </c>
      <c r="J1409" s="19" t="inlineStr">
        <is>
          <t>10 % × 200,000 × split 80%</t>
        </is>
      </c>
    </row>
    <row r="1410">
      <c r="A1410" s="13" t="n">
        <v>1409</v>
      </c>
      <c r="B1410" s="14" t="n">
        <v>46520</v>
      </c>
      <c r="C1410" s="15" t="n">
        <v>8</v>
      </c>
      <c r="D1410" s="25" t="inlineStr">
        <is>
          <t>Payout</t>
        </is>
      </c>
      <c r="E1410" s="13" t="inlineStr">
        <is>
          <t>Funded X</t>
        </is>
      </c>
      <c r="F1410" s="13" t="inlineStr">
        <is>
          <t>#229 1 Step 200k</t>
        </is>
      </c>
      <c r="G1410" s="17" t="n">
        <v>200000</v>
      </c>
      <c r="H1410" s="17" t="n">
        <v>20000</v>
      </c>
      <c r="I1410" s="17" t="n">
        <v>7747063.15</v>
      </c>
      <c r="J1410" s="13" t="inlineStr">
        <is>
          <t>10 % × 200,000 × split 100%</t>
        </is>
      </c>
    </row>
    <row r="1411">
      <c r="A1411" s="19" t="n">
        <v>1410</v>
      </c>
      <c r="B1411" s="20" t="n">
        <v>46520</v>
      </c>
      <c r="C1411" s="21" t="n">
        <v>8</v>
      </c>
      <c r="D1411" s="25" t="inlineStr">
        <is>
          <t>Payout</t>
        </is>
      </c>
      <c r="E1411" s="19" t="inlineStr">
        <is>
          <t>Funded X</t>
        </is>
      </c>
      <c r="F1411" s="19" t="inlineStr">
        <is>
          <t>#230 1 Step 200k</t>
        </is>
      </c>
      <c r="G1411" s="22" t="n">
        <v>200000</v>
      </c>
      <c r="H1411" s="22" t="n">
        <v>20000</v>
      </c>
      <c r="I1411" s="22" t="n">
        <v>7767063.15</v>
      </c>
      <c r="J1411" s="19" t="inlineStr">
        <is>
          <t>10 % × 200,000 × split 100%</t>
        </is>
      </c>
    </row>
    <row r="1412">
      <c r="A1412" s="13" t="n">
        <v>1411</v>
      </c>
      <c r="B1412" s="14" t="n">
        <v>46520</v>
      </c>
      <c r="C1412" s="15" t="n">
        <v>8</v>
      </c>
      <c r="D1412" s="25" t="inlineStr">
        <is>
          <t>Payout</t>
        </is>
      </c>
      <c r="E1412" s="13" t="inlineStr">
        <is>
          <t>Hantec Trader</t>
        </is>
      </c>
      <c r="F1412" s="13" t="inlineStr">
        <is>
          <t>#231 3 Step 200k</t>
        </is>
      </c>
      <c r="G1412" s="17" t="n">
        <v>200000</v>
      </c>
      <c r="H1412" s="17" t="n">
        <v>19000</v>
      </c>
      <c r="I1412" s="17" t="n">
        <v>7786063.15</v>
      </c>
      <c r="J1412" s="13" t="inlineStr">
        <is>
          <t>10 % × 200,000 × split 95%</t>
        </is>
      </c>
    </row>
    <row r="1413">
      <c r="A1413" s="19" t="n">
        <v>1412</v>
      </c>
      <c r="B1413" s="20" t="n">
        <v>46520</v>
      </c>
      <c r="C1413" s="21" t="n">
        <v>8</v>
      </c>
      <c r="D1413" s="25" t="inlineStr">
        <is>
          <t>Payout</t>
        </is>
      </c>
      <c r="E1413" s="19" t="inlineStr">
        <is>
          <t>LifeUp Trading</t>
        </is>
      </c>
      <c r="F1413" s="19" t="inlineStr">
        <is>
          <t>#232 1 Step 150k</t>
        </is>
      </c>
      <c r="G1413" s="22" t="n">
        <v>150000</v>
      </c>
      <c r="H1413" s="22" t="n">
        <v>12000</v>
      </c>
      <c r="I1413" s="22" t="n">
        <v>7798063.15</v>
      </c>
      <c r="J1413" s="19" t="inlineStr">
        <is>
          <t>10 % × 150,000 × split 80%</t>
        </is>
      </c>
    </row>
    <row r="1414">
      <c r="A1414" s="13" t="n">
        <v>1413</v>
      </c>
      <c r="B1414" s="14" t="n">
        <v>46520</v>
      </c>
      <c r="C1414" s="15" t="n">
        <v>8</v>
      </c>
      <c r="D1414" s="25" t="inlineStr">
        <is>
          <t>Payout</t>
        </is>
      </c>
      <c r="E1414" s="13" t="inlineStr">
        <is>
          <t>LifeUp Trading</t>
        </is>
      </c>
      <c r="F1414" s="13" t="inlineStr">
        <is>
          <t>#233 1 Step 150k</t>
        </is>
      </c>
      <c r="G1414" s="17" t="n">
        <v>150000</v>
      </c>
      <c r="H1414" s="17" t="n">
        <v>12000</v>
      </c>
      <c r="I1414" s="17" t="n">
        <v>7810063.15</v>
      </c>
      <c r="J1414" s="13" t="inlineStr">
        <is>
          <t>10 % × 150,000 × split 80%</t>
        </is>
      </c>
    </row>
    <row r="1415">
      <c r="A1415" s="19" t="n">
        <v>1414</v>
      </c>
      <c r="B1415" s="20" t="n">
        <v>46520</v>
      </c>
      <c r="C1415" s="21" t="n">
        <v>8</v>
      </c>
      <c r="D1415" s="25" t="inlineStr">
        <is>
          <t>Payout</t>
        </is>
      </c>
      <c r="E1415" s="19" t="inlineStr">
        <is>
          <t>LifeUp Trading</t>
        </is>
      </c>
      <c r="F1415" s="19" t="inlineStr">
        <is>
          <t>#234 1 Step 150k</t>
        </is>
      </c>
      <c r="G1415" s="22" t="n">
        <v>150000</v>
      </c>
      <c r="H1415" s="22" t="n">
        <v>12000</v>
      </c>
      <c r="I1415" s="22" t="n">
        <v>7822063.15</v>
      </c>
      <c r="J1415" s="19" t="inlineStr">
        <is>
          <t>10 % × 150,000 × split 80%</t>
        </is>
      </c>
    </row>
    <row r="1416">
      <c r="A1416" s="13" t="n">
        <v>1415</v>
      </c>
      <c r="B1416" s="14" t="n">
        <v>46520</v>
      </c>
      <c r="C1416" s="15" t="n">
        <v>8</v>
      </c>
      <c r="D1416" s="25" t="inlineStr">
        <is>
          <t>Payout</t>
        </is>
      </c>
      <c r="E1416" s="13" t="inlineStr">
        <is>
          <t>LifeUp Trading</t>
        </is>
      </c>
      <c r="F1416" s="13" t="inlineStr">
        <is>
          <t>#235 1 Step 150k</t>
        </is>
      </c>
      <c r="G1416" s="17" t="n">
        <v>150000</v>
      </c>
      <c r="H1416" s="17" t="n">
        <v>12000</v>
      </c>
      <c r="I1416" s="17" t="n">
        <v>7834063.15</v>
      </c>
      <c r="J1416" s="13" t="inlineStr">
        <is>
          <t>10 % × 150,000 × split 80%</t>
        </is>
      </c>
    </row>
    <row r="1417">
      <c r="A1417" s="19" t="n">
        <v>1416</v>
      </c>
      <c r="B1417" s="20" t="n">
        <v>46520</v>
      </c>
      <c r="C1417" s="21" t="n">
        <v>8</v>
      </c>
      <c r="D1417" s="25" t="inlineStr">
        <is>
          <t>Payout</t>
        </is>
      </c>
      <c r="E1417" s="19" t="inlineStr">
        <is>
          <t>Get Funded Now</t>
        </is>
      </c>
      <c r="F1417" s="19" t="inlineStr">
        <is>
          <t>#239 1 Step 200k</t>
        </is>
      </c>
      <c r="G1417" s="22" t="n">
        <v>200000</v>
      </c>
      <c r="H1417" s="22" t="n">
        <v>16000</v>
      </c>
      <c r="I1417" s="22" t="n">
        <v>7850063.15</v>
      </c>
      <c r="J1417" s="19" t="inlineStr">
        <is>
          <t>10 % × 200,000 × split 80%</t>
        </is>
      </c>
    </row>
    <row r="1418">
      <c r="A1418" s="13" t="n">
        <v>1417</v>
      </c>
      <c r="B1418" s="14" t="n">
        <v>46520</v>
      </c>
      <c r="C1418" s="15" t="n">
        <v>8</v>
      </c>
      <c r="D1418" s="25" t="inlineStr">
        <is>
          <t>Payout</t>
        </is>
      </c>
      <c r="E1418" s="13" t="inlineStr">
        <is>
          <t>Get Funded Now</t>
        </is>
      </c>
      <c r="F1418" s="13" t="inlineStr">
        <is>
          <t>#240 1 Step 200k</t>
        </is>
      </c>
      <c r="G1418" s="17" t="n">
        <v>200000</v>
      </c>
      <c r="H1418" s="17" t="n">
        <v>16000</v>
      </c>
      <c r="I1418" s="17" t="n">
        <v>7866063.15</v>
      </c>
      <c r="J1418" s="13" t="inlineStr">
        <is>
          <t>10 % × 200,000 × split 80%</t>
        </is>
      </c>
    </row>
    <row r="1419">
      <c r="A1419" s="19" t="n">
        <v>1418</v>
      </c>
      <c r="B1419" s="20" t="n">
        <v>46520</v>
      </c>
      <c r="C1419" s="21" t="n">
        <v>8</v>
      </c>
      <c r="D1419" s="25" t="inlineStr">
        <is>
          <t>Payout</t>
        </is>
      </c>
      <c r="E1419" s="19" t="inlineStr">
        <is>
          <t>FOREXIVE</t>
        </is>
      </c>
      <c r="F1419" s="19" t="inlineStr">
        <is>
          <t>#246 2 Step 200k</t>
        </is>
      </c>
      <c r="G1419" s="22" t="n">
        <v>200000</v>
      </c>
      <c r="H1419" s="22" t="n">
        <v>16000</v>
      </c>
      <c r="I1419" s="22" t="n">
        <v>7882063.15</v>
      </c>
      <c r="J1419" s="19" t="inlineStr">
        <is>
          <t>10 % × 200,000 × split 80%</t>
        </is>
      </c>
    </row>
    <row r="1420">
      <c r="A1420" s="13" t="n">
        <v>1419</v>
      </c>
      <c r="B1420" s="14" t="n">
        <v>46520</v>
      </c>
      <c r="C1420" s="15" t="n">
        <v>8</v>
      </c>
      <c r="D1420" s="25" t="inlineStr">
        <is>
          <t>Payout</t>
        </is>
      </c>
      <c r="E1420" s="13" t="inlineStr">
        <is>
          <t>Breakout</t>
        </is>
      </c>
      <c r="F1420" s="13" t="inlineStr">
        <is>
          <t>#249 1 Step 200k</t>
        </is>
      </c>
      <c r="G1420" s="17" t="n">
        <v>200000</v>
      </c>
      <c r="H1420" s="17" t="n">
        <v>16000</v>
      </c>
      <c r="I1420" s="17" t="n">
        <v>7898063.15</v>
      </c>
      <c r="J1420" s="13" t="inlineStr">
        <is>
          <t>10 % × 200,000 × split 80%</t>
        </is>
      </c>
    </row>
    <row r="1421">
      <c r="A1421" s="19" t="n">
        <v>1420</v>
      </c>
      <c r="B1421" s="20" t="n">
        <v>46520</v>
      </c>
      <c r="C1421" s="21" t="n">
        <v>8</v>
      </c>
      <c r="D1421" s="25" t="inlineStr">
        <is>
          <t>Payout</t>
        </is>
      </c>
      <c r="E1421" s="19" t="inlineStr">
        <is>
          <t>HyroTrader</t>
        </is>
      </c>
      <c r="F1421" s="19" t="inlineStr">
        <is>
          <t>#254 1 Step 200k</t>
        </is>
      </c>
      <c r="G1421" s="22" t="n">
        <v>200000</v>
      </c>
      <c r="H1421" s="22" t="n">
        <v>16000</v>
      </c>
      <c r="I1421" s="22" t="n">
        <v>7914063.15</v>
      </c>
      <c r="J1421" s="19" t="inlineStr">
        <is>
          <t>10 % × 200,000 × split 80%</t>
        </is>
      </c>
    </row>
    <row r="1422">
      <c r="A1422" s="13" t="n">
        <v>1421</v>
      </c>
      <c r="B1422" s="14" t="n">
        <v>46520</v>
      </c>
      <c r="C1422" s="15" t="n">
        <v>8</v>
      </c>
      <c r="D1422" s="25" t="inlineStr">
        <is>
          <t>Payout</t>
        </is>
      </c>
      <c r="E1422" s="13" t="inlineStr">
        <is>
          <t>Tradersyard</t>
        </is>
      </c>
      <c r="F1422" s="13" t="inlineStr">
        <is>
          <t>#256 1 Step 150k</t>
        </is>
      </c>
      <c r="G1422" s="17" t="n">
        <v>150000</v>
      </c>
      <c r="H1422" s="17" t="n">
        <v>15000</v>
      </c>
      <c r="I1422" s="17" t="n">
        <v>7929063.15</v>
      </c>
      <c r="J1422" s="13" t="inlineStr">
        <is>
          <t>10 % × 150,000 × split 100%</t>
        </is>
      </c>
    </row>
    <row r="1423">
      <c r="A1423" s="19" t="n">
        <v>1422</v>
      </c>
      <c r="B1423" s="20" t="n">
        <v>46520</v>
      </c>
      <c r="C1423" s="21" t="n">
        <v>8</v>
      </c>
      <c r="D1423" s="25" t="inlineStr">
        <is>
          <t>Payout</t>
        </is>
      </c>
      <c r="E1423" s="19" t="inlineStr">
        <is>
          <t>Get Crypto Funded</t>
        </is>
      </c>
      <c r="F1423" s="19" t="inlineStr">
        <is>
          <t>#237 3 Step 200k</t>
        </is>
      </c>
      <c r="G1423" s="22" t="n">
        <v>200000</v>
      </c>
      <c r="H1423" s="22" t="n">
        <v>16000</v>
      </c>
      <c r="I1423" s="22" t="n">
        <v>7945063.15</v>
      </c>
      <c r="J1423" s="19" t="inlineStr">
        <is>
          <t>10 % × 200,000 × split 80%</t>
        </is>
      </c>
    </row>
    <row r="1424">
      <c r="A1424" s="13" t="n">
        <v>1423</v>
      </c>
      <c r="B1424" s="14" t="n">
        <v>46520</v>
      </c>
      <c r="C1424" s="15" t="n">
        <v>8</v>
      </c>
      <c r="D1424" s="25" t="inlineStr">
        <is>
          <t>Payout</t>
        </is>
      </c>
      <c r="E1424" s="13" t="inlineStr">
        <is>
          <t>Get Crypto Funded</t>
        </is>
      </c>
      <c r="F1424" s="13" t="inlineStr">
        <is>
          <t>#238 3 Step 200k</t>
        </is>
      </c>
      <c r="G1424" s="17" t="n">
        <v>200000</v>
      </c>
      <c r="H1424" s="17" t="n">
        <v>16000</v>
      </c>
      <c r="I1424" s="17" t="n">
        <v>7961063.15</v>
      </c>
      <c r="J1424" s="13" t="inlineStr">
        <is>
          <t>10 % × 200,000 × split 80%</t>
        </is>
      </c>
    </row>
    <row r="1425">
      <c r="A1425" s="19" t="n">
        <v>1424</v>
      </c>
      <c r="B1425" s="20" t="n">
        <v>46520</v>
      </c>
      <c r="C1425" s="21" t="n">
        <v>8</v>
      </c>
      <c r="D1425" s="25" t="inlineStr">
        <is>
          <t>Payout</t>
        </is>
      </c>
      <c r="E1425" s="19" t="inlineStr">
        <is>
          <t>Hantec Trader</t>
        </is>
      </c>
      <c r="F1425" s="19" t="inlineStr">
        <is>
          <t>#241 3 Step 200k</t>
        </is>
      </c>
      <c r="G1425" s="22" t="n">
        <v>200000</v>
      </c>
      <c r="H1425" s="22" t="n">
        <v>19000</v>
      </c>
      <c r="I1425" s="22" t="n">
        <v>7980063.15</v>
      </c>
      <c r="J1425" s="19" t="inlineStr">
        <is>
          <t>10 % × 200,000 × split 95%</t>
        </is>
      </c>
    </row>
    <row r="1426">
      <c r="A1426" s="13" t="n">
        <v>1425</v>
      </c>
      <c r="B1426" s="14" t="n">
        <v>46520</v>
      </c>
      <c r="C1426" s="15" t="n">
        <v>8</v>
      </c>
      <c r="D1426" s="25" t="inlineStr">
        <is>
          <t>Payout</t>
        </is>
      </c>
      <c r="E1426" s="13" t="inlineStr">
        <is>
          <t>LifeUp Trading</t>
        </is>
      </c>
      <c r="F1426" s="13" t="inlineStr">
        <is>
          <t>#257 1 Step 150k</t>
        </is>
      </c>
      <c r="G1426" s="17" t="n">
        <v>150000</v>
      </c>
      <c r="H1426" s="17" t="n">
        <v>12000</v>
      </c>
      <c r="I1426" s="17" t="n">
        <v>7992063.15</v>
      </c>
      <c r="J1426" s="13" t="inlineStr">
        <is>
          <t>10 % × 150,000 × split 80%</t>
        </is>
      </c>
    </row>
    <row r="1427">
      <c r="A1427" s="19" t="n">
        <v>1426</v>
      </c>
      <c r="B1427" s="20" t="n">
        <v>46534</v>
      </c>
      <c r="C1427" s="21" t="n">
        <v>8.5</v>
      </c>
      <c r="D1427" s="25" t="inlineStr">
        <is>
          <t>Payout</t>
        </is>
      </c>
      <c r="E1427" s="19" t="inlineStr">
        <is>
          <t>BestProp4U</t>
        </is>
      </c>
      <c r="F1427" s="19" t="inlineStr">
        <is>
          <t>#149 2 Step 400k</t>
        </is>
      </c>
      <c r="G1427" s="22" t="n">
        <v>400000</v>
      </c>
      <c r="H1427" s="22" t="n">
        <v>24000</v>
      </c>
      <c r="I1427" s="22" t="n">
        <v>8016063.15</v>
      </c>
      <c r="J1427" s="19" t="inlineStr">
        <is>
          <t>10 % × 400,000 × split 60%</t>
        </is>
      </c>
    </row>
    <row r="1428">
      <c r="A1428" s="13" t="n">
        <v>1427</v>
      </c>
      <c r="B1428" s="14" t="n">
        <v>46534</v>
      </c>
      <c r="C1428" s="15" t="n">
        <v>8.5</v>
      </c>
      <c r="D1428" s="25" t="inlineStr">
        <is>
          <t>Payout</t>
        </is>
      </c>
      <c r="E1428" s="13" t="inlineStr">
        <is>
          <t>BestProp4U</t>
        </is>
      </c>
      <c r="F1428" s="13" t="inlineStr">
        <is>
          <t>#150 2 Step 400k</t>
        </is>
      </c>
      <c r="G1428" s="17" t="n">
        <v>400000</v>
      </c>
      <c r="H1428" s="17" t="n">
        <v>24000</v>
      </c>
      <c r="I1428" s="17" t="n">
        <v>8040063.15</v>
      </c>
      <c r="J1428" s="13" t="inlineStr">
        <is>
          <t>10 % × 400,000 × split 60%</t>
        </is>
      </c>
    </row>
    <row r="1429">
      <c r="A1429" s="19" t="n">
        <v>1428</v>
      </c>
      <c r="B1429" s="20" t="n">
        <v>46534</v>
      </c>
      <c r="C1429" s="21" t="n">
        <v>8.5</v>
      </c>
      <c r="D1429" s="25" t="inlineStr">
        <is>
          <t>Payout</t>
        </is>
      </c>
      <c r="E1429" s="19" t="inlineStr">
        <is>
          <t>Blink Funding</t>
        </is>
      </c>
      <c r="F1429" s="19" t="inlineStr">
        <is>
          <t>#151 3 Step 500k</t>
        </is>
      </c>
      <c r="G1429" s="22" t="n">
        <v>500000</v>
      </c>
      <c r="H1429" s="22" t="n">
        <v>37500</v>
      </c>
      <c r="I1429" s="22" t="n">
        <v>8077563.15</v>
      </c>
      <c r="J1429" s="19" t="inlineStr">
        <is>
          <t>10 % × 500,000 × split 75%</t>
        </is>
      </c>
    </row>
    <row r="1430">
      <c r="A1430" s="13" t="n">
        <v>1429</v>
      </c>
      <c r="B1430" s="14" t="n">
        <v>46534</v>
      </c>
      <c r="C1430" s="15" t="n">
        <v>8.5</v>
      </c>
      <c r="D1430" s="25" t="inlineStr">
        <is>
          <t>Payout</t>
        </is>
      </c>
      <c r="E1430" s="13" t="inlineStr">
        <is>
          <t>Blink Funding</t>
        </is>
      </c>
      <c r="F1430" s="13" t="inlineStr">
        <is>
          <t>#152 3 Step 500k</t>
        </is>
      </c>
      <c r="G1430" s="17" t="n">
        <v>500000</v>
      </c>
      <c r="H1430" s="17" t="n">
        <v>37500</v>
      </c>
      <c r="I1430" s="17" t="n">
        <v>8115063.15</v>
      </c>
      <c r="J1430" s="13" t="inlineStr">
        <is>
          <t>10 % × 500,000 × split 75%</t>
        </is>
      </c>
    </row>
    <row r="1431">
      <c r="A1431" s="19" t="n">
        <v>1430</v>
      </c>
      <c r="B1431" s="20" t="n">
        <v>46534</v>
      </c>
      <c r="C1431" s="21" t="n">
        <v>8.5</v>
      </c>
      <c r="D1431" s="25" t="inlineStr">
        <is>
          <t>Payout</t>
        </is>
      </c>
      <c r="E1431" s="19" t="inlineStr">
        <is>
          <t>Investiqa</t>
        </is>
      </c>
      <c r="F1431" s="19" t="inlineStr">
        <is>
          <t>#162 2 Step 500k</t>
        </is>
      </c>
      <c r="G1431" s="22" t="n">
        <v>500000</v>
      </c>
      <c r="H1431" s="22" t="n">
        <v>40000</v>
      </c>
      <c r="I1431" s="22" t="n">
        <v>8155063.15</v>
      </c>
      <c r="J1431" s="19" t="inlineStr">
        <is>
          <t>10 % × 500,000 × split 80%</t>
        </is>
      </c>
    </row>
    <row r="1432">
      <c r="A1432" s="13" t="n">
        <v>1431</v>
      </c>
      <c r="B1432" s="14" t="n">
        <v>46534</v>
      </c>
      <c r="C1432" s="15" t="n">
        <v>8.5</v>
      </c>
      <c r="D1432" s="25" t="inlineStr">
        <is>
          <t>Payout</t>
        </is>
      </c>
      <c r="E1432" s="13" t="inlineStr">
        <is>
          <t>Investiqa</t>
        </is>
      </c>
      <c r="F1432" s="13" t="inlineStr">
        <is>
          <t>#163 2 Step 500k</t>
        </is>
      </c>
      <c r="G1432" s="17" t="n">
        <v>500000</v>
      </c>
      <c r="H1432" s="17" t="n">
        <v>40000</v>
      </c>
      <c r="I1432" s="17" t="n">
        <v>8195063.15</v>
      </c>
      <c r="J1432" s="13" t="inlineStr">
        <is>
          <t>10 % × 500,000 × split 80%</t>
        </is>
      </c>
    </row>
    <row r="1433">
      <c r="A1433" s="19" t="n">
        <v>1432</v>
      </c>
      <c r="B1433" s="20" t="n">
        <v>46534</v>
      </c>
      <c r="C1433" s="21" t="n">
        <v>8.5</v>
      </c>
      <c r="D1433" s="25" t="inlineStr">
        <is>
          <t>Payout</t>
        </is>
      </c>
      <c r="E1433" s="19" t="inlineStr">
        <is>
          <t>FXIFY</t>
        </is>
      </c>
      <c r="F1433" s="19" t="inlineStr">
        <is>
          <t>#166 3 Step 400k</t>
        </is>
      </c>
      <c r="G1433" s="22" t="n">
        <v>400000</v>
      </c>
      <c r="H1433" s="22" t="n">
        <v>36000</v>
      </c>
      <c r="I1433" s="22" t="n">
        <v>8231063.15</v>
      </c>
      <c r="J1433" s="19" t="inlineStr">
        <is>
          <t>10 % × 400,000 × split 90%</t>
        </is>
      </c>
    </row>
    <row r="1434">
      <c r="A1434" s="13" t="n">
        <v>1433</v>
      </c>
      <c r="B1434" s="14" t="n">
        <v>46534</v>
      </c>
      <c r="C1434" s="15" t="n">
        <v>8.5</v>
      </c>
      <c r="D1434" s="25" t="inlineStr">
        <is>
          <t>Payout</t>
        </is>
      </c>
      <c r="E1434" s="13" t="inlineStr">
        <is>
          <t>FXIFY</t>
        </is>
      </c>
      <c r="F1434" s="13" t="inlineStr">
        <is>
          <t>#167 3 Step 400k</t>
        </is>
      </c>
      <c r="G1434" s="17" t="n">
        <v>400000</v>
      </c>
      <c r="H1434" s="17" t="n">
        <v>36000</v>
      </c>
      <c r="I1434" s="17" t="n">
        <v>8267063.15</v>
      </c>
      <c r="J1434" s="13" t="inlineStr">
        <is>
          <t>10 % × 400,000 × split 90%</t>
        </is>
      </c>
    </row>
    <row r="1435">
      <c r="A1435" s="19" t="n">
        <v>1434</v>
      </c>
      <c r="B1435" s="20" t="n">
        <v>46534</v>
      </c>
      <c r="C1435" s="21" t="n">
        <v>8.5</v>
      </c>
      <c r="D1435" s="25" t="inlineStr">
        <is>
          <t>Payout</t>
        </is>
      </c>
      <c r="E1435" s="19" t="inlineStr">
        <is>
          <t>Funded Squad</t>
        </is>
      </c>
      <c r="F1435" s="19" t="inlineStr">
        <is>
          <t>#168 2 Step 200k</t>
        </is>
      </c>
      <c r="G1435" s="22" t="n">
        <v>200000</v>
      </c>
      <c r="H1435" s="22" t="n">
        <v>20000</v>
      </c>
      <c r="I1435" s="22" t="n">
        <v>8287063.15</v>
      </c>
      <c r="J1435" s="19" t="inlineStr">
        <is>
          <t>10 % × 200,000 × split 100%</t>
        </is>
      </c>
    </row>
    <row r="1436">
      <c r="A1436" s="13" t="n">
        <v>1435</v>
      </c>
      <c r="B1436" s="14" t="n">
        <v>46534</v>
      </c>
      <c r="C1436" s="15" t="n">
        <v>8.5</v>
      </c>
      <c r="D1436" s="25" t="inlineStr">
        <is>
          <t>Payout</t>
        </is>
      </c>
      <c r="E1436" s="13" t="inlineStr">
        <is>
          <t>Funded Squad</t>
        </is>
      </c>
      <c r="F1436" s="13" t="inlineStr">
        <is>
          <t>#169 2 Step 200k</t>
        </is>
      </c>
      <c r="G1436" s="17" t="n">
        <v>200000</v>
      </c>
      <c r="H1436" s="17" t="n">
        <v>20000</v>
      </c>
      <c r="I1436" s="17" t="n">
        <v>8307063.15</v>
      </c>
      <c r="J1436" s="13" t="inlineStr">
        <is>
          <t>10 % × 200,000 × split 100%</t>
        </is>
      </c>
    </row>
    <row r="1437">
      <c r="A1437" s="19" t="n">
        <v>1436</v>
      </c>
      <c r="B1437" s="20" t="n">
        <v>46534</v>
      </c>
      <c r="C1437" s="21" t="n">
        <v>8.5</v>
      </c>
      <c r="D1437" s="25" t="inlineStr">
        <is>
          <t>Payout</t>
        </is>
      </c>
      <c r="E1437" s="19" t="inlineStr">
        <is>
          <t>Funded Squad</t>
        </is>
      </c>
      <c r="F1437" s="19" t="inlineStr">
        <is>
          <t>#170 2 Step 200k</t>
        </is>
      </c>
      <c r="G1437" s="22" t="n">
        <v>200000</v>
      </c>
      <c r="H1437" s="22" t="n">
        <v>20000</v>
      </c>
      <c r="I1437" s="22" t="n">
        <v>8327063.15</v>
      </c>
      <c r="J1437" s="19" t="inlineStr">
        <is>
          <t>10 % × 200,000 × split 100%</t>
        </is>
      </c>
    </row>
    <row r="1438">
      <c r="A1438" s="13" t="n">
        <v>1437</v>
      </c>
      <c r="B1438" s="14" t="n">
        <v>46534</v>
      </c>
      <c r="C1438" s="15" t="n">
        <v>8.5</v>
      </c>
      <c r="D1438" s="25" t="inlineStr">
        <is>
          <t>Payout</t>
        </is>
      </c>
      <c r="E1438" s="13" t="inlineStr">
        <is>
          <t>Funded Squad</t>
        </is>
      </c>
      <c r="F1438" s="13" t="inlineStr">
        <is>
          <t>#171 2 Step 200k</t>
        </is>
      </c>
      <c r="G1438" s="17" t="n">
        <v>200000</v>
      </c>
      <c r="H1438" s="17" t="n">
        <v>20000</v>
      </c>
      <c r="I1438" s="17" t="n">
        <v>8347063.15</v>
      </c>
      <c r="J1438" s="13" t="inlineStr">
        <is>
          <t>10 % × 200,000 × split 100%</t>
        </is>
      </c>
    </row>
    <row r="1439">
      <c r="A1439" s="19" t="n">
        <v>1438</v>
      </c>
      <c r="B1439" s="20" t="n">
        <v>46534</v>
      </c>
      <c r="C1439" s="21" t="n">
        <v>8.5</v>
      </c>
      <c r="D1439" s="25" t="inlineStr">
        <is>
          <t>Payout</t>
        </is>
      </c>
      <c r="E1439" s="19" t="inlineStr">
        <is>
          <t>Fintokei</t>
        </is>
      </c>
      <c r="F1439" s="19" t="inlineStr">
        <is>
          <t>#189 3 Step 100k</t>
        </is>
      </c>
      <c r="G1439" s="22" t="n">
        <v>100000</v>
      </c>
      <c r="H1439" s="22" t="n">
        <v>10000</v>
      </c>
      <c r="I1439" s="22" t="n">
        <v>8357063.15</v>
      </c>
      <c r="J1439" s="19" t="inlineStr">
        <is>
          <t>10 % × 100,000 × split 100%</t>
        </is>
      </c>
    </row>
    <row r="1440">
      <c r="A1440" s="13" t="n">
        <v>1439</v>
      </c>
      <c r="B1440" s="14" t="n">
        <v>46534</v>
      </c>
      <c r="C1440" s="15" t="n">
        <v>8.5</v>
      </c>
      <c r="D1440" s="25" t="inlineStr">
        <is>
          <t>Payout</t>
        </is>
      </c>
      <c r="E1440" s="13" t="inlineStr">
        <is>
          <t>Fintokei</t>
        </is>
      </c>
      <c r="F1440" s="13" t="inlineStr">
        <is>
          <t>#190 3 Step 100k</t>
        </is>
      </c>
      <c r="G1440" s="17" t="n">
        <v>100000</v>
      </c>
      <c r="H1440" s="17" t="n">
        <v>10000</v>
      </c>
      <c r="I1440" s="17" t="n">
        <v>8367063.15</v>
      </c>
      <c r="J1440" s="13" t="inlineStr">
        <is>
          <t>10 % × 100,000 × split 100%</t>
        </is>
      </c>
    </row>
    <row r="1441">
      <c r="A1441" s="19" t="n">
        <v>1440</v>
      </c>
      <c r="B1441" s="20" t="n">
        <v>46534</v>
      </c>
      <c r="C1441" s="21" t="n">
        <v>8.5</v>
      </c>
      <c r="D1441" s="25" t="inlineStr">
        <is>
          <t>Payout</t>
        </is>
      </c>
      <c r="E1441" s="19" t="inlineStr">
        <is>
          <t>Fintokei</t>
        </is>
      </c>
      <c r="F1441" s="19" t="inlineStr">
        <is>
          <t>#191 3 Step 100k</t>
        </is>
      </c>
      <c r="G1441" s="22" t="n">
        <v>100000</v>
      </c>
      <c r="H1441" s="22" t="n">
        <v>10000</v>
      </c>
      <c r="I1441" s="22" t="n">
        <v>8377063.15</v>
      </c>
      <c r="J1441" s="19" t="inlineStr">
        <is>
          <t>10 % × 100,000 × split 100%</t>
        </is>
      </c>
    </row>
    <row r="1442">
      <c r="A1442" s="13" t="n">
        <v>1441</v>
      </c>
      <c r="B1442" s="14" t="n">
        <v>46534</v>
      </c>
      <c r="C1442" s="15" t="n">
        <v>8.5</v>
      </c>
      <c r="D1442" s="25" t="inlineStr">
        <is>
          <t>Payout</t>
        </is>
      </c>
      <c r="E1442" s="13" t="inlineStr">
        <is>
          <t>Fintokei</t>
        </is>
      </c>
      <c r="F1442" s="13" t="inlineStr">
        <is>
          <t>#192 3 Step 100k</t>
        </is>
      </c>
      <c r="G1442" s="17" t="n">
        <v>100000</v>
      </c>
      <c r="H1442" s="17" t="n">
        <v>10000</v>
      </c>
      <c r="I1442" s="17" t="n">
        <v>8387063.15</v>
      </c>
      <c r="J1442" s="13" t="inlineStr">
        <is>
          <t>10 % × 100,000 × split 100%</t>
        </is>
      </c>
    </row>
    <row r="1443">
      <c r="A1443" s="19" t="n">
        <v>1442</v>
      </c>
      <c r="B1443" s="20" t="n">
        <v>46534</v>
      </c>
      <c r="C1443" s="21" t="n">
        <v>8.5</v>
      </c>
      <c r="D1443" s="25" t="inlineStr">
        <is>
          <t>Payout</t>
        </is>
      </c>
      <c r="E1443" s="19" t="inlineStr">
        <is>
          <t>Fintokei</t>
        </is>
      </c>
      <c r="F1443" s="19" t="inlineStr">
        <is>
          <t>#193 3 Step 100k</t>
        </is>
      </c>
      <c r="G1443" s="22" t="n">
        <v>100000</v>
      </c>
      <c r="H1443" s="22" t="n">
        <v>10000</v>
      </c>
      <c r="I1443" s="22" t="n">
        <v>8397063.15</v>
      </c>
      <c r="J1443" s="19" t="inlineStr">
        <is>
          <t>10 % × 100,000 × split 100%</t>
        </is>
      </c>
    </row>
    <row r="1444">
      <c r="A1444" s="13" t="n">
        <v>1443</v>
      </c>
      <c r="B1444" s="14" t="n">
        <v>46534</v>
      </c>
      <c r="C1444" s="15" t="n">
        <v>8.5</v>
      </c>
      <c r="D1444" s="25" t="inlineStr">
        <is>
          <t>Payout</t>
        </is>
      </c>
      <c r="E1444" s="13" t="inlineStr">
        <is>
          <t>Fintokei</t>
        </is>
      </c>
      <c r="F1444" s="13" t="inlineStr">
        <is>
          <t>#194 3 Step 100k</t>
        </is>
      </c>
      <c r="G1444" s="17" t="n">
        <v>100000</v>
      </c>
      <c r="H1444" s="17" t="n">
        <v>10000</v>
      </c>
      <c r="I1444" s="17" t="n">
        <v>8407063.15</v>
      </c>
      <c r="J1444" s="13" t="inlineStr">
        <is>
          <t>10 % × 100,000 × split 100%</t>
        </is>
      </c>
    </row>
    <row r="1445">
      <c r="A1445" s="19" t="n">
        <v>1444</v>
      </c>
      <c r="B1445" s="20" t="n">
        <v>46534</v>
      </c>
      <c r="C1445" s="21" t="n">
        <v>8.5</v>
      </c>
      <c r="D1445" s="25" t="inlineStr">
        <is>
          <t>Payout</t>
        </is>
      </c>
      <c r="E1445" s="19" t="inlineStr">
        <is>
          <t>Fintokei</t>
        </is>
      </c>
      <c r="F1445" s="19" t="inlineStr">
        <is>
          <t>#195 3 Step 100k</t>
        </is>
      </c>
      <c r="G1445" s="22" t="n">
        <v>100000</v>
      </c>
      <c r="H1445" s="22" t="n">
        <v>10000</v>
      </c>
      <c r="I1445" s="22" t="n">
        <v>8417063.15</v>
      </c>
      <c r="J1445" s="19" t="inlineStr">
        <is>
          <t>10 % × 100,000 × split 100%</t>
        </is>
      </c>
    </row>
    <row r="1446">
      <c r="A1446" s="13" t="n">
        <v>1445</v>
      </c>
      <c r="B1446" s="14" t="n">
        <v>46534</v>
      </c>
      <c r="C1446" s="15" t="n">
        <v>8.5</v>
      </c>
      <c r="D1446" s="25" t="inlineStr">
        <is>
          <t>Payout</t>
        </is>
      </c>
      <c r="E1446" s="13" t="inlineStr">
        <is>
          <t>DNA Funded</t>
        </is>
      </c>
      <c r="F1446" s="13" t="inlineStr">
        <is>
          <t>#196 2 Step 200k</t>
        </is>
      </c>
      <c r="G1446" s="17" t="n">
        <v>200000</v>
      </c>
      <c r="H1446" s="17" t="n">
        <v>18000</v>
      </c>
      <c r="I1446" s="17" t="n">
        <v>8435063.15</v>
      </c>
      <c r="J1446" s="13" t="inlineStr">
        <is>
          <t>10 % × 200,000 × split 90%</t>
        </is>
      </c>
    </row>
    <row r="1447">
      <c r="A1447" s="19" t="n">
        <v>1446</v>
      </c>
      <c r="B1447" s="20" t="n">
        <v>46534</v>
      </c>
      <c r="C1447" s="21" t="n">
        <v>8.5</v>
      </c>
      <c r="D1447" s="25" t="inlineStr">
        <is>
          <t>Payout</t>
        </is>
      </c>
      <c r="E1447" s="19" t="inlineStr">
        <is>
          <t>DNA Funded</t>
        </is>
      </c>
      <c r="F1447" s="19" t="inlineStr">
        <is>
          <t>#197 2 Step 200k</t>
        </is>
      </c>
      <c r="G1447" s="22" t="n">
        <v>200000</v>
      </c>
      <c r="H1447" s="22" t="n">
        <v>18000</v>
      </c>
      <c r="I1447" s="22" t="n">
        <v>8453063.15</v>
      </c>
      <c r="J1447" s="19" t="inlineStr">
        <is>
          <t>10 % × 200,000 × split 90%</t>
        </is>
      </c>
    </row>
    <row r="1448">
      <c r="A1448" s="13" t="n">
        <v>1447</v>
      </c>
      <c r="B1448" s="14" t="n">
        <v>46534</v>
      </c>
      <c r="C1448" s="15" t="n">
        <v>8.5</v>
      </c>
      <c r="D1448" s="25" t="inlineStr">
        <is>
          <t>Payout</t>
        </is>
      </c>
      <c r="E1448" s="13" t="inlineStr">
        <is>
          <t>DNA Funded</t>
        </is>
      </c>
      <c r="F1448" s="13" t="inlineStr">
        <is>
          <t>#198 2 Step 200k</t>
        </is>
      </c>
      <c r="G1448" s="17" t="n">
        <v>200000</v>
      </c>
      <c r="H1448" s="17" t="n">
        <v>18000</v>
      </c>
      <c r="I1448" s="17" t="n">
        <v>8471063.15</v>
      </c>
      <c r="J1448" s="13" t="inlineStr">
        <is>
          <t>10 % × 200,000 × split 90%</t>
        </is>
      </c>
    </row>
    <row r="1449">
      <c r="A1449" s="19" t="n">
        <v>1448</v>
      </c>
      <c r="B1449" s="20" t="n">
        <v>46534</v>
      </c>
      <c r="C1449" s="21" t="n">
        <v>8.5</v>
      </c>
      <c r="D1449" s="25" t="inlineStr">
        <is>
          <t>Payout</t>
        </is>
      </c>
      <c r="E1449" s="19" t="inlineStr">
        <is>
          <t>Eightcap Challenges</t>
        </is>
      </c>
      <c r="F1449" s="19" t="inlineStr">
        <is>
          <t>#199 2 Step 200k</t>
        </is>
      </c>
      <c r="G1449" s="22" t="n">
        <v>200000</v>
      </c>
      <c r="H1449" s="22" t="n">
        <v>16000</v>
      </c>
      <c r="I1449" s="22" t="n">
        <v>8487063.15</v>
      </c>
      <c r="J1449" s="19" t="inlineStr">
        <is>
          <t>10 % × 200,000 × split 80%</t>
        </is>
      </c>
    </row>
    <row r="1450">
      <c r="A1450" s="13" t="n">
        <v>1449</v>
      </c>
      <c r="B1450" s="14" t="n">
        <v>46534</v>
      </c>
      <c r="C1450" s="15" t="n">
        <v>8.5</v>
      </c>
      <c r="D1450" s="25" t="inlineStr">
        <is>
          <t>Payout</t>
        </is>
      </c>
      <c r="E1450" s="13" t="inlineStr">
        <is>
          <t>Eightcap Challenges</t>
        </is>
      </c>
      <c r="F1450" s="13" t="inlineStr">
        <is>
          <t>#200 2 Step 200k</t>
        </is>
      </c>
      <c r="G1450" s="17" t="n">
        <v>200000</v>
      </c>
      <c r="H1450" s="17" t="n">
        <v>16000</v>
      </c>
      <c r="I1450" s="17" t="n">
        <v>8503063.15</v>
      </c>
      <c r="J1450" s="13" t="inlineStr">
        <is>
          <t>10 % × 200,000 × split 80%</t>
        </is>
      </c>
    </row>
    <row r="1451">
      <c r="A1451" s="19" t="n">
        <v>1450</v>
      </c>
      <c r="B1451" s="20" t="n">
        <v>46534</v>
      </c>
      <c r="C1451" s="21" t="n">
        <v>8.5</v>
      </c>
      <c r="D1451" s="25" t="inlineStr">
        <is>
          <t>Payout</t>
        </is>
      </c>
      <c r="E1451" s="19" t="inlineStr">
        <is>
          <t>Eightcap Challenges</t>
        </is>
      </c>
      <c r="F1451" s="19" t="inlineStr">
        <is>
          <t>#201 2 Step 200k</t>
        </is>
      </c>
      <c r="G1451" s="22" t="n">
        <v>200000</v>
      </c>
      <c r="H1451" s="22" t="n">
        <v>16000</v>
      </c>
      <c r="I1451" s="22" t="n">
        <v>8519063.15</v>
      </c>
      <c r="J1451" s="19" t="inlineStr">
        <is>
          <t>10 % × 200,000 × split 80%</t>
        </is>
      </c>
    </row>
    <row r="1452">
      <c r="A1452" s="13" t="n">
        <v>1451</v>
      </c>
      <c r="B1452" s="14" t="n">
        <v>46534</v>
      </c>
      <c r="C1452" s="15" t="n">
        <v>8.5</v>
      </c>
      <c r="D1452" s="25" t="inlineStr">
        <is>
          <t>Payout</t>
        </is>
      </c>
      <c r="E1452" s="13" t="inlineStr">
        <is>
          <t>E8 Markets</t>
        </is>
      </c>
      <c r="F1452" s="13" t="inlineStr">
        <is>
          <t>#203 2 Step 150k</t>
        </is>
      </c>
      <c r="G1452" s="17" t="n">
        <v>150000</v>
      </c>
      <c r="H1452" s="17" t="n">
        <v>12000</v>
      </c>
      <c r="I1452" s="17" t="n">
        <v>8531063.15</v>
      </c>
      <c r="J1452" s="13" t="inlineStr">
        <is>
          <t>10 % × 150,000 × split 80%</t>
        </is>
      </c>
    </row>
    <row r="1453">
      <c r="A1453" s="19" t="n">
        <v>1452</v>
      </c>
      <c r="B1453" s="20" t="n">
        <v>46534</v>
      </c>
      <c r="C1453" s="21" t="n">
        <v>8.5</v>
      </c>
      <c r="D1453" s="25" t="inlineStr">
        <is>
          <t>Payout</t>
        </is>
      </c>
      <c r="E1453" s="19" t="inlineStr">
        <is>
          <t>E8 Markets</t>
        </is>
      </c>
      <c r="F1453" s="19" t="inlineStr">
        <is>
          <t>#204 2 Step 150k</t>
        </is>
      </c>
      <c r="G1453" s="22" t="n">
        <v>150000</v>
      </c>
      <c r="H1453" s="22" t="n">
        <v>12000</v>
      </c>
      <c r="I1453" s="22" t="n">
        <v>8543063.15</v>
      </c>
      <c r="J1453" s="19" t="inlineStr">
        <is>
          <t>10 % × 150,000 × split 80%</t>
        </is>
      </c>
    </row>
    <row r="1454">
      <c r="A1454" s="13" t="n">
        <v>1453</v>
      </c>
      <c r="B1454" s="14" t="n">
        <v>46534</v>
      </c>
      <c r="C1454" s="15" t="n">
        <v>8.5</v>
      </c>
      <c r="D1454" s="25" t="inlineStr">
        <is>
          <t>Payout</t>
        </is>
      </c>
      <c r="E1454" s="13" t="inlineStr">
        <is>
          <t>E8 Markets</t>
        </is>
      </c>
      <c r="F1454" s="13" t="inlineStr">
        <is>
          <t>#205 2 Step 150k</t>
        </is>
      </c>
      <c r="G1454" s="17" t="n">
        <v>150000</v>
      </c>
      <c r="H1454" s="17" t="n">
        <v>12000</v>
      </c>
      <c r="I1454" s="17" t="n">
        <v>8555063.15</v>
      </c>
      <c r="J1454" s="13" t="inlineStr">
        <is>
          <t>10 % × 150,000 × split 80%</t>
        </is>
      </c>
    </row>
    <row r="1455">
      <c r="A1455" s="19" t="n">
        <v>1454</v>
      </c>
      <c r="B1455" s="20" t="n">
        <v>46534</v>
      </c>
      <c r="C1455" s="21" t="n">
        <v>8.5</v>
      </c>
      <c r="D1455" s="25" t="inlineStr">
        <is>
          <t>Payout</t>
        </is>
      </c>
      <c r="E1455" s="19" t="inlineStr">
        <is>
          <t>IC Funded</t>
        </is>
      </c>
      <c r="F1455" s="19" t="inlineStr">
        <is>
          <t>#209 2 Step 500k</t>
        </is>
      </c>
      <c r="G1455" s="22" t="n">
        <v>500000</v>
      </c>
      <c r="H1455" s="22" t="n">
        <v>45000</v>
      </c>
      <c r="I1455" s="22" t="n">
        <v>8600063.15</v>
      </c>
      <c r="J1455" s="19" t="inlineStr">
        <is>
          <t>10 % × 500,000 × split 90%</t>
        </is>
      </c>
    </row>
    <row r="1456">
      <c r="A1456" s="13" t="n">
        <v>1455</v>
      </c>
      <c r="B1456" s="14" t="n">
        <v>46534</v>
      </c>
      <c r="C1456" s="15" t="n">
        <v>8.5</v>
      </c>
      <c r="D1456" s="25" t="inlineStr">
        <is>
          <t>Payout</t>
        </is>
      </c>
      <c r="E1456" s="13" t="inlineStr">
        <is>
          <t>Blueberry Futures</t>
        </is>
      </c>
      <c r="F1456" s="13" t="inlineStr">
        <is>
          <t>#210 1 Step 150k</t>
        </is>
      </c>
      <c r="G1456" s="17" t="n">
        <v>150000</v>
      </c>
      <c r="H1456" s="17" t="n">
        <v>13500</v>
      </c>
      <c r="I1456" s="17" t="n">
        <v>8613563.15</v>
      </c>
      <c r="J1456" s="13" t="inlineStr">
        <is>
          <t>10 % × 150,000 × split 90%</t>
        </is>
      </c>
    </row>
    <row r="1457">
      <c r="A1457" s="19" t="n">
        <v>1456</v>
      </c>
      <c r="B1457" s="20" t="n">
        <v>46534</v>
      </c>
      <c r="C1457" s="21" t="n">
        <v>8.5</v>
      </c>
      <c r="D1457" s="25" t="inlineStr">
        <is>
          <t>Payout</t>
        </is>
      </c>
      <c r="E1457" s="19" t="inlineStr">
        <is>
          <t>Blueberry Futures</t>
        </is>
      </c>
      <c r="F1457" s="19" t="inlineStr">
        <is>
          <t>#211 1 Step 150k</t>
        </is>
      </c>
      <c r="G1457" s="22" t="n">
        <v>150000</v>
      </c>
      <c r="H1457" s="22" t="n">
        <v>13500</v>
      </c>
      <c r="I1457" s="22" t="n">
        <v>8627063.15</v>
      </c>
      <c r="J1457" s="19" t="inlineStr">
        <is>
          <t>10 % × 150,000 × split 90%</t>
        </is>
      </c>
    </row>
    <row r="1458">
      <c r="A1458" s="13" t="n">
        <v>1457</v>
      </c>
      <c r="B1458" s="14" t="n">
        <v>46534</v>
      </c>
      <c r="C1458" s="15" t="n">
        <v>8.5</v>
      </c>
      <c r="D1458" s="25" t="inlineStr">
        <is>
          <t>Payout</t>
        </is>
      </c>
      <c r="E1458" s="13" t="inlineStr">
        <is>
          <t>Blueberry Futures</t>
        </is>
      </c>
      <c r="F1458" s="13" t="inlineStr">
        <is>
          <t>#212 1 Step 150k</t>
        </is>
      </c>
      <c r="G1458" s="17" t="n">
        <v>150000</v>
      </c>
      <c r="H1458" s="17" t="n">
        <v>13500</v>
      </c>
      <c r="I1458" s="17" t="n">
        <v>8640563.15</v>
      </c>
      <c r="J1458" s="13" t="inlineStr">
        <is>
          <t>10 % × 150,000 × split 90%</t>
        </is>
      </c>
    </row>
    <row r="1459">
      <c r="A1459" s="19" t="n">
        <v>1458</v>
      </c>
      <c r="B1459" s="20" t="n">
        <v>46534</v>
      </c>
      <c r="C1459" s="21" t="n">
        <v>8.5</v>
      </c>
      <c r="D1459" s="25" t="inlineStr">
        <is>
          <t>Payout</t>
        </is>
      </c>
      <c r="E1459" s="19" t="inlineStr">
        <is>
          <t>Direct Funded Trader</t>
        </is>
      </c>
      <c r="F1459" s="19" t="inlineStr">
        <is>
          <t>#225 2 Step 200k</t>
        </is>
      </c>
      <c r="G1459" s="22" t="n">
        <v>200000</v>
      </c>
      <c r="H1459" s="22" t="n">
        <v>16000</v>
      </c>
      <c r="I1459" s="22" t="n">
        <v>8656563.15</v>
      </c>
      <c r="J1459" s="19" t="inlineStr">
        <is>
          <t>10 % × 200,000 × split 80%</t>
        </is>
      </c>
    </row>
    <row r="1460">
      <c r="A1460" s="13" t="n">
        <v>1459</v>
      </c>
      <c r="B1460" s="14" t="n">
        <v>46534</v>
      </c>
      <c r="C1460" s="15" t="n">
        <v>8.5</v>
      </c>
      <c r="D1460" s="25" t="inlineStr">
        <is>
          <t>Payout</t>
        </is>
      </c>
      <c r="E1460" s="13" t="inlineStr">
        <is>
          <t>Direct Funded Trader</t>
        </is>
      </c>
      <c r="F1460" s="13" t="inlineStr">
        <is>
          <t>#226 2 Step 200k</t>
        </is>
      </c>
      <c r="G1460" s="17" t="n">
        <v>200000</v>
      </c>
      <c r="H1460" s="17" t="n">
        <v>16000</v>
      </c>
      <c r="I1460" s="17" t="n">
        <v>8672563.15</v>
      </c>
      <c r="J1460" s="13" t="inlineStr">
        <is>
          <t>10 % × 200,000 × split 80%</t>
        </is>
      </c>
    </row>
    <row r="1461">
      <c r="A1461" s="19" t="n">
        <v>1460</v>
      </c>
      <c r="B1461" s="20" t="n">
        <v>46534</v>
      </c>
      <c r="C1461" s="21" t="n">
        <v>8.5</v>
      </c>
      <c r="D1461" s="25" t="inlineStr">
        <is>
          <t>Payout</t>
        </is>
      </c>
      <c r="E1461" s="19" t="inlineStr">
        <is>
          <t>Fundora</t>
        </is>
      </c>
      <c r="F1461" s="19" t="inlineStr">
        <is>
          <t>#236 2 Step 400k</t>
        </is>
      </c>
      <c r="G1461" s="22" t="n">
        <v>400000</v>
      </c>
      <c r="H1461" s="22" t="n">
        <v>32000</v>
      </c>
      <c r="I1461" s="22" t="n">
        <v>8704563.15</v>
      </c>
      <c r="J1461" s="19" t="inlineStr">
        <is>
          <t>10 % × 400,000 × split 80%</t>
        </is>
      </c>
    </row>
    <row r="1462">
      <c r="A1462" s="13" t="n">
        <v>1461</v>
      </c>
      <c r="B1462" s="14" t="n">
        <v>46534</v>
      </c>
      <c r="C1462" s="15" t="n">
        <v>8.5</v>
      </c>
      <c r="D1462" s="25" t="inlineStr">
        <is>
          <t>Payout</t>
        </is>
      </c>
      <c r="E1462" s="13" t="inlineStr">
        <is>
          <t>Lion Heart Funding</t>
        </is>
      </c>
      <c r="F1462" s="13" t="inlineStr">
        <is>
          <t>#242 2 Step 400k</t>
        </is>
      </c>
      <c r="G1462" s="17" t="n">
        <v>400000</v>
      </c>
      <c r="H1462" s="17" t="n">
        <v>32000</v>
      </c>
      <c r="I1462" s="17" t="n">
        <v>8736563.15</v>
      </c>
      <c r="J1462" s="13" t="inlineStr">
        <is>
          <t>10 % × 400,000 × split 80%</t>
        </is>
      </c>
    </row>
    <row r="1463">
      <c r="A1463" s="19" t="n">
        <v>1462</v>
      </c>
      <c r="B1463" s="20" t="n">
        <v>46534</v>
      </c>
      <c r="C1463" s="21" t="n">
        <v>8.5</v>
      </c>
      <c r="D1463" s="25" t="inlineStr">
        <is>
          <t>Payout</t>
        </is>
      </c>
      <c r="E1463" s="19" t="inlineStr">
        <is>
          <t>FX2 Funding</t>
        </is>
      </c>
      <c r="F1463" s="19" t="inlineStr">
        <is>
          <t>#243 2 Step 100k</t>
        </is>
      </c>
      <c r="G1463" s="22" t="n">
        <v>100000</v>
      </c>
      <c r="H1463" s="22" t="n">
        <v>8000</v>
      </c>
      <c r="I1463" s="22" t="n">
        <v>8744563.15</v>
      </c>
      <c r="J1463" s="19" t="inlineStr">
        <is>
          <t>10 % × 100,000 × split 80%</t>
        </is>
      </c>
    </row>
    <row r="1464">
      <c r="A1464" s="13" t="n">
        <v>1463</v>
      </c>
      <c r="B1464" s="14" t="n">
        <v>46534</v>
      </c>
      <c r="C1464" s="15" t="n">
        <v>8.5</v>
      </c>
      <c r="D1464" s="25" t="inlineStr">
        <is>
          <t>Payout</t>
        </is>
      </c>
      <c r="E1464" s="13" t="inlineStr">
        <is>
          <t>FX2 Funding</t>
        </is>
      </c>
      <c r="F1464" s="13" t="inlineStr">
        <is>
          <t>#244 2 Step 100k</t>
        </is>
      </c>
      <c r="G1464" s="17" t="n">
        <v>100000</v>
      </c>
      <c r="H1464" s="17" t="n">
        <v>8000</v>
      </c>
      <c r="I1464" s="17" t="n">
        <v>8752563.15</v>
      </c>
      <c r="J1464" s="13" t="inlineStr">
        <is>
          <t>10 % × 100,000 × split 80%</t>
        </is>
      </c>
    </row>
    <row r="1465">
      <c r="A1465" s="19" t="n">
        <v>1464</v>
      </c>
      <c r="B1465" s="20" t="n">
        <v>46534</v>
      </c>
      <c r="C1465" s="21" t="n">
        <v>8.5</v>
      </c>
      <c r="D1465" s="25" t="inlineStr">
        <is>
          <t>Payout</t>
        </is>
      </c>
      <c r="E1465" s="19" t="inlineStr">
        <is>
          <t>FX2 Funding</t>
        </is>
      </c>
      <c r="F1465" s="19" t="inlineStr">
        <is>
          <t>#245 2 Step 100k</t>
        </is>
      </c>
      <c r="G1465" s="22" t="n">
        <v>100000</v>
      </c>
      <c r="H1465" s="22" t="n">
        <v>8000</v>
      </c>
      <c r="I1465" s="22" t="n">
        <v>8760563.15</v>
      </c>
      <c r="J1465" s="19" t="inlineStr">
        <is>
          <t>10 % × 100,000 × split 80%</t>
        </is>
      </c>
    </row>
    <row r="1466">
      <c r="A1466" s="13" t="n">
        <v>1465</v>
      </c>
      <c r="B1466" s="14" t="n">
        <v>46534</v>
      </c>
      <c r="C1466" s="15" t="n">
        <v>8.5</v>
      </c>
      <c r="D1466" s="25" t="inlineStr">
        <is>
          <t>Payout</t>
        </is>
      </c>
      <c r="E1466" s="13" t="inlineStr">
        <is>
          <t>AIFO</t>
        </is>
      </c>
      <c r="F1466" s="13" t="inlineStr">
        <is>
          <t>#247 2 Step 200k</t>
        </is>
      </c>
      <c r="G1466" s="17" t="n">
        <v>200000</v>
      </c>
      <c r="H1466" s="17" t="n">
        <v>19000</v>
      </c>
      <c r="I1466" s="17" t="n">
        <v>8779563.15</v>
      </c>
      <c r="J1466" s="13" t="inlineStr">
        <is>
          <t>10 % × 200,000 × split 95%</t>
        </is>
      </c>
    </row>
    <row r="1467">
      <c r="A1467" s="19" t="n">
        <v>1466</v>
      </c>
      <c r="B1467" s="20" t="n">
        <v>46534</v>
      </c>
      <c r="C1467" s="21" t="n">
        <v>8.5</v>
      </c>
      <c r="D1467" s="25" t="inlineStr">
        <is>
          <t>Payout</t>
        </is>
      </c>
      <c r="E1467" s="19" t="inlineStr">
        <is>
          <t>BEM Funding</t>
        </is>
      </c>
      <c r="F1467" s="19" t="inlineStr">
        <is>
          <t>#248 2 Step 100k</t>
        </is>
      </c>
      <c r="G1467" s="22" t="n">
        <v>100000</v>
      </c>
      <c r="H1467" s="22" t="n">
        <v>8000</v>
      </c>
      <c r="I1467" s="22" t="n">
        <v>8787563.15</v>
      </c>
      <c r="J1467" s="19" t="inlineStr">
        <is>
          <t>10 % × 100,000 × split 80%</t>
        </is>
      </c>
    </row>
    <row r="1468">
      <c r="A1468" s="13" t="n">
        <v>1467</v>
      </c>
      <c r="B1468" s="14" t="n">
        <v>46534</v>
      </c>
      <c r="C1468" s="15" t="n">
        <v>8.5</v>
      </c>
      <c r="D1468" s="25" t="inlineStr">
        <is>
          <t>Payout</t>
        </is>
      </c>
      <c r="E1468" s="13" t="inlineStr">
        <is>
          <t>BullRush</t>
        </is>
      </c>
      <c r="F1468" s="13" t="inlineStr">
        <is>
          <t>#250 2 Step 200k</t>
        </is>
      </c>
      <c r="G1468" s="17" t="n">
        <v>200000</v>
      </c>
      <c r="H1468" s="17" t="n">
        <v>15000</v>
      </c>
      <c r="I1468" s="17" t="n">
        <v>8802563.15</v>
      </c>
      <c r="J1468" s="13" t="inlineStr">
        <is>
          <t>10 % × 200,000 × split 75%</t>
        </is>
      </c>
    </row>
    <row r="1469">
      <c r="A1469" s="19" t="n">
        <v>1468</v>
      </c>
      <c r="B1469" s="20" t="n">
        <v>46534</v>
      </c>
      <c r="C1469" s="21" t="n">
        <v>8.5</v>
      </c>
      <c r="D1469" s="25" t="inlineStr">
        <is>
          <t>Payout</t>
        </is>
      </c>
      <c r="E1469" s="19" t="inlineStr">
        <is>
          <t>Exclusive Funded Programme</t>
        </is>
      </c>
      <c r="F1469" s="19" t="inlineStr">
        <is>
          <t>#251 2 Step 200k</t>
        </is>
      </c>
      <c r="G1469" s="22" t="n">
        <v>200000</v>
      </c>
      <c r="H1469" s="22" t="n">
        <v>16000</v>
      </c>
      <c r="I1469" s="22" t="n">
        <v>8818563.15</v>
      </c>
      <c r="J1469" s="19" t="inlineStr">
        <is>
          <t>10 % × 200,000 × split 80%</t>
        </is>
      </c>
    </row>
    <row r="1470">
      <c r="A1470" s="13" t="n">
        <v>1469</v>
      </c>
      <c r="B1470" s="14" t="n">
        <v>46534</v>
      </c>
      <c r="C1470" s="15" t="n">
        <v>8.5</v>
      </c>
      <c r="D1470" s="25" t="inlineStr">
        <is>
          <t>Payout</t>
        </is>
      </c>
      <c r="E1470" s="13" t="inlineStr">
        <is>
          <t>FunderPro</t>
        </is>
      </c>
      <c r="F1470" s="13" t="inlineStr">
        <is>
          <t>#252 1 Step 200k</t>
        </is>
      </c>
      <c r="G1470" s="17" t="n">
        <v>200000</v>
      </c>
      <c r="H1470" s="17" t="n">
        <v>16000</v>
      </c>
      <c r="I1470" s="17" t="n">
        <v>8834563.15</v>
      </c>
      <c r="J1470" s="13" t="inlineStr">
        <is>
          <t>10 % × 200,000 × split 80%</t>
        </is>
      </c>
    </row>
    <row r="1471">
      <c r="A1471" s="19" t="n">
        <v>1470</v>
      </c>
      <c r="B1471" s="20" t="n">
        <v>46534</v>
      </c>
      <c r="C1471" s="21" t="n">
        <v>8.5</v>
      </c>
      <c r="D1471" s="25" t="inlineStr">
        <is>
          <t>Payout</t>
        </is>
      </c>
      <c r="E1471" s="19" t="inlineStr">
        <is>
          <t>Funding Your Trades</t>
        </is>
      </c>
      <c r="F1471" s="19" t="inlineStr">
        <is>
          <t>#253 2 Step 100k</t>
        </is>
      </c>
      <c r="G1471" s="22" t="n">
        <v>100000</v>
      </c>
      <c r="H1471" s="22" t="n">
        <v>10000</v>
      </c>
      <c r="I1471" s="22" t="n">
        <v>8844563.15</v>
      </c>
      <c r="J1471" s="19" t="inlineStr">
        <is>
          <t>10 % × 100,000 × split 100%</t>
        </is>
      </c>
    </row>
    <row r="1472">
      <c r="A1472" s="13" t="n">
        <v>1471</v>
      </c>
      <c r="B1472" s="14" t="n">
        <v>46534</v>
      </c>
      <c r="C1472" s="15" t="n">
        <v>8.5</v>
      </c>
      <c r="D1472" s="25" t="inlineStr">
        <is>
          <t>Payout</t>
        </is>
      </c>
      <c r="E1472" s="13" t="inlineStr">
        <is>
          <t>Mubite</t>
        </is>
      </c>
      <c r="F1472" s="13" t="inlineStr">
        <is>
          <t>#255 2 Step 200k</t>
        </is>
      </c>
      <c r="G1472" s="17" t="n">
        <v>200000</v>
      </c>
      <c r="H1472" s="17" t="n">
        <v>16000</v>
      </c>
      <c r="I1472" s="17" t="n">
        <v>8860563.15</v>
      </c>
      <c r="J1472" s="13" t="inlineStr">
        <is>
          <t>10 % × 200,000 × split 80%</t>
        </is>
      </c>
    </row>
    <row r="1473">
      <c r="A1473" s="19" t="n">
        <v>1472</v>
      </c>
      <c r="B1473" s="20" t="n">
        <v>46534</v>
      </c>
      <c r="C1473" s="21" t="n">
        <v>8.5</v>
      </c>
      <c r="D1473" s="25" t="inlineStr">
        <is>
          <t>Payout</t>
        </is>
      </c>
      <c r="E1473" s="19" t="inlineStr">
        <is>
          <t>MFunded (MarketsVox)</t>
        </is>
      </c>
      <c r="F1473" s="19" t="inlineStr">
        <is>
          <t>#258 2 Step 100k</t>
        </is>
      </c>
      <c r="G1473" s="22" t="n">
        <v>100000</v>
      </c>
      <c r="H1473" s="22" t="n">
        <v>8000</v>
      </c>
      <c r="I1473" s="22" t="n">
        <v>8868563.15</v>
      </c>
      <c r="J1473" s="19" t="inlineStr">
        <is>
          <t>10 % × 100,000 × split 80%</t>
        </is>
      </c>
    </row>
    <row r="1474">
      <c r="A1474" s="13" t="n">
        <v>1473</v>
      </c>
      <c r="B1474" s="14" t="n">
        <v>46534</v>
      </c>
      <c r="C1474" s="15" t="n">
        <v>8.5</v>
      </c>
      <c r="D1474" s="25" t="inlineStr">
        <is>
          <t>Payout</t>
        </is>
      </c>
      <c r="E1474" s="13" t="inlineStr">
        <is>
          <t>Monevis</t>
        </is>
      </c>
      <c r="F1474" s="13" t="inlineStr">
        <is>
          <t>#259 3 Step 100k</t>
        </is>
      </c>
      <c r="G1474" s="17" t="n">
        <v>100000</v>
      </c>
      <c r="H1474" s="17" t="n">
        <v>8000</v>
      </c>
      <c r="I1474" s="17" t="n">
        <v>8876563.15</v>
      </c>
      <c r="J1474" s="13" t="inlineStr">
        <is>
          <t>10 % × 100,000 × split 80%</t>
        </is>
      </c>
    </row>
    <row r="1475">
      <c r="A1475" s="19" t="n">
        <v>1474</v>
      </c>
      <c r="B1475" s="20" t="n">
        <v>46548</v>
      </c>
      <c r="C1475" s="21" t="n">
        <v>9</v>
      </c>
      <c r="D1475" s="25" t="inlineStr">
        <is>
          <t>Payout</t>
        </is>
      </c>
      <c r="E1475" s="19" t="inlineStr">
        <is>
          <t>FundedNext</t>
        </is>
      </c>
      <c r="F1475" s="19" t="inlineStr">
        <is>
          <t>#1 Départ 10k</t>
        </is>
      </c>
      <c r="G1475" s="22" t="n">
        <v>10000</v>
      </c>
      <c r="H1475" s="22" t="n">
        <v>800</v>
      </c>
      <c r="I1475" s="22" t="n">
        <v>8877363.15</v>
      </c>
      <c r="J1475" s="19" t="inlineStr">
        <is>
          <t>10 % × 10,000 × split 80%</t>
        </is>
      </c>
    </row>
    <row r="1476">
      <c r="A1476" s="13" t="n">
        <v>1475</v>
      </c>
      <c r="B1476" s="14" t="n">
        <v>46548</v>
      </c>
      <c r="C1476" s="15" t="n">
        <v>9</v>
      </c>
      <c r="D1476" s="25" t="inlineStr">
        <is>
          <t>Payout</t>
        </is>
      </c>
      <c r="E1476" s="13" t="inlineStr">
        <is>
          <t>Moneta Funded</t>
        </is>
      </c>
      <c r="F1476" s="13" t="inlineStr">
        <is>
          <t>#2 Instant-Direct 100k</t>
        </is>
      </c>
      <c r="G1476" s="17" t="n">
        <v>100000</v>
      </c>
      <c r="H1476" s="17" t="n">
        <v>8000</v>
      </c>
      <c r="I1476" s="17" t="n">
        <v>8885363.15</v>
      </c>
      <c r="J1476" s="13" t="inlineStr">
        <is>
          <t>10 % × 100,000 × split 80%</t>
        </is>
      </c>
    </row>
    <row r="1477">
      <c r="A1477" s="19" t="n">
        <v>1476</v>
      </c>
      <c r="B1477" s="20" t="n">
        <v>46548</v>
      </c>
      <c r="C1477" s="21" t="n">
        <v>9</v>
      </c>
      <c r="D1477" s="25" t="inlineStr">
        <is>
          <t>Payout</t>
        </is>
      </c>
      <c r="E1477" s="19" t="inlineStr">
        <is>
          <t>Moneta Funded</t>
        </is>
      </c>
      <c r="F1477" s="19" t="inlineStr">
        <is>
          <t>#3 Instant-Direct 100k</t>
        </is>
      </c>
      <c r="G1477" s="22" t="n">
        <v>100000</v>
      </c>
      <c r="H1477" s="22" t="n">
        <v>8000</v>
      </c>
      <c r="I1477" s="22" t="n">
        <v>8893363.15</v>
      </c>
      <c r="J1477" s="19" t="inlineStr">
        <is>
          <t>10 % × 100,000 × split 80%</t>
        </is>
      </c>
    </row>
    <row r="1478">
      <c r="A1478" s="13" t="n">
        <v>1477</v>
      </c>
      <c r="B1478" s="14" t="n">
        <v>46548</v>
      </c>
      <c r="C1478" s="15" t="n">
        <v>9</v>
      </c>
      <c r="D1478" s="25" t="inlineStr">
        <is>
          <t>Payout</t>
        </is>
      </c>
      <c r="E1478" s="13" t="inlineStr">
        <is>
          <t>Moneta Funded</t>
        </is>
      </c>
      <c r="F1478" s="13" t="inlineStr">
        <is>
          <t>#4 Instant-Direct 100k</t>
        </is>
      </c>
      <c r="G1478" s="17" t="n">
        <v>100000</v>
      </c>
      <c r="H1478" s="17" t="n">
        <v>8000</v>
      </c>
      <c r="I1478" s="17" t="n">
        <v>8901363.15</v>
      </c>
      <c r="J1478" s="13" t="inlineStr">
        <is>
          <t>10 % × 100,000 × split 80%</t>
        </is>
      </c>
    </row>
    <row r="1479">
      <c r="A1479" s="19" t="n">
        <v>1478</v>
      </c>
      <c r="B1479" s="20" t="n">
        <v>46548</v>
      </c>
      <c r="C1479" s="21" t="n">
        <v>9</v>
      </c>
      <c r="D1479" s="25" t="inlineStr">
        <is>
          <t>Payout</t>
        </is>
      </c>
      <c r="E1479" s="19" t="inlineStr">
        <is>
          <t>Moneta Funded</t>
        </is>
      </c>
      <c r="F1479" s="19" t="inlineStr">
        <is>
          <t>#5 Instant-Direct 100k</t>
        </is>
      </c>
      <c r="G1479" s="22" t="n">
        <v>100000</v>
      </c>
      <c r="H1479" s="22" t="n">
        <v>8000</v>
      </c>
      <c r="I1479" s="22" t="n">
        <v>8909363.15</v>
      </c>
      <c r="J1479" s="19" t="inlineStr">
        <is>
          <t>10 % × 100,000 × split 80%</t>
        </is>
      </c>
    </row>
    <row r="1480">
      <c r="A1480" s="13" t="n">
        <v>1479</v>
      </c>
      <c r="B1480" s="14" t="n">
        <v>46548</v>
      </c>
      <c r="C1480" s="15" t="n">
        <v>9</v>
      </c>
      <c r="D1480" s="25" t="inlineStr">
        <is>
          <t>Payout</t>
        </is>
      </c>
      <c r="E1480" s="13" t="inlineStr">
        <is>
          <t>Moneta Funded</t>
        </is>
      </c>
      <c r="F1480" s="13" t="inlineStr">
        <is>
          <t>#6 Instant-Direct 100k</t>
        </is>
      </c>
      <c r="G1480" s="17" t="n">
        <v>100000</v>
      </c>
      <c r="H1480" s="17" t="n">
        <v>8000</v>
      </c>
      <c r="I1480" s="17" t="n">
        <v>8917363.15</v>
      </c>
      <c r="J1480" s="13" t="inlineStr">
        <is>
          <t>10 % × 100,000 × split 80%</t>
        </is>
      </c>
    </row>
    <row r="1481">
      <c r="A1481" s="19" t="n">
        <v>1480</v>
      </c>
      <c r="B1481" s="20" t="n">
        <v>46548</v>
      </c>
      <c r="C1481" s="21" t="n">
        <v>9</v>
      </c>
      <c r="D1481" s="25" t="inlineStr">
        <is>
          <t>Payout</t>
        </is>
      </c>
      <c r="E1481" s="19" t="inlineStr">
        <is>
          <t>Moneta Funded</t>
        </is>
      </c>
      <c r="F1481" s="19" t="inlineStr">
        <is>
          <t>#7 Instant-Direct 100k</t>
        </is>
      </c>
      <c r="G1481" s="22" t="n">
        <v>100000</v>
      </c>
      <c r="H1481" s="22" t="n">
        <v>8000</v>
      </c>
      <c r="I1481" s="22" t="n">
        <v>8925363.15</v>
      </c>
      <c r="J1481" s="19" t="inlineStr">
        <is>
          <t>10 % × 100,000 × split 80%</t>
        </is>
      </c>
    </row>
    <row r="1482">
      <c r="A1482" s="13" t="n">
        <v>1481</v>
      </c>
      <c r="B1482" s="14" t="n">
        <v>46548</v>
      </c>
      <c r="C1482" s="15" t="n">
        <v>9</v>
      </c>
      <c r="D1482" s="25" t="inlineStr">
        <is>
          <t>Payout</t>
        </is>
      </c>
      <c r="E1482" s="13" t="inlineStr">
        <is>
          <t>Moneta Funded</t>
        </is>
      </c>
      <c r="F1482" s="13" t="inlineStr">
        <is>
          <t>#8 Instant-Direct 100k</t>
        </is>
      </c>
      <c r="G1482" s="17" t="n">
        <v>100000</v>
      </c>
      <c r="H1482" s="17" t="n">
        <v>8000</v>
      </c>
      <c r="I1482" s="17" t="n">
        <v>8933363.15</v>
      </c>
      <c r="J1482" s="13" t="inlineStr">
        <is>
          <t>10 % × 100,000 × split 80%</t>
        </is>
      </c>
    </row>
    <row r="1483">
      <c r="A1483" s="19" t="n">
        <v>1482</v>
      </c>
      <c r="B1483" s="20" t="n">
        <v>46548</v>
      </c>
      <c r="C1483" s="21" t="n">
        <v>9</v>
      </c>
      <c r="D1483" s="25" t="inlineStr">
        <is>
          <t>Payout</t>
        </is>
      </c>
      <c r="E1483" s="19" t="inlineStr">
        <is>
          <t>Moneta Funded</t>
        </is>
      </c>
      <c r="F1483" s="19" t="inlineStr">
        <is>
          <t>#9 Instant-Direct 100k</t>
        </is>
      </c>
      <c r="G1483" s="22" t="n">
        <v>100000</v>
      </c>
      <c r="H1483" s="22" t="n">
        <v>8000</v>
      </c>
      <c r="I1483" s="22" t="n">
        <v>8941363.15</v>
      </c>
      <c r="J1483" s="19" t="inlineStr">
        <is>
          <t>10 % × 100,000 × split 80%</t>
        </is>
      </c>
    </row>
    <row r="1484">
      <c r="A1484" s="13" t="n">
        <v>1483</v>
      </c>
      <c r="B1484" s="14" t="n">
        <v>46548</v>
      </c>
      <c r="C1484" s="15" t="n">
        <v>9</v>
      </c>
      <c r="D1484" s="25" t="inlineStr">
        <is>
          <t>Payout</t>
        </is>
      </c>
      <c r="E1484" s="13" t="inlineStr">
        <is>
          <t>Moneta Funded</t>
        </is>
      </c>
      <c r="F1484" s="13" t="inlineStr">
        <is>
          <t>#10 Instant-Direct 100k</t>
        </is>
      </c>
      <c r="G1484" s="17" t="n">
        <v>100000</v>
      </c>
      <c r="H1484" s="17" t="n">
        <v>8000</v>
      </c>
      <c r="I1484" s="17" t="n">
        <v>8949363.15</v>
      </c>
      <c r="J1484" s="13" t="inlineStr">
        <is>
          <t>10 % × 100,000 × split 80%</t>
        </is>
      </c>
    </row>
    <row r="1485">
      <c r="A1485" s="19" t="n">
        <v>1484</v>
      </c>
      <c r="B1485" s="20" t="n">
        <v>46548</v>
      </c>
      <c r="C1485" s="21" t="n">
        <v>9</v>
      </c>
      <c r="D1485" s="25" t="inlineStr">
        <is>
          <t>Payout</t>
        </is>
      </c>
      <c r="E1485" s="19" t="inlineStr">
        <is>
          <t>Moneta Funded</t>
        </is>
      </c>
      <c r="F1485" s="19" t="inlineStr">
        <is>
          <t>#11 Instant-Direct 100k</t>
        </is>
      </c>
      <c r="G1485" s="22" t="n">
        <v>100000</v>
      </c>
      <c r="H1485" s="22" t="n">
        <v>8000</v>
      </c>
      <c r="I1485" s="22" t="n">
        <v>8957363.15</v>
      </c>
      <c r="J1485" s="19" t="inlineStr">
        <is>
          <t>10 % × 100,000 × split 80%</t>
        </is>
      </c>
    </row>
    <row r="1486">
      <c r="A1486" s="13" t="n">
        <v>1485</v>
      </c>
      <c r="B1486" s="14" t="n">
        <v>46548</v>
      </c>
      <c r="C1486" s="15" t="n">
        <v>9</v>
      </c>
      <c r="D1486" s="25" t="inlineStr">
        <is>
          <t>Payout</t>
        </is>
      </c>
      <c r="E1486" s="13" t="inlineStr">
        <is>
          <t>Moneta Funded</t>
        </is>
      </c>
      <c r="F1486" s="13" t="inlineStr">
        <is>
          <t>#12 Instant-Direct 100k</t>
        </is>
      </c>
      <c r="G1486" s="17" t="n">
        <v>100000</v>
      </c>
      <c r="H1486" s="17" t="n">
        <v>8000</v>
      </c>
      <c r="I1486" s="17" t="n">
        <v>8965363.15</v>
      </c>
      <c r="J1486" s="13" t="inlineStr">
        <is>
          <t>10 % × 100,000 × split 80%</t>
        </is>
      </c>
    </row>
    <row r="1487">
      <c r="A1487" s="19" t="n">
        <v>1486</v>
      </c>
      <c r="B1487" s="20" t="n">
        <v>46548</v>
      </c>
      <c r="C1487" s="21" t="n">
        <v>9</v>
      </c>
      <c r="D1487" s="25" t="inlineStr">
        <is>
          <t>Payout</t>
        </is>
      </c>
      <c r="E1487" s="19" t="inlineStr">
        <is>
          <t>Moneta Funded</t>
        </is>
      </c>
      <c r="F1487" s="19" t="inlineStr">
        <is>
          <t>#13 Instant-Direct 100k</t>
        </is>
      </c>
      <c r="G1487" s="22" t="n">
        <v>100000</v>
      </c>
      <c r="H1487" s="22" t="n">
        <v>8000</v>
      </c>
      <c r="I1487" s="22" t="n">
        <v>8973363.15</v>
      </c>
      <c r="J1487" s="19" t="inlineStr">
        <is>
          <t>10 % × 100,000 × split 80%</t>
        </is>
      </c>
    </row>
    <row r="1488">
      <c r="A1488" s="13" t="n">
        <v>1487</v>
      </c>
      <c r="B1488" s="14" t="n">
        <v>46548</v>
      </c>
      <c r="C1488" s="15" t="n">
        <v>9</v>
      </c>
      <c r="D1488" s="25" t="inlineStr">
        <is>
          <t>Payout</t>
        </is>
      </c>
      <c r="E1488" s="13" t="inlineStr">
        <is>
          <t>FunderPro Futures</t>
        </is>
      </c>
      <c r="F1488" s="13" t="inlineStr">
        <is>
          <t>#14 1 Step 150k</t>
        </is>
      </c>
      <c r="G1488" s="17" t="n">
        <v>150000</v>
      </c>
      <c r="H1488" s="17" t="n">
        <v>9000</v>
      </c>
      <c r="I1488" s="17" t="n">
        <v>8982363.15</v>
      </c>
      <c r="J1488" s="13" t="inlineStr">
        <is>
          <t>10 % × 150,000 × split 60%</t>
        </is>
      </c>
    </row>
    <row r="1489">
      <c r="A1489" s="19" t="n">
        <v>1488</v>
      </c>
      <c r="B1489" s="20" t="n">
        <v>46548</v>
      </c>
      <c r="C1489" s="21" t="n">
        <v>9</v>
      </c>
      <c r="D1489" s="25" t="inlineStr">
        <is>
          <t>Payout</t>
        </is>
      </c>
      <c r="E1489" s="19" t="inlineStr">
        <is>
          <t>Moneta Funded</t>
        </is>
      </c>
      <c r="F1489" s="19" t="inlineStr">
        <is>
          <t>#15 Instant-Direct 100k</t>
        </is>
      </c>
      <c r="G1489" s="22" t="n">
        <v>100000</v>
      </c>
      <c r="H1489" s="22" t="n">
        <v>8000</v>
      </c>
      <c r="I1489" s="22" t="n">
        <v>8990363.15</v>
      </c>
      <c r="J1489" s="19" t="inlineStr">
        <is>
          <t>10 % × 100,000 × split 80%</t>
        </is>
      </c>
    </row>
    <row r="1490">
      <c r="A1490" s="13" t="n">
        <v>1489</v>
      </c>
      <c r="B1490" s="14" t="n">
        <v>46548</v>
      </c>
      <c r="C1490" s="15" t="n">
        <v>9</v>
      </c>
      <c r="D1490" s="25" t="inlineStr">
        <is>
          <t>Payout</t>
        </is>
      </c>
      <c r="E1490" s="13" t="inlineStr">
        <is>
          <t>Moneta Funded</t>
        </is>
      </c>
      <c r="F1490" s="13" t="inlineStr">
        <is>
          <t>#16 Instant-Direct 100k</t>
        </is>
      </c>
      <c r="G1490" s="17" t="n">
        <v>100000</v>
      </c>
      <c r="H1490" s="17" t="n">
        <v>8000</v>
      </c>
      <c r="I1490" s="17" t="n">
        <v>8998363.15</v>
      </c>
      <c r="J1490" s="13" t="inlineStr">
        <is>
          <t>10 % × 100,000 × split 80%</t>
        </is>
      </c>
    </row>
    <row r="1491">
      <c r="A1491" s="19" t="n">
        <v>1490</v>
      </c>
      <c r="B1491" s="20" t="n">
        <v>46548</v>
      </c>
      <c r="C1491" s="21" t="n">
        <v>9</v>
      </c>
      <c r="D1491" s="25" t="inlineStr">
        <is>
          <t>Payout</t>
        </is>
      </c>
      <c r="E1491" s="19" t="inlineStr">
        <is>
          <t>Moneta Funded</t>
        </is>
      </c>
      <c r="F1491" s="19" t="inlineStr">
        <is>
          <t>#17 Instant-Direct 100k</t>
        </is>
      </c>
      <c r="G1491" s="22" t="n">
        <v>100000</v>
      </c>
      <c r="H1491" s="22" t="n">
        <v>8000</v>
      </c>
      <c r="I1491" s="22" t="n">
        <v>9006363.15</v>
      </c>
      <c r="J1491" s="19" t="inlineStr">
        <is>
          <t>10 % × 100,000 × split 80%</t>
        </is>
      </c>
    </row>
    <row r="1492">
      <c r="A1492" s="13" t="n">
        <v>1491</v>
      </c>
      <c r="B1492" s="14" t="n">
        <v>46548</v>
      </c>
      <c r="C1492" s="15" t="n">
        <v>9</v>
      </c>
      <c r="D1492" s="25" t="inlineStr">
        <is>
          <t>Payout</t>
        </is>
      </c>
      <c r="E1492" s="13" t="inlineStr">
        <is>
          <t>Moneta Funded</t>
        </is>
      </c>
      <c r="F1492" s="13" t="inlineStr">
        <is>
          <t>#18 Instant-Direct 100k</t>
        </is>
      </c>
      <c r="G1492" s="17" t="n">
        <v>100000</v>
      </c>
      <c r="H1492" s="17" t="n">
        <v>8000</v>
      </c>
      <c r="I1492" s="17" t="n">
        <v>9014363.15</v>
      </c>
      <c r="J1492" s="13" t="inlineStr">
        <is>
          <t>10 % × 100,000 × split 80%</t>
        </is>
      </c>
    </row>
    <row r="1493">
      <c r="A1493" s="19" t="n">
        <v>1492</v>
      </c>
      <c r="B1493" s="20" t="n">
        <v>46548</v>
      </c>
      <c r="C1493" s="21" t="n">
        <v>9</v>
      </c>
      <c r="D1493" s="25" t="inlineStr">
        <is>
          <t>Payout</t>
        </is>
      </c>
      <c r="E1493" s="19" t="inlineStr">
        <is>
          <t>Moneta Funded</t>
        </is>
      </c>
      <c r="F1493" s="19" t="inlineStr">
        <is>
          <t>#19 Instant-Direct 100k</t>
        </is>
      </c>
      <c r="G1493" s="22" t="n">
        <v>100000</v>
      </c>
      <c r="H1493" s="22" t="n">
        <v>8000</v>
      </c>
      <c r="I1493" s="22" t="n">
        <v>9022363.15</v>
      </c>
      <c r="J1493" s="19" t="inlineStr">
        <is>
          <t>10 % × 100,000 × split 80%</t>
        </is>
      </c>
    </row>
    <row r="1494">
      <c r="A1494" s="13" t="n">
        <v>1493</v>
      </c>
      <c r="B1494" s="14" t="n">
        <v>46548</v>
      </c>
      <c r="C1494" s="15" t="n">
        <v>9</v>
      </c>
      <c r="D1494" s="25" t="inlineStr">
        <is>
          <t>Payout</t>
        </is>
      </c>
      <c r="E1494" s="13" t="inlineStr">
        <is>
          <t>Moneta Funded</t>
        </is>
      </c>
      <c r="F1494" s="13" t="inlineStr">
        <is>
          <t>#20 Instant-Direct 100k</t>
        </is>
      </c>
      <c r="G1494" s="17" t="n">
        <v>100000</v>
      </c>
      <c r="H1494" s="17" t="n">
        <v>8000</v>
      </c>
      <c r="I1494" s="17" t="n">
        <v>9030363.15</v>
      </c>
      <c r="J1494" s="13" t="inlineStr">
        <is>
          <t>10 % × 100,000 × split 80%</t>
        </is>
      </c>
    </row>
    <row r="1495">
      <c r="A1495" s="19" t="n">
        <v>1494</v>
      </c>
      <c r="B1495" s="20" t="n">
        <v>46548</v>
      </c>
      <c r="C1495" s="21" t="n">
        <v>9</v>
      </c>
      <c r="D1495" s="25" t="inlineStr">
        <is>
          <t>Payout</t>
        </is>
      </c>
      <c r="E1495" s="19" t="inlineStr">
        <is>
          <t>Moneta Funded</t>
        </is>
      </c>
      <c r="F1495" s="19" t="inlineStr">
        <is>
          <t>#21 Instant-Direct 100k</t>
        </is>
      </c>
      <c r="G1495" s="22" t="n">
        <v>100000</v>
      </c>
      <c r="H1495" s="22" t="n">
        <v>8000</v>
      </c>
      <c r="I1495" s="22" t="n">
        <v>9038363.15</v>
      </c>
      <c r="J1495" s="19" t="inlineStr">
        <is>
          <t>10 % × 100,000 × split 80%</t>
        </is>
      </c>
    </row>
    <row r="1496">
      <c r="A1496" s="13" t="n">
        <v>1495</v>
      </c>
      <c r="B1496" s="14" t="n">
        <v>46548</v>
      </c>
      <c r="C1496" s="15" t="n">
        <v>9</v>
      </c>
      <c r="D1496" s="25" t="inlineStr">
        <is>
          <t>Payout</t>
        </is>
      </c>
      <c r="E1496" s="13" t="inlineStr">
        <is>
          <t>Moneta Funded</t>
        </is>
      </c>
      <c r="F1496" s="13" t="inlineStr">
        <is>
          <t>#22 Instant-Direct 100k</t>
        </is>
      </c>
      <c r="G1496" s="17" t="n">
        <v>100000</v>
      </c>
      <c r="H1496" s="17" t="n">
        <v>8000</v>
      </c>
      <c r="I1496" s="17" t="n">
        <v>9046363.15</v>
      </c>
      <c r="J1496" s="13" t="inlineStr">
        <is>
          <t>10 % × 100,000 × split 80%</t>
        </is>
      </c>
    </row>
    <row r="1497">
      <c r="A1497" s="19" t="n">
        <v>1496</v>
      </c>
      <c r="B1497" s="20" t="n">
        <v>46548</v>
      </c>
      <c r="C1497" s="21" t="n">
        <v>9</v>
      </c>
      <c r="D1497" s="25" t="inlineStr">
        <is>
          <t>Payout</t>
        </is>
      </c>
      <c r="E1497" s="19" t="inlineStr">
        <is>
          <t>Moneta Funded</t>
        </is>
      </c>
      <c r="F1497" s="19" t="inlineStr">
        <is>
          <t>#23 Instant-Direct 100k</t>
        </is>
      </c>
      <c r="G1497" s="22" t="n">
        <v>100000</v>
      </c>
      <c r="H1497" s="22" t="n">
        <v>8000</v>
      </c>
      <c r="I1497" s="22" t="n">
        <v>9054363.15</v>
      </c>
      <c r="J1497" s="19" t="inlineStr">
        <is>
          <t>10 % × 100,000 × split 80%</t>
        </is>
      </c>
    </row>
    <row r="1498">
      <c r="A1498" s="13" t="n">
        <v>1497</v>
      </c>
      <c r="B1498" s="14" t="n">
        <v>46548</v>
      </c>
      <c r="C1498" s="15" t="n">
        <v>9</v>
      </c>
      <c r="D1498" s="25" t="inlineStr">
        <is>
          <t>Payout</t>
        </is>
      </c>
      <c r="E1498" s="13" t="inlineStr">
        <is>
          <t>Moneta Funded</t>
        </is>
      </c>
      <c r="F1498" s="13" t="inlineStr">
        <is>
          <t>#24 Instant-Direct 100k</t>
        </is>
      </c>
      <c r="G1498" s="17" t="n">
        <v>100000</v>
      </c>
      <c r="H1498" s="17" t="n">
        <v>8000</v>
      </c>
      <c r="I1498" s="17" t="n">
        <v>9062363.15</v>
      </c>
      <c r="J1498" s="13" t="inlineStr">
        <is>
          <t>10 % × 100,000 × split 80%</t>
        </is>
      </c>
    </row>
    <row r="1499">
      <c r="A1499" s="19" t="n">
        <v>1498</v>
      </c>
      <c r="B1499" s="20" t="n">
        <v>46548</v>
      </c>
      <c r="C1499" s="21" t="n">
        <v>9</v>
      </c>
      <c r="D1499" s="25" t="inlineStr">
        <is>
          <t>Payout</t>
        </is>
      </c>
      <c r="E1499" s="19" t="inlineStr">
        <is>
          <t>Moneta Funded</t>
        </is>
      </c>
      <c r="F1499" s="19" t="inlineStr">
        <is>
          <t>#25 Instant-Direct 100k</t>
        </is>
      </c>
      <c r="G1499" s="22" t="n">
        <v>100000</v>
      </c>
      <c r="H1499" s="22" t="n">
        <v>8000</v>
      </c>
      <c r="I1499" s="22" t="n">
        <v>9070363.15</v>
      </c>
      <c r="J1499" s="19" t="inlineStr">
        <is>
          <t>10 % × 100,000 × split 80%</t>
        </is>
      </c>
    </row>
    <row r="1500">
      <c r="A1500" s="13" t="n">
        <v>1499</v>
      </c>
      <c r="B1500" s="14" t="n">
        <v>46548</v>
      </c>
      <c r="C1500" s="15" t="n">
        <v>9</v>
      </c>
      <c r="D1500" s="25" t="inlineStr">
        <is>
          <t>Payout</t>
        </is>
      </c>
      <c r="E1500" s="13" t="inlineStr">
        <is>
          <t>IQ Capital</t>
        </is>
      </c>
      <c r="F1500" s="13" t="inlineStr">
        <is>
          <t>#26 Instant-Direct 100k</t>
        </is>
      </c>
      <c r="G1500" s="17" t="n">
        <v>100000</v>
      </c>
      <c r="H1500" s="17" t="n">
        <v>8000</v>
      </c>
      <c r="I1500" s="17" t="n">
        <v>9078363.15</v>
      </c>
      <c r="J1500" s="13" t="inlineStr">
        <is>
          <t>10 % × 100,000 × split 80%</t>
        </is>
      </c>
    </row>
    <row r="1501">
      <c r="A1501" s="19" t="n">
        <v>1500</v>
      </c>
      <c r="B1501" s="20" t="n">
        <v>46548</v>
      </c>
      <c r="C1501" s="21" t="n">
        <v>9</v>
      </c>
      <c r="D1501" s="25" t="inlineStr">
        <is>
          <t>Payout</t>
        </is>
      </c>
      <c r="E1501" s="19" t="inlineStr">
        <is>
          <t>IQ Capital</t>
        </is>
      </c>
      <c r="F1501" s="19" t="inlineStr">
        <is>
          <t>#27 Instant-Direct 100k</t>
        </is>
      </c>
      <c r="G1501" s="22" t="n">
        <v>100000</v>
      </c>
      <c r="H1501" s="22" t="n">
        <v>8000</v>
      </c>
      <c r="I1501" s="22" t="n">
        <v>9086363.15</v>
      </c>
      <c r="J1501" s="19" t="inlineStr">
        <is>
          <t>10 % × 100,000 × split 80%</t>
        </is>
      </c>
    </row>
    <row r="1502">
      <c r="A1502" s="13" t="n">
        <v>1501</v>
      </c>
      <c r="B1502" s="14" t="n">
        <v>46548</v>
      </c>
      <c r="C1502" s="15" t="n">
        <v>9</v>
      </c>
      <c r="D1502" s="25" t="inlineStr">
        <is>
          <t>Payout</t>
        </is>
      </c>
      <c r="E1502" s="13" t="inlineStr">
        <is>
          <t>IQ Capital</t>
        </is>
      </c>
      <c r="F1502" s="13" t="inlineStr">
        <is>
          <t>#28 Instant-Direct 100k</t>
        </is>
      </c>
      <c r="G1502" s="17" t="n">
        <v>100000</v>
      </c>
      <c r="H1502" s="17" t="n">
        <v>8000</v>
      </c>
      <c r="I1502" s="17" t="n">
        <v>9094363.15</v>
      </c>
      <c r="J1502" s="13" t="inlineStr">
        <is>
          <t>10 % × 100,000 × split 80%</t>
        </is>
      </c>
    </row>
    <row r="1503">
      <c r="A1503" s="19" t="n">
        <v>1502</v>
      </c>
      <c r="B1503" s="20" t="n">
        <v>46548</v>
      </c>
      <c r="C1503" s="21" t="n">
        <v>9</v>
      </c>
      <c r="D1503" s="25" t="inlineStr">
        <is>
          <t>Payout</t>
        </is>
      </c>
      <c r="E1503" s="19" t="inlineStr">
        <is>
          <t>IQ Capital</t>
        </is>
      </c>
      <c r="F1503" s="19" t="inlineStr">
        <is>
          <t>#29 Instant-Direct 100k</t>
        </is>
      </c>
      <c r="G1503" s="22" t="n">
        <v>100000</v>
      </c>
      <c r="H1503" s="22" t="n">
        <v>8000</v>
      </c>
      <c r="I1503" s="22" t="n">
        <v>9102363.15</v>
      </c>
      <c r="J1503" s="19" t="inlineStr">
        <is>
          <t>10 % × 100,000 × split 80%</t>
        </is>
      </c>
    </row>
    <row r="1504">
      <c r="A1504" s="13" t="n">
        <v>1503</v>
      </c>
      <c r="B1504" s="14" t="n">
        <v>46548</v>
      </c>
      <c r="C1504" s="15" t="n">
        <v>9</v>
      </c>
      <c r="D1504" s="25" t="inlineStr">
        <is>
          <t>Payout</t>
        </is>
      </c>
      <c r="E1504" s="13" t="inlineStr">
        <is>
          <t>IQ Capital</t>
        </is>
      </c>
      <c r="F1504" s="13" t="inlineStr">
        <is>
          <t>#30 Instant-Direct 100k</t>
        </is>
      </c>
      <c r="G1504" s="17" t="n">
        <v>100000</v>
      </c>
      <c r="H1504" s="17" t="n">
        <v>8000</v>
      </c>
      <c r="I1504" s="17" t="n">
        <v>9110363.15</v>
      </c>
      <c r="J1504" s="13" t="inlineStr">
        <is>
          <t>10 % × 100,000 × split 80%</t>
        </is>
      </c>
    </row>
    <row r="1505">
      <c r="A1505" s="19" t="n">
        <v>1504</v>
      </c>
      <c r="B1505" s="20" t="n">
        <v>46548</v>
      </c>
      <c r="C1505" s="21" t="n">
        <v>9</v>
      </c>
      <c r="D1505" s="25" t="inlineStr">
        <is>
          <t>Payout</t>
        </is>
      </c>
      <c r="E1505" s="19" t="inlineStr">
        <is>
          <t>IQ Capital</t>
        </is>
      </c>
      <c r="F1505" s="19" t="inlineStr">
        <is>
          <t>#31 Instant-Direct 100k</t>
        </is>
      </c>
      <c r="G1505" s="22" t="n">
        <v>100000</v>
      </c>
      <c r="H1505" s="22" t="n">
        <v>8000</v>
      </c>
      <c r="I1505" s="22" t="n">
        <v>9118363.15</v>
      </c>
      <c r="J1505" s="19" t="inlineStr">
        <is>
          <t>10 % × 100,000 × split 80%</t>
        </is>
      </c>
    </row>
    <row r="1506">
      <c r="A1506" s="13" t="n">
        <v>1505</v>
      </c>
      <c r="B1506" s="14" t="n">
        <v>46548</v>
      </c>
      <c r="C1506" s="15" t="n">
        <v>9</v>
      </c>
      <c r="D1506" s="25" t="inlineStr">
        <is>
          <t>Payout</t>
        </is>
      </c>
      <c r="E1506" s="13" t="inlineStr">
        <is>
          <t>IQ Capital</t>
        </is>
      </c>
      <c r="F1506" s="13" t="inlineStr">
        <is>
          <t>#32 Instant-Direct 100k</t>
        </is>
      </c>
      <c r="G1506" s="17" t="n">
        <v>100000</v>
      </c>
      <c r="H1506" s="17" t="n">
        <v>8000</v>
      </c>
      <c r="I1506" s="17" t="n">
        <v>9126363.15</v>
      </c>
      <c r="J1506" s="13" t="inlineStr">
        <is>
          <t>10 % × 100,000 × split 80%</t>
        </is>
      </c>
    </row>
    <row r="1507">
      <c r="A1507" s="19" t="n">
        <v>1506</v>
      </c>
      <c r="B1507" s="20" t="n">
        <v>46548</v>
      </c>
      <c r="C1507" s="21" t="n">
        <v>9</v>
      </c>
      <c r="D1507" s="25" t="inlineStr">
        <is>
          <t>Payout</t>
        </is>
      </c>
      <c r="E1507" s="19" t="inlineStr">
        <is>
          <t>IQ Capital</t>
        </is>
      </c>
      <c r="F1507" s="19" t="inlineStr">
        <is>
          <t>#33 Instant-Direct 100k</t>
        </is>
      </c>
      <c r="G1507" s="22" t="n">
        <v>100000</v>
      </c>
      <c r="H1507" s="22" t="n">
        <v>8000</v>
      </c>
      <c r="I1507" s="22" t="n">
        <v>9134363.15</v>
      </c>
      <c r="J1507" s="19" t="inlineStr">
        <is>
          <t>10 % × 100,000 × split 80%</t>
        </is>
      </c>
    </row>
    <row r="1508">
      <c r="A1508" s="13" t="n">
        <v>1507</v>
      </c>
      <c r="B1508" s="14" t="n">
        <v>46548</v>
      </c>
      <c r="C1508" s="15" t="n">
        <v>9</v>
      </c>
      <c r="D1508" s="25" t="inlineStr">
        <is>
          <t>Payout</t>
        </is>
      </c>
      <c r="E1508" s="13" t="inlineStr">
        <is>
          <t>IQ Capital</t>
        </is>
      </c>
      <c r="F1508" s="13" t="inlineStr">
        <is>
          <t>#34 Instant-Direct 100k</t>
        </is>
      </c>
      <c r="G1508" s="17" t="n">
        <v>100000</v>
      </c>
      <c r="H1508" s="17" t="n">
        <v>8000</v>
      </c>
      <c r="I1508" s="17" t="n">
        <v>9142363.15</v>
      </c>
      <c r="J1508" s="13" t="inlineStr">
        <is>
          <t>10 % × 100,000 × split 80%</t>
        </is>
      </c>
    </row>
    <row r="1509">
      <c r="A1509" s="19" t="n">
        <v>1508</v>
      </c>
      <c r="B1509" s="20" t="n">
        <v>46548</v>
      </c>
      <c r="C1509" s="21" t="n">
        <v>9</v>
      </c>
      <c r="D1509" s="25" t="inlineStr">
        <is>
          <t>Payout</t>
        </is>
      </c>
      <c r="E1509" s="19" t="inlineStr">
        <is>
          <t>IQ Capital</t>
        </is>
      </c>
      <c r="F1509" s="19" t="inlineStr">
        <is>
          <t>#35 Instant-Direct 100k</t>
        </is>
      </c>
      <c r="G1509" s="22" t="n">
        <v>100000</v>
      </c>
      <c r="H1509" s="22" t="n">
        <v>8000</v>
      </c>
      <c r="I1509" s="22" t="n">
        <v>9150363.15</v>
      </c>
      <c r="J1509" s="19" t="inlineStr">
        <is>
          <t>10 % × 100,000 × split 80%</t>
        </is>
      </c>
    </row>
    <row r="1510">
      <c r="A1510" s="13" t="n">
        <v>1509</v>
      </c>
      <c r="B1510" s="14" t="n">
        <v>46548</v>
      </c>
      <c r="C1510" s="15" t="n">
        <v>9</v>
      </c>
      <c r="D1510" s="25" t="inlineStr">
        <is>
          <t>Payout</t>
        </is>
      </c>
      <c r="E1510" s="13" t="inlineStr">
        <is>
          <t>IQ Capital</t>
        </is>
      </c>
      <c r="F1510" s="13" t="inlineStr">
        <is>
          <t>#36 Instant-Direct 100k</t>
        </is>
      </c>
      <c r="G1510" s="17" t="n">
        <v>100000</v>
      </c>
      <c r="H1510" s="17" t="n">
        <v>8000</v>
      </c>
      <c r="I1510" s="17" t="n">
        <v>9158363.15</v>
      </c>
      <c r="J1510" s="13" t="inlineStr">
        <is>
          <t>10 % × 100,000 × split 80%</t>
        </is>
      </c>
    </row>
    <row r="1511">
      <c r="A1511" s="19" t="n">
        <v>1510</v>
      </c>
      <c r="B1511" s="20" t="n">
        <v>46548</v>
      </c>
      <c r="C1511" s="21" t="n">
        <v>9</v>
      </c>
      <c r="D1511" s="25" t="inlineStr">
        <is>
          <t>Payout</t>
        </is>
      </c>
      <c r="E1511" s="19" t="inlineStr">
        <is>
          <t>IQ Capital</t>
        </is>
      </c>
      <c r="F1511" s="19" t="inlineStr">
        <is>
          <t>#37 Instant-Direct 100k</t>
        </is>
      </c>
      <c r="G1511" s="22" t="n">
        <v>100000</v>
      </c>
      <c r="H1511" s="22" t="n">
        <v>8000</v>
      </c>
      <c r="I1511" s="22" t="n">
        <v>9166363.15</v>
      </c>
      <c r="J1511" s="19" t="inlineStr">
        <is>
          <t>10 % × 100,000 × split 80%</t>
        </is>
      </c>
    </row>
    <row r="1512">
      <c r="A1512" s="13" t="n">
        <v>1511</v>
      </c>
      <c r="B1512" s="14" t="n">
        <v>46548</v>
      </c>
      <c r="C1512" s="15" t="n">
        <v>9</v>
      </c>
      <c r="D1512" s="25" t="inlineStr">
        <is>
          <t>Payout</t>
        </is>
      </c>
      <c r="E1512" s="13" t="inlineStr">
        <is>
          <t>IQ Capital</t>
        </is>
      </c>
      <c r="F1512" s="13" t="inlineStr">
        <is>
          <t>#38 Instant-Direct 100k</t>
        </is>
      </c>
      <c r="G1512" s="17" t="n">
        <v>100000</v>
      </c>
      <c r="H1512" s="17" t="n">
        <v>8000</v>
      </c>
      <c r="I1512" s="17" t="n">
        <v>9174363.15</v>
      </c>
      <c r="J1512" s="13" t="inlineStr">
        <is>
          <t>10 % × 100,000 × split 80%</t>
        </is>
      </c>
    </row>
    <row r="1513">
      <c r="A1513" s="19" t="n">
        <v>1512</v>
      </c>
      <c r="B1513" s="20" t="n">
        <v>46548</v>
      </c>
      <c r="C1513" s="21" t="n">
        <v>9</v>
      </c>
      <c r="D1513" s="25" t="inlineStr">
        <is>
          <t>Payout</t>
        </is>
      </c>
      <c r="E1513" s="19" t="inlineStr">
        <is>
          <t>IQ Capital</t>
        </is>
      </c>
      <c r="F1513" s="19" t="inlineStr">
        <is>
          <t>#39 Instant-Direct 100k</t>
        </is>
      </c>
      <c r="G1513" s="22" t="n">
        <v>100000</v>
      </c>
      <c r="H1513" s="22" t="n">
        <v>8000</v>
      </c>
      <c r="I1513" s="22" t="n">
        <v>9182363.15</v>
      </c>
      <c r="J1513" s="19" t="inlineStr">
        <is>
          <t>10 % × 100,000 × split 80%</t>
        </is>
      </c>
    </row>
    <row r="1514">
      <c r="A1514" s="13" t="n">
        <v>1513</v>
      </c>
      <c r="B1514" s="14" t="n">
        <v>46548</v>
      </c>
      <c r="C1514" s="15" t="n">
        <v>9</v>
      </c>
      <c r="D1514" s="25" t="inlineStr">
        <is>
          <t>Payout</t>
        </is>
      </c>
      <c r="E1514" s="13" t="inlineStr">
        <is>
          <t>IQ Capital</t>
        </is>
      </c>
      <c r="F1514" s="13" t="inlineStr">
        <is>
          <t>#40 Instant-Direct 100k</t>
        </is>
      </c>
      <c r="G1514" s="17" t="n">
        <v>100000</v>
      </c>
      <c r="H1514" s="17" t="n">
        <v>8000</v>
      </c>
      <c r="I1514" s="17" t="n">
        <v>9190363.15</v>
      </c>
      <c r="J1514" s="13" t="inlineStr">
        <is>
          <t>10 % × 100,000 × split 80%</t>
        </is>
      </c>
    </row>
    <row r="1515">
      <c r="A1515" s="19" t="n">
        <v>1514</v>
      </c>
      <c r="B1515" s="20" t="n">
        <v>46548</v>
      </c>
      <c r="C1515" s="21" t="n">
        <v>9</v>
      </c>
      <c r="D1515" s="25" t="inlineStr">
        <is>
          <t>Payout</t>
        </is>
      </c>
      <c r="E1515" s="19" t="inlineStr">
        <is>
          <t>IQ Capital</t>
        </is>
      </c>
      <c r="F1515" s="19" t="inlineStr">
        <is>
          <t>#41 Instant-Direct 100k</t>
        </is>
      </c>
      <c r="G1515" s="22" t="n">
        <v>100000</v>
      </c>
      <c r="H1515" s="22" t="n">
        <v>8000</v>
      </c>
      <c r="I1515" s="22" t="n">
        <v>9198363.15</v>
      </c>
      <c r="J1515" s="19" t="inlineStr">
        <is>
          <t>10 % × 100,000 × split 80%</t>
        </is>
      </c>
    </row>
    <row r="1516">
      <c r="A1516" s="13" t="n">
        <v>1515</v>
      </c>
      <c r="B1516" s="14" t="n">
        <v>46548</v>
      </c>
      <c r="C1516" s="15" t="n">
        <v>9</v>
      </c>
      <c r="D1516" s="25" t="inlineStr">
        <is>
          <t>Payout</t>
        </is>
      </c>
      <c r="E1516" s="13" t="inlineStr">
        <is>
          <t>IQ Capital</t>
        </is>
      </c>
      <c r="F1516" s="13" t="inlineStr">
        <is>
          <t>#42 Instant-Direct 100k</t>
        </is>
      </c>
      <c r="G1516" s="17" t="n">
        <v>100000</v>
      </c>
      <c r="H1516" s="17" t="n">
        <v>8000</v>
      </c>
      <c r="I1516" s="17" t="n">
        <v>9206363.15</v>
      </c>
      <c r="J1516" s="13" t="inlineStr">
        <is>
          <t>10 % × 100,000 × split 80%</t>
        </is>
      </c>
    </row>
    <row r="1517">
      <c r="A1517" s="19" t="n">
        <v>1516</v>
      </c>
      <c r="B1517" s="20" t="n">
        <v>46548</v>
      </c>
      <c r="C1517" s="21" t="n">
        <v>9</v>
      </c>
      <c r="D1517" s="25" t="inlineStr">
        <is>
          <t>Payout</t>
        </is>
      </c>
      <c r="E1517" s="19" t="inlineStr">
        <is>
          <t>IQ Capital</t>
        </is>
      </c>
      <c r="F1517" s="19" t="inlineStr">
        <is>
          <t>#43 Instant-Direct 100k</t>
        </is>
      </c>
      <c r="G1517" s="22" t="n">
        <v>100000</v>
      </c>
      <c r="H1517" s="22" t="n">
        <v>8000</v>
      </c>
      <c r="I1517" s="22" t="n">
        <v>9214363.15</v>
      </c>
      <c r="J1517" s="19" t="inlineStr">
        <is>
          <t>10 % × 100,000 × split 80%</t>
        </is>
      </c>
    </row>
    <row r="1518">
      <c r="A1518" s="13" t="n">
        <v>1517</v>
      </c>
      <c r="B1518" s="14" t="n">
        <v>46548</v>
      </c>
      <c r="C1518" s="15" t="n">
        <v>9</v>
      </c>
      <c r="D1518" s="25" t="inlineStr">
        <is>
          <t>Payout</t>
        </is>
      </c>
      <c r="E1518" s="13" t="inlineStr">
        <is>
          <t>IQ Capital</t>
        </is>
      </c>
      <c r="F1518" s="13" t="inlineStr">
        <is>
          <t>#44 Instant-Direct 100k</t>
        </is>
      </c>
      <c r="G1518" s="17" t="n">
        <v>100000</v>
      </c>
      <c r="H1518" s="17" t="n">
        <v>8000</v>
      </c>
      <c r="I1518" s="17" t="n">
        <v>9222363.15</v>
      </c>
      <c r="J1518" s="13" t="inlineStr">
        <is>
          <t>10 % × 100,000 × split 80%</t>
        </is>
      </c>
    </row>
    <row r="1519">
      <c r="A1519" s="19" t="n">
        <v>1518</v>
      </c>
      <c r="B1519" s="20" t="n">
        <v>46548</v>
      </c>
      <c r="C1519" s="21" t="n">
        <v>9</v>
      </c>
      <c r="D1519" s="25" t="inlineStr">
        <is>
          <t>Payout</t>
        </is>
      </c>
      <c r="E1519" s="19" t="inlineStr">
        <is>
          <t>IQ Capital</t>
        </is>
      </c>
      <c r="F1519" s="19" t="inlineStr">
        <is>
          <t>#45 Instant-Direct 100k</t>
        </is>
      </c>
      <c r="G1519" s="22" t="n">
        <v>100000</v>
      </c>
      <c r="H1519" s="22" t="n">
        <v>8000</v>
      </c>
      <c r="I1519" s="22" t="n">
        <v>9230363.15</v>
      </c>
      <c r="J1519" s="19" t="inlineStr">
        <is>
          <t>10 % × 100,000 × split 80%</t>
        </is>
      </c>
    </row>
    <row r="1520">
      <c r="A1520" s="13" t="n">
        <v>1519</v>
      </c>
      <c r="B1520" s="14" t="n">
        <v>46548</v>
      </c>
      <c r="C1520" s="15" t="n">
        <v>9</v>
      </c>
      <c r="D1520" s="25" t="inlineStr">
        <is>
          <t>Payout</t>
        </is>
      </c>
      <c r="E1520" s="13" t="inlineStr">
        <is>
          <t>Instant Funding</t>
        </is>
      </c>
      <c r="F1520" s="13" t="inlineStr">
        <is>
          <t>#46 Instant-Direct 120k</t>
        </is>
      </c>
      <c r="G1520" s="17" t="n">
        <v>120000</v>
      </c>
      <c r="H1520" s="17" t="n">
        <v>9600</v>
      </c>
      <c r="I1520" s="17" t="n">
        <v>9239963.15</v>
      </c>
      <c r="J1520" s="13" t="inlineStr">
        <is>
          <t>10 % × 120,000 × split 80%</t>
        </is>
      </c>
    </row>
    <row r="1521">
      <c r="A1521" s="19" t="n">
        <v>1520</v>
      </c>
      <c r="B1521" s="20" t="n">
        <v>46548</v>
      </c>
      <c r="C1521" s="21" t="n">
        <v>9</v>
      </c>
      <c r="D1521" s="25" t="inlineStr">
        <is>
          <t>Payout</t>
        </is>
      </c>
      <c r="E1521" s="19" t="inlineStr">
        <is>
          <t>Instant Funding</t>
        </is>
      </c>
      <c r="F1521" s="19" t="inlineStr">
        <is>
          <t>#47 Instant-Direct 120k</t>
        </is>
      </c>
      <c r="G1521" s="22" t="n">
        <v>120000</v>
      </c>
      <c r="H1521" s="22" t="n">
        <v>9600</v>
      </c>
      <c r="I1521" s="22" t="n">
        <v>9249563.15</v>
      </c>
      <c r="J1521" s="19" t="inlineStr">
        <is>
          <t>10 % × 120,000 × split 80%</t>
        </is>
      </c>
    </row>
    <row r="1522">
      <c r="A1522" s="13" t="n">
        <v>1521</v>
      </c>
      <c r="B1522" s="14" t="n">
        <v>46548</v>
      </c>
      <c r="C1522" s="15" t="n">
        <v>9</v>
      </c>
      <c r="D1522" s="25" t="inlineStr">
        <is>
          <t>Payout</t>
        </is>
      </c>
      <c r="E1522" s="13" t="inlineStr">
        <is>
          <t>Instant Funding</t>
        </is>
      </c>
      <c r="F1522" s="13" t="inlineStr">
        <is>
          <t>#48 Instant-Direct 120k</t>
        </is>
      </c>
      <c r="G1522" s="17" t="n">
        <v>120000</v>
      </c>
      <c r="H1522" s="17" t="n">
        <v>9600</v>
      </c>
      <c r="I1522" s="17" t="n">
        <v>9259163.15</v>
      </c>
      <c r="J1522" s="13" t="inlineStr">
        <is>
          <t>10 % × 120,000 × split 80%</t>
        </is>
      </c>
    </row>
    <row r="1523">
      <c r="A1523" s="19" t="n">
        <v>1522</v>
      </c>
      <c r="B1523" s="20" t="n">
        <v>46548</v>
      </c>
      <c r="C1523" s="21" t="n">
        <v>9</v>
      </c>
      <c r="D1523" s="25" t="inlineStr">
        <is>
          <t>Payout</t>
        </is>
      </c>
      <c r="E1523" s="19" t="inlineStr">
        <is>
          <t>Audacity Capital</t>
        </is>
      </c>
      <c r="F1523" s="19" t="inlineStr">
        <is>
          <t>#49 Instant-Direct 50k</t>
        </is>
      </c>
      <c r="G1523" s="22" t="n">
        <v>50000</v>
      </c>
      <c r="H1523" s="22" t="n">
        <v>4500</v>
      </c>
      <c r="I1523" s="22" t="n">
        <v>9263663.15</v>
      </c>
      <c r="J1523" s="19" t="inlineStr">
        <is>
          <t>10 % × 50,000 × split 90%</t>
        </is>
      </c>
    </row>
    <row r="1524">
      <c r="A1524" s="13" t="n">
        <v>1523</v>
      </c>
      <c r="B1524" s="14" t="n">
        <v>46548</v>
      </c>
      <c r="C1524" s="15" t="n">
        <v>9</v>
      </c>
      <c r="D1524" s="25" t="inlineStr">
        <is>
          <t>Payout</t>
        </is>
      </c>
      <c r="E1524" s="13" t="inlineStr">
        <is>
          <t>Crypto Fund Trader</t>
        </is>
      </c>
      <c r="F1524" s="13" t="inlineStr">
        <is>
          <t>#50 Instant-Direct 10k</t>
        </is>
      </c>
      <c r="G1524" s="17" t="n">
        <v>10000</v>
      </c>
      <c r="H1524" s="17" t="n">
        <v>800</v>
      </c>
      <c r="I1524" s="17" t="n">
        <v>9264463.15</v>
      </c>
      <c r="J1524" s="13" t="inlineStr">
        <is>
          <t>10 % × 10,000 × split 80%</t>
        </is>
      </c>
    </row>
    <row r="1525">
      <c r="A1525" s="19" t="n">
        <v>1524</v>
      </c>
      <c r="B1525" s="20" t="n">
        <v>46548</v>
      </c>
      <c r="C1525" s="21" t="n">
        <v>9</v>
      </c>
      <c r="D1525" s="25" t="inlineStr">
        <is>
          <t>Payout</t>
        </is>
      </c>
      <c r="E1525" s="19" t="inlineStr">
        <is>
          <t>Instant Funding</t>
        </is>
      </c>
      <c r="F1525" s="19" t="inlineStr">
        <is>
          <t>#51 Instant-Direct 120k</t>
        </is>
      </c>
      <c r="G1525" s="22" t="n">
        <v>120000</v>
      </c>
      <c r="H1525" s="22" t="n">
        <v>9600</v>
      </c>
      <c r="I1525" s="22" t="n">
        <v>9274063.15</v>
      </c>
      <c r="J1525" s="19" t="inlineStr">
        <is>
          <t>10 % × 120,000 × split 80%</t>
        </is>
      </c>
    </row>
    <row r="1526">
      <c r="A1526" s="13" t="n">
        <v>1525</v>
      </c>
      <c r="B1526" s="14" t="n">
        <v>46548</v>
      </c>
      <c r="C1526" s="15" t="n">
        <v>9</v>
      </c>
      <c r="D1526" s="25" t="inlineStr">
        <is>
          <t>Payout</t>
        </is>
      </c>
      <c r="E1526" s="13" t="inlineStr">
        <is>
          <t>Instant Funding</t>
        </is>
      </c>
      <c r="F1526" s="13" t="inlineStr">
        <is>
          <t>#52 Instant-Direct 120k</t>
        </is>
      </c>
      <c r="G1526" s="17" t="n">
        <v>120000</v>
      </c>
      <c r="H1526" s="17" t="n">
        <v>9600</v>
      </c>
      <c r="I1526" s="17" t="n">
        <v>9283663.15</v>
      </c>
      <c r="J1526" s="13" t="inlineStr">
        <is>
          <t>10 % × 120,000 × split 80%</t>
        </is>
      </c>
    </row>
    <row r="1527">
      <c r="A1527" s="19" t="n">
        <v>1526</v>
      </c>
      <c r="B1527" s="20" t="n">
        <v>46548</v>
      </c>
      <c r="C1527" s="21" t="n">
        <v>9</v>
      </c>
      <c r="D1527" s="25" t="inlineStr">
        <is>
          <t>Payout</t>
        </is>
      </c>
      <c r="E1527" s="19" t="inlineStr">
        <is>
          <t>Instant Funding</t>
        </is>
      </c>
      <c r="F1527" s="19" t="inlineStr">
        <is>
          <t>#53 Instant-Direct 120k</t>
        </is>
      </c>
      <c r="G1527" s="22" t="n">
        <v>120000</v>
      </c>
      <c r="H1527" s="22" t="n">
        <v>9600</v>
      </c>
      <c r="I1527" s="22" t="n">
        <v>9293263.15</v>
      </c>
      <c r="J1527" s="19" t="inlineStr">
        <is>
          <t>10 % × 120,000 × split 80%</t>
        </is>
      </c>
    </row>
    <row r="1528">
      <c r="A1528" s="13" t="n">
        <v>1527</v>
      </c>
      <c r="B1528" s="14" t="n">
        <v>46548</v>
      </c>
      <c r="C1528" s="15" t="n">
        <v>9</v>
      </c>
      <c r="D1528" s="25" t="inlineStr">
        <is>
          <t>Payout</t>
        </is>
      </c>
      <c r="E1528" s="13" t="inlineStr">
        <is>
          <t>Instant Funding</t>
        </is>
      </c>
      <c r="F1528" s="13" t="inlineStr">
        <is>
          <t>#54 Instant-Direct 120k</t>
        </is>
      </c>
      <c r="G1528" s="17" t="n">
        <v>120000</v>
      </c>
      <c r="H1528" s="17" t="n">
        <v>9600</v>
      </c>
      <c r="I1528" s="17" t="n">
        <v>9302863.15</v>
      </c>
      <c r="J1528" s="13" t="inlineStr">
        <is>
          <t>10 % × 120,000 × split 80%</t>
        </is>
      </c>
    </row>
    <row r="1529">
      <c r="A1529" s="19" t="n">
        <v>1528</v>
      </c>
      <c r="B1529" s="20" t="n">
        <v>46548</v>
      </c>
      <c r="C1529" s="21" t="n">
        <v>9</v>
      </c>
      <c r="D1529" s="25" t="inlineStr">
        <is>
          <t>Payout</t>
        </is>
      </c>
      <c r="E1529" s="19" t="inlineStr">
        <is>
          <t>Instant Funding</t>
        </is>
      </c>
      <c r="F1529" s="19" t="inlineStr">
        <is>
          <t>#55 Instant-Direct 120k</t>
        </is>
      </c>
      <c r="G1529" s="22" t="n">
        <v>120000</v>
      </c>
      <c r="H1529" s="22" t="n">
        <v>9600</v>
      </c>
      <c r="I1529" s="22" t="n">
        <v>9312463.15</v>
      </c>
      <c r="J1529" s="19" t="inlineStr">
        <is>
          <t>10 % × 120,000 × split 80%</t>
        </is>
      </c>
    </row>
    <row r="1530">
      <c r="A1530" s="13" t="n">
        <v>1529</v>
      </c>
      <c r="B1530" s="14" t="n">
        <v>46548</v>
      </c>
      <c r="C1530" s="15" t="n">
        <v>9</v>
      </c>
      <c r="D1530" s="25" t="inlineStr">
        <is>
          <t>Payout</t>
        </is>
      </c>
      <c r="E1530" s="13" t="inlineStr">
        <is>
          <t>Kickstart Trading</t>
        </is>
      </c>
      <c r="F1530" s="13" t="inlineStr">
        <is>
          <t>#56 Instant-Direct 100k</t>
        </is>
      </c>
      <c r="G1530" s="17" t="n">
        <v>100000</v>
      </c>
      <c r="H1530" s="17" t="n">
        <v>8000</v>
      </c>
      <c r="I1530" s="17" t="n">
        <v>9320463.15</v>
      </c>
      <c r="J1530" s="13" t="inlineStr">
        <is>
          <t>10 % × 100,000 × split 80%</t>
        </is>
      </c>
    </row>
    <row r="1531">
      <c r="A1531" s="19" t="n">
        <v>1530</v>
      </c>
      <c r="B1531" s="20" t="n">
        <v>46548</v>
      </c>
      <c r="C1531" s="21" t="n">
        <v>9</v>
      </c>
      <c r="D1531" s="25" t="inlineStr">
        <is>
          <t>Payout</t>
        </is>
      </c>
      <c r="E1531" s="19" t="inlineStr">
        <is>
          <t>Kickstart Trading</t>
        </is>
      </c>
      <c r="F1531" s="19" t="inlineStr">
        <is>
          <t>#57 Instant-Direct 100k</t>
        </is>
      </c>
      <c r="G1531" s="22" t="n">
        <v>100000</v>
      </c>
      <c r="H1531" s="22" t="n">
        <v>8000</v>
      </c>
      <c r="I1531" s="22" t="n">
        <v>9328463.15</v>
      </c>
      <c r="J1531" s="19" t="inlineStr">
        <is>
          <t>10 % × 100,000 × split 80%</t>
        </is>
      </c>
    </row>
    <row r="1532">
      <c r="A1532" s="13" t="n">
        <v>1531</v>
      </c>
      <c r="B1532" s="14" t="n">
        <v>46548</v>
      </c>
      <c r="C1532" s="15" t="n">
        <v>9</v>
      </c>
      <c r="D1532" s="25" t="inlineStr">
        <is>
          <t>Payout</t>
        </is>
      </c>
      <c r="E1532" s="13" t="inlineStr">
        <is>
          <t>Kickstart Trading</t>
        </is>
      </c>
      <c r="F1532" s="13" t="inlineStr">
        <is>
          <t>#58 Instant-Direct 100k</t>
        </is>
      </c>
      <c r="G1532" s="17" t="n">
        <v>100000</v>
      </c>
      <c r="H1532" s="17" t="n">
        <v>8000</v>
      </c>
      <c r="I1532" s="17" t="n">
        <v>9336463.15</v>
      </c>
      <c r="J1532" s="13" t="inlineStr">
        <is>
          <t>10 % × 100,000 × split 80%</t>
        </is>
      </c>
    </row>
    <row r="1533">
      <c r="A1533" s="19" t="n">
        <v>1532</v>
      </c>
      <c r="B1533" s="20" t="n">
        <v>46548</v>
      </c>
      <c r="C1533" s="21" t="n">
        <v>9</v>
      </c>
      <c r="D1533" s="25" t="inlineStr">
        <is>
          <t>Payout</t>
        </is>
      </c>
      <c r="E1533" s="19" t="inlineStr">
        <is>
          <t>Kickstart Trading</t>
        </is>
      </c>
      <c r="F1533" s="19" t="inlineStr">
        <is>
          <t>#59 Instant-Direct 100k</t>
        </is>
      </c>
      <c r="G1533" s="22" t="n">
        <v>100000</v>
      </c>
      <c r="H1533" s="22" t="n">
        <v>8000</v>
      </c>
      <c r="I1533" s="22" t="n">
        <v>9344463.15</v>
      </c>
      <c r="J1533" s="19" t="inlineStr">
        <is>
          <t>10 % × 100,000 × split 80%</t>
        </is>
      </c>
    </row>
    <row r="1534">
      <c r="A1534" s="13" t="n">
        <v>1533</v>
      </c>
      <c r="B1534" s="14" t="n">
        <v>46548</v>
      </c>
      <c r="C1534" s="15" t="n">
        <v>9</v>
      </c>
      <c r="D1534" s="25" t="inlineStr">
        <is>
          <t>Payout</t>
        </is>
      </c>
      <c r="E1534" s="13" t="inlineStr">
        <is>
          <t>Kickstart Trading</t>
        </is>
      </c>
      <c r="F1534" s="13" t="inlineStr">
        <is>
          <t>#60 Instant-Direct 100k</t>
        </is>
      </c>
      <c r="G1534" s="17" t="n">
        <v>100000</v>
      </c>
      <c r="H1534" s="17" t="n">
        <v>8000</v>
      </c>
      <c r="I1534" s="17" t="n">
        <v>9352463.15</v>
      </c>
      <c r="J1534" s="13" t="inlineStr">
        <is>
          <t>10 % × 100,000 × split 80%</t>
        </is>
      </c>
    </row>
    <row r="1535">
      <c r="A1535" s="19" t="n">
        <v>1534</v>
      </c>
      <c r="B1535" s="20" t="n">
        <v>46548</v>
      </c>
      <c r="C1535" s="21" t="n">
        <v>9</v>
      </c>
      <c r="D1535" s="25" t="inlineStr">
        <is>
          <t>Payout</t>
        </is>
      </c>
      <c r="E1535" s="19" t="inlineStr">
        <is>
          <t>Kickstart Trading</t>
        </is>
      </c>
      <c r="F1535" s="19" t="inlineStr">
        <is>
          <t>#61 Instant-Direct 100k</t>
        </is>
      </c>
      <c r="G1535" s="22" t="n">
        <v>100000</v>
      </c>
      <c r="H1535" s="22" t="n">
        <v>8000</v>
      </c>
      <c r="I1535" s="22" t="n">
        <v>9360463.15</v>
      </c>
      <c r="J1535" s="19" t="inlineStr">
        <is>
          <t>10 % × 100,000 × split 80%</t>
        </is>
      </c>
    </row>
    <row r="1536">
      <c r="A1536" s="13" t="n">
        <v>1535</v>
      </c>
      <c r="B1536" s="14" t="n">
        <v>46548</v>
      </c>
      <c r="C1536" s="15" t="n">
        <v>9</v>
      </c>
      <c r="D1536" s="25" t="inlineStr">
        <is>
          <t>Payout</t>
        </is>
      </c>
      <c r="E1536" s="13" t="inlineStr">
        <is>
          <t>Kickstart Trading</t>
        </is>
      </c>
      <c r="F1536" s="13" t="inlineStr">
        <is>
          <t>#62 Instant-Direct 100k</t>
        </is>
      </c>
      <c r="G1536" s="17" t="n">
        <v>100000</v>
      </c>
      <c r="H1536" s="17" t="n">
        <v>8000</v>
      </c>
      <c r="I1536" s="17" t="n">
        <v>9368463.15</v>
      </c>
      <c r="J1536" s="13" t="inlineStr">
        <is>
          <t>10 % × 100,000 × split 80%</t>
        </is>
      </c>
    </row>
    <row r="1537">
      <c r="A1537" s="19" t="n">
        <v>1536</v>
      </c>
      <c r="B1537" s="20" t="n">
        <v>46548</v>
      </c>
      <c r="C1537" s="21" t="n">
        <v>9</v>
      </c>
      <c r="D1537" s="25" t="inlineStr">
        <is>
          <t>Payout</t>
        </is>
      </c>
      <c r="E1537" s="19" t="inlineStr">
        <is>
          <t>Kickstart Trading</t>
        </is>
      </c>
      <c r="F1537" s="19" t="inlineStr">
        <is>
          <t>#63 Instant-Direct 100k</t>
        </is>
      </c>
      <c r="G1537" s="22" t="n">
        <v>100000</v>
      </c>
      <c r="H1537" s="22" t="n">
        <v>8000</v>
      </c>
      <c r="I1537" s="22" t="n">
        <v>9376463.15</v>
      </c>
      <c r="J1537" s="19" t="inlineStr">
        <is>
          <t>10 % × 100,000 × split 80%</t>
        </is>
      </c>
    </row>
    <row r="1538">
      <c r="A1538" s="13" t="n">
        <v>1537</v>
      </c>
      <c r="B1538" s="14" t="n">
        <v>46548</v>
      </c>
      <c r="C1538" s="15" t="n">
        <v>9</v>
      </c>
      <c r="D1538" s="25" t="inlineStr">
        <is>
          <t>Payout</t>
        </is>
      </c>
      <c r="E1538" s="13" t="inlineStr">
        <is>
          <t>Kickstart Trading</t>
        </is>
      </c>
      <c r="F1538" s="13" t="inlineStr">
        <is>
          <t>#64 Instant-Direct 100k</t>
        </is>
      </c>
      <c r="G1538" s="17" t="n">
        <v>100000</v>
      </c>
      <c r="H1538" s="17" t="n">
        <v>8000</v>
      </c>
      <c r="I1538" s="17" t="n">
        <v>9384463.15</v>
      </c>
      <c r="J1538" s="13" t="inlineStr">
        <is>
          <t>10 % × 100,000 × split 80%</t>
        </is>
      </c>
    </row>
    <row r="1539">
      <c r="A1539" s="19" t="n">
        <v>1538</v>
      </c>
      <c r="B1539" s="20" t="n">
        <v>46548</v>
      </c>
      <c r="C1539" s="21" t="n">
        <v>9</v>
      </c>
      <c r="D1539" s="25" t="inlineStr">
        <is>
          <t>Payout</t>
        </is>
      </c>
      <c r="E1539" s="19" t="inlineStr">
        <is>
          <t>Kickstart Trading</t>
        </is>
      </c>
      <c r="F1539" s="19" t="inlineStr">
        <is>
          <t>#65 Instant-Direct 100k</t>
        </is>
      </c>
      <c r="G1539" s="22" t="n">
        <v>100000</v>
      </c>
      <c r="H1539" s="22" t="n">
        <v>8000</v>
      </c>
      <c r="I1539" s="22" t="n">
        <v>9392463.15</v>
      </c>
      <c r="J1539" s="19" t="inlineStr">
        <is>
          <t>10 % × 100,000 × split 80%</t>
        </is>
      </c>
    </row>
    <row r="1540">
      <c r="A1540" s="13" t="n">
        <v>1539</v>
      </c>
      <c r="B1540" s="14" t="n">
        <v>46548</v>
      </c>
      <c r="C1540" s="15" t="n">
        <v>9</v>
      </c>
      <c r="D1540" s="25" t="inlineStr">
        <is>
          <t>Payout</t>
        </is>
      </c>
      <c r="E1540" s="13" t="inlineStr">
        <is>
          <t>Audacity Capital</t>
        </is>
      </c>
      <c r="F1540" s="13" t="inlineStr">
        <is>
          <t>#66 Instant-Direct 50k</t>
        </is>
      </c>
      <c r="G1540" s="17" t="n">
        <v>50000</v>
      </c>
      <c r="H1540" s="17" t="n">
        <v>4500</v>
      </c>
      <c r="I1540" s="17" t="n">
        <v>9396963.15</v>
      </c>
      <c r="J1540" s="13" t="inlineStr">
        <is>
          <t>10 % × 50,000 × split 90%</t>
        </is>
      </c>
    </row>
    <row r="1541">
      <c r="A1541" s="19" t="n">
        <v>1540</v>
      </c>
      <c r="B1541" s="20" t="n">
        <v>46548</v>
      </c>
      <c r="C1541" s="21" t="n">
        <v>9</v>
      </c>
      <c r="D1541" s="25" t="inlineStr">
        <is>
          <t>Payout</t>
        </is>
      </c>
      <c r="E1541" s="19" t="inlineStr">
        <is>
          <t>Audacity Capital</t>
        </is>
      </c>
      <c r="F1541" s="19" t="inlineStr">
        <is>
          <t>#67 Instant-Direct 50k</t>
        </is>
      </c>
      <c r="G1541" s="22" t="n">
        <v>50000</v>
      </c>
      <c r="H1541" s="22" t="n">
        <v>4500</v>
      </c>
      <c r="I1541" s="22" t="n">
        <v>9401463.15</v>
      </c>
      <c r="J1541" s="19" t="inlineStr">
        <is>
          <t>10 % × 50,000 × split 90%</t>
        </is>
      </c>
    </row>
    <row r="1542">
      <c r="A1542" s="13" t="n">
        <v>1541</v>
      </c>
      <c r="B1542" s="14" t="n">
        <v>46548</v>
      </c>
      <c r="C1542" s="15" t="n">
        <v>9</v>
      </c>
      <c r="D1542" s="25" t="inlineStr">
        <is>
          <t>Payout</t>
        </is>
      </c>
      <c r="E1542" s="13" t="inlineStr">
        <is>
          <t>Audacity Capital</t>
        </is>
      </c>
      <c r="F1542" s="13" t="inlineStr">
        <is>
          <t>#68 Instant-Direct 50k</t>
        </is>
      </c>
      <c r="G1542" s="17" t="n">
        <v>50000</v>
      </c>
      <c r="H1542" s="17" t="n">
        <v>4500</v>
      </c>
      <c r="I1542" s="17" t="n">
        <v>9405963.15</v>
      </c>
      <c r="J1542" s="13" t="inlineStr">
        <is>
          <t>10 % × 50,000 × split 90%</t>
        </is>
      </c>
    </row>
    <row r="1543">
      <c r="A1543" s="19" t="n">
        <v>1542</v>
      </c>
      <c r="B1543" s="20" t="n">
        <v>46548</v>
      </c>
      <c r="C1543" s="21" t="n">
        <v>9</v>
      </c>
      <c r="D1543" s="25" t="inlineStr">
        <is>
          <t>Payout</t>
        </is>
      </c>
      <c r="E1543" s="19" t="inlineStr">
        <is>
          <t>Audacity Capital</t>
        </is>
      </c>
      <c r="F1543" s="19" t="inlineStr">
        <is>
          <t>#69 Instant-Direct 50k</t>
        </is>
      </c>
      <c r="G1543" s="22" t="n">
        <v>50000</v>
      </c>
      <c r="H1543" s="22" t="n">
        <v>4500</v>
      </c>
      <c r="I1543" s="22" t="n">
        <v>9410463.15</v>
      </c>
      <c r="J1543" s="19" t="inlineStr">
        <is>
          <t>10 % × 50,000 × split 90%</t>
        </is>
      </c>
    </row>
    <row r="1544">
      <c r="A1544" s="13" t="n">
        <v>1543</v>
      </c>
      <c r="B1544" s="14" t="n">
        <v>46548</v>
      </c>
      <c r="C1544" s="15" t="n">
        <v>9</v>
      </c>
      <c r="D1544" s="25" t="inlineStr">
        <is>
          <t>Payout</t>
        </is>
      </c>
      <c r="E1544" s="13" t="inlineStr">
        <is>
          <t>Audacity Capital</t>
        </is>
      </c>
      <c r="F1544" s="13" t="inlineStr">
        <is>
          <t>#70 Instant-Direct 50k</t>
        </is>
      </c>
      <c r="G1544" s="17" t="n">
        <v>50000</v>
      </c>
      <c r="H1544" s="17" t="n">
        <v>4500</v>
      </c>
      <c r="I1544" s="17" t="n">
        <v>9414963.15</v>
      </c>
      <c r="J1544" s="13" t="inlineStr">
        <is>
          <t>10 % × 50,000 × split 90%</t>
        </is>
      </c>
    </row>
    <row r="1545">
      <c r="A1545" s="19" t="n">
        <v>1544</v>
      </c>
      <c r="B1545" s="20" t="n">
        <v>46548</v>
      </c>
      <c r="C1545" s="21" t="n">
        <v>9</v>
      </c>
      <c r="D1545" s="25" t="inlineStr">
        <is>
          <t>Payout</t>
        </is>
      </c>
      <c r="E1545" s="19" t="inlineStr">
        <is>
          <t>Audacity Capital</t>
        </is>
      </c>
      <c r="F1545" s="19" t="inlineStr">
        <is>
          <t>#71 Instant-Direct 50k</t>
        </is>
      </c>
      <c r="G1545" s="22" t="n">
        <v>50000</v>
      </c>
      <c r="H1545" s="22" t="n">
        <v>4500</v>
      </c>
      <c r="I1545" s="22" t="n">
        <v>9419463.15</v>
      </c>
      <c r="J1545" s="19" t="inlineStr">
        <is>
          <t>10 % × 50,000 × split 90%</t>
        </is>
      </c>
    </row>
    <row r="1546">
      <c r="A1546" s="13" t="n">
        <v>1545</v>
      </c>
      <c r="B1546" s="14" t="n">
        <v>46548</v>
      </c>
      <c r="C1546" s="15" t="n">
        <v>9</v>
      </c>
      <c r="D1546" s="25" t="inlineStr">
        <is>
          <t>Payout</t>
        </is>
      </c>
      <c r="E1546" s="13" t="inlineStr">
        <is>
          <t>Audacity Capital</t>
        </is>
      </c>
      <c r="F1546" s="13" t="inlineStr">
        <is>
          <t>#72 Instant-Direct 50k</t>
        </is>
      </c>
      <c r="G1546" s="17" t="n">
        <v>50000</v>
      </c>
      <c r="H1546" s="17" t="n">
        <v>4500</v>
      </c>
      <c r="I1546" s="17" t="n">
        <v>9423963.15</v>
      </c>
      <c r="J1546" s="13" t="inlineStr">
        <is>
          <t>10 % × 50,000 × split 90%</t>
        </is>
      </c>
    </row>
    <row r="1547">
      <c r="A1547" s="19" t="n">
        <v>1546</v>
      </c>
      <c r="B1547" s="20" t="n">
        <v>46548</v>
      </c>
      <c r="C1547" s="21" t="n">
        <v>9</v>
      </c>
      <c r="D1547" s="25" t="inlineStr">
        <is>
          <t>Payout</t>
        </is>
      </c>
      <c r="E1547" s="19" t="inlineStr">
        <is>
          <t>Audacity Capital</t>
        </is>
      </c>
      <c r="F1547" s="19" t="inlineStr">
        <is>
          <t>#73 Instant-Direct 50k</t>
        </is>
      </c>
      <c r="G1547" s="22" t="n">
        <v>50000</v>
      </c>
      <c r="H1547" s="22" t="n">
        <v>4500</v>
      </c>
      <c r="I1547" s="22" t="n">
        <v>9428463.15</v>
      </c>
      <c r="J1547" s="19" t="inlineStr">
        <is>
          <t>10 % × 50,000 × split 90%</t>
        </is>
      </c>
    </row>
    <row r="1548">
      <c r="A1548" s="13" t="n">
        <v>1547</v>
      </c>
      <c r="B1548" s="14" t="n">
        <v>46548</v>
      </c>
      <c r="C1548" s="15" t="n">
        <v>9</v>
      </c>
      <c r="D1548" s="25" t="inlineStr">
        <is>
          <t>Payout</t>
        </is>
      </c>
      <c r="E1548" s="13" t="inlineStr">
        <is>
          <t>Audacity Capital</t>
        </is>
      </c>
      <c r="F1548" s="13" t="inlineStr">
        <is>
          <t>#74 Instant-Direct 50k</t>
        </is>
      </c>
      <c r="G1548" s="17" t="n">
        <v>50000</v>
      </c>
      <c r="H1548" s="17" t="n">
        <v>4500</v>
      </c>
      <c r="I1548" s="17" t="n">
        <v>9432963.15</v>
      </c>
      <c r="J1548" s="13" t="inlineStr">
        <is>
          <t>10 % × 50,000 × split 90%</t>
        </is>
      </c>
    </row>
    <row r="1549">
      <c r="A1549" s="19" t="n">
        <v>1548</v>
      </c>
      <c r="B1549" s="20" t="n">
        <v>46548</v>
      </c>
      <c r="C1549" s="21" t="n">
        <v>9</v>
      </c>
      <c r="D1549" s="25" t="inlineStr">
        <is>
          <t>Payout</t>
        </is>
      </c>
      <c r="E1549" s="19" t="inlineStr">
        <is>
          <t>Audacity Capital</t>
        </is>
      </c>
      <c r="F1549" s="19" t="inlineStr">
        <is>
          <t>#75 Instant-Direct 50k</t>
        </is>
      </c>
      <c r="G1549" s="22" t="n">
        <v>50000</v>
      </c>
      <c r="H1549" s="22" t="n">
        <v>4500</v>
      </c>
      <c r="I1549" s="22" t="n">
        <v>9437463.15</v>
      </c>
      <c r="J1549" s="19" t="inlineStr">
        <is>
          <t>10 % × 50,000 × split 90%</t>
        </is>
      </c>
    </row>
    <row r="1550">
      <c r="A1550" s="13" t="n">
        <v>1549</v>
      </c>
      <c r="B1550" s="14" t="n">
        <v>46548</v>
      </c>
      <c r="C1550" s="15" t="n">
        <v>9</v>
      </c>
      <c r="D1550" s="25" t="inlineStr">
        <is>
          <t>Payout</t>
        </is>
      </c>
      <c r="E1550" s="13" t="inlineStr">
        <is>
          <t>Audacity Capital</t>
        </is>
      </c>
      <c r="F1550" s="13" t="inlineStr">
        <is>
          <t>#76 Instant-Direct 50k</t>
        </is>
      </c>
      <c r="G1550" s="17" t="n">
        <v>50000</v>
      </c>
      <c r="H1550" s="17" t="n">
        <v>4500</v>
      </c>
      <c r="I1550" s="17" t="n">
        <v>9441963.15</v>
      </c>
      <c r="J1550" s="13" t="inlineStr">
        <is>
          <t>10 % × 50,000 × split 90%</t>
        </is>
      </c>
    </row>
    <row r="1551">
      <c r="A1551" s="19" t="n">
        <v>1550</v>
      </c>
      <c r="B1551" s="20" t="n">
        <v>46548</v>
      </c>
      <c r="C1551" s="21" t="n">
        <v>9</v>
      </c>
      <c r="D1551" s="25" t="inlineStr">
        <is>
          <t>Payout</t>
        </is>
      </c>
      <c r="E1551" s="19" t="inlineStr">
        <is>
          <t>Audacity Capital</t>
        </is>
      </c>
      <c r="F1551" s="19" t="inlineStr">
        <is>
          <t>#77 Instant-Direct 50k</t>
        </is>
      </c>
      <c r="G1551" s="22" t="n">
        <v>50000</v>
      </c>
      <c r="H1551" s="22" t="n">
        <v>4500</v>
      </c>
      <c r="I1551" s="22" t="n">
        <v>9446463.15</v>
      </c>
      <c r="J1551" s="19" t="inlineStr">
        <is>
          <t>10 % × 50,000 × split 90%</t>
        </is>
      </c>
    </row>
    <row r="1552">
      <c r="A1552" s="13" t="n">
        <v>1551</v>
      </c>
      <c r="B1552" s="14" t="n">
        <v>46548</v>
      </c>
      <c r="C1552" s="15" t="n">
        <v>9</v>
      </c>
      <c r="D1552" s="25" t="inlineStr">
        <is>
          <t>Payout</t>
        </is>
      </c>
      <c r="E1552" s="13" t="inlineStr">
        <is>
          <t>Audacity Capital</t>
        </is>
      </c>
      <c r="F1552" s="13" t="inlineStr">
        <is>
          <t>#78 Instant-Direct 50k</t>
        </is>
      </c>
      <c r="G1552" s="17" t="n">
        <v>50000</v>
      </c>
      <c r="H1552" s="17" t="n">
        <v>4500</v>
      </c>
      <c r="I1552" s="17" t="n">
        <v>9450963.15</v>
      </c>
      <c r="J1552" s="13" t="inlineStr">
        <is>
          <t>10 % × 50,000 × split 90%</t>
        </is>
      </c>
    </row>
    <row r="1553">
      <c r="A1553" s="19" t="n">
        <v>1552</v>
      </c>
      <c r="B1553" s="20" t="n">
        <v>46548</v>
      </c>
      <c r="C1553" s="21" t="n">
        <v>9</v>
      </c>
      <c r="D1553" s="25" t="inlineStr">
        <is>
          <t>Payout</t>
        </is>
      </c>
      <c r="E1553" s="19" t="inlineStr">
        <is>
          <t>Fill88</t>
        </is>
      </c>
      <c r="F1553" s="19" t="inlineStr">
        <is>
          <t>#79 Instant-Direct 100k</t>
        </is>
      </c>
      <c r="G1553" s="22" t="n">
        <v>100000</v>
      </c>
      <c r="H1553" s="22" t="n">
        <v>8000</v>
      </c>
      <c r="I1553" s="22" t="n">
        <v>9458963.15</v>
      </c>
      <c r="J1553" s="19" t="inlineStr">
        <is>
          <t>10 % × 100,000 × split 80%</t>
        </is>
      </c>
    </row>
    <row r="1554">
      <c r="A1554" s="13" t="n">
        <v>1553</v>
      </c>
      <c r="B1554" s="14" t="n">
        <v>46548</v>
      </c>
      <c r="C1554" s="15" t="n">
        <v>9</v>
      </c>
      <c r="D1554" s="25" t="inlineStr">
        <is>
          <t>Payout</t>
        </is>
      </c>
      <c r="E1554" s="13" t="inlineStr">
        <is>
          <t>Fill88</t>
        </is>
      </c>
      <c r="F1554" s="13" t="inlineStr">
        <is>
          <t>#80 Instant-Direct 100k</t>
        </is>
      </c>
      <c r="G1554" s="17" t="n">
        <v>100000</v>
      </c>
      <c r="H1554" s="17" t="n">
        <v>8000</v>
      </c>
      <c r="I1554" s="17" t="n">
        <v>9466963.15</v>
      </c>
      <c r="J1554" s="13" t="inlineStr">
        <is>
          <t>10 % × 100,000 × split 80%</t>
        </is>
      </c>
    </row>
    <row r="1555">
      <c r="A1555" s="19" t="n">
        <v>1554</v>
      </c>
      <c r="B1555" s="20" t="n">
        <v>46548</v>
      </c>
      <c r="C1555" s="21" t="n">
        <v>9</v>
      </c>
      <c r="D1555" s="25" t="inlineStr">
        <is>
          <t>Payout</t>
        </is>
      </c>
      <c r="E1555" s="19" t="inlineStr">
        <is>
          <t>Fill88</t>
        </is>
      </c>
      <c r="F1555" s="19" t="inlineStr">
        <is>
          <t>#81 Instant-Direct 100k</t>
        </is>
      </c>
      <c r="G1555" s="22" t="n">
        <v>100000</v>
      </c>
      <c r="H1555" s="22" t="n">
        <v>8000</v>
      </c>
      <c r="I1555" s="22" t="n">
        <v>9474963.15</v>
      </c>
      <c r="J1555" s="19" t="inlineStr">
        <is>
          <t>10 % × 100,000 × split 80%</t>
        </is>
      </c>
    </row>
    <row r="1556">
      <c r="A1556" s="13" t="n">
        <v>1555</v>
      </c>
      <c r="B1556" s="14" t="n">
        <v>46548</v>
      </c>
      <c r="C1556" s="15" t="n">
        <v>9</v>
      </c>
      <c r="D1556" s="25" t="inlineStr">
        <is>
          <t>Payout</t>
        </is>
      </c>
      <c r="E1556" s="13" t="inlineStr">
        <is>
          <t>Fill88</t>
        </is>
      </c>
      <c r="F1556" s="13" t="inlineStr">
        <is>
          <t>#82 Instant-Direct 100k</t>
        </is>
      </c>
      <c r="G1556" s="17" t="n">
        <v>100000</v>
      </c>
      <c r="H1556" s="17" t="n">
        <v>8000</v>
      </c>
      <c r="I1556" s="17" t="n">
        <v>9482963.15</v>
      </c>
      <c r="J1556" s="13" t="inlineStr">
        <is>
          <t>10 % × 100,000 × split 80%</t>
        </is>
      </c>
    </row>
    <row r="1557">
      <c r="A1557" s="19" t="n">
        <v>1556</v>
      </c>
      <c r="B1557" s="20" t="n">
        <v>46548</v>
      </c>
      <c r="C1557" s="21" t="n">
        <v>9</v>
      </c>
      <c r="D1557" s="25" t="inlineStr">
        <is>
          <t>Payout</t>
        </is>
      </c>
      <c r="E1557" s="19" t="inlineStr">
        <is>
          <t>Fill88</t>
        </is>
      </c>
      <c r="F1557" s="19" t="inlineStr">
        <is>
          <t>#83 Instant-Direct 100k</t>
        </is>
      </c>
      <c r="G1557" s="22" t="n">
        <v>100000</v>
      </c>
      <c r="H1557" s="22" t="n">
        <v>8000</v>
      </c>
      <c r="I1557" s="22" t="n">
        <v>9490963.15</v>
      </c>
      <c r="J1557" s="19" t="inlineStr">
        <is>
          <t>10 % × 100,000 × split 80%</t>
        </is>
      </c>
    </row>
    <row r="1558">
      <c r="A1558" s="13" t="n">
        <v>1557</v>
      </c>
      <c r="B1558" s="14" t="n">
        <v>46548</v>
      </c>
      <c r="C1558" s="15" t="n">
        <v>9</v>
      </c>
      <c r="D1558" s="25" t="inlineStr">
        <is>
          <t>Payout</t>
        </is>
      </c>
      <c r="E1558" s="13" t="inlineStr">
        <is>
          <t>Fill88</t>
        </is>
      </c>
      <c r="F1558" s="13" t="inlineStr">
        <is>
          <t>#84 Instant-Direct 100k</t>
        </is>
      </c>
      <c r="G1558" s="17" t="n">
        <v>100000</v>
      </c>
      <c r="H1558" s="17" t="n">
        <v>8000</v>
      </c>
      <c r="I1558" s="17" t="n">
        <v>9498963.15</v>
      </c>
      <c r="J1558" s="13" t="inlineStr">
        <is>
          <t>10 % × 100,000 × split 80%</t>
        </is>
      </c>
    </row>
    <row r="1559">
      <c r="A1559" s="19" t="n">
        <v>1558</v>
      </c>
      <c r="B1559" s="20" t="n">
        <v>46548</v>
      </c>
      <c r="C1559" s="21" t="n">
        <v>9</v>
      </c>
      <c r="D1559" s="25" t="inlineStr">
        <is>
          <t>Payout</t>
        </is>
      </c>
      <c r="E1559" s="19" t="inlineStr">
        <is>
          <t>Finotive Funding</t>
        </is>
      </c>
      <c r="F1559" s="19" t="inlineStr">
        <is>
          <t>#85 Instant-Direct 100k</t>
        </is>
      </c>
      <c r="G1559" s="22" t="n">
        <v>100000</v>
      </c>
      <c r="H1559" s="22" t="n">
        <v>7500</v>
      </c>
      <c r="I1559" s="22" t="n">
        <v>9506463.15</v>
      </c>
      <c r="J1559" s="19" t="inlineStr">
        <is>
          <t>10 % × 100,000 × split 75%</t>
        </is>
      </c>
    </row>
    <row r="1560">
      <c r="A1560" s="13" t="n">
        <v>1559</v>
      </c>
      <c r="B1560" s="14" t="n">
        <v>46548</v>
      </c>
      <c r="C1560" s="15" t="n">
        <v>9</v>
      </c>
      <c r="D1560" s="25" t="inlineStr">
        <is>
          <t>Payout</t>
        </is>
      </c>
      <c r="E1560" s="13" t="inlineStr">
        <is>
          <t>Finotive Funding</t>
        </is>
      </c>
      <c r="F1560" s="13" t="inlineStr">
        <is>
          <t>#86 Instant-Direct 100k</t>
        </is>
      </c>
      <c r="G1560" s="17" t="n">
        <v>100000</v>
      </c>
      <c r="H1560" s="17" t="n">
        <v>7500</v>
      </c>
      <c r="I1560" s="17" t="n">
        <v>9513963.15</v>
      </c>
      <c r="J1560" s="13" t="inlineStr">
        <is>
          <t>10 % × 100,000 × split 75%</t>
        </is>
      </c>
    </row>
    <row r="1561">
      <c r="A1561" s="19" t="n">
        <v>1560</v>
      </c>
      <c r="B1561" s="20" t="n">
        <v>46548</v>
      </c>
      <c r="C1561" s="21" t="n">
        <v>9</v>
      </c>
      <c r="D1561" s="25" t="inlineStr">
        <is>
          <t>Payout</t>
        </is>
      </c>
      <c r="E1561" s="19" t="inlineStr">
        <is>
          <t>Finotive Funding</t>
        </is>
      </c>
      <c r="F1561" s="19" t="inlineStr">
        <is>
          <t>#87 Instant-Direct 100k</t>
        </is>
      </c>
      <c r="G1561" s="22" t="n">
        <v>100000</v>
      </c>
      <c r="H1561" s="22" t="n">
        <v>7500</v>
      </c>
      <c r="I1561" s="22" t="n">
        <v>9521463.15</v>
      </c>
      <c r="J1561" s="19" t="inlineStr">
        <is>
          <t>10 % × 100,000 × split 75%</t>
        </is>
      </c>
    </row>
    <row r="1562">
      <c r="A1562" s="13" t="n">
        <v>1561</v>
      </c>
      <c r="B1562" s="14" t="n">
        <v>46548</v>
      </c>
      <c r="C1562" s="15" t="n">
        <v>9</v>
      </c>
      <c r="D1562" s="25" t="inlineStr">
        <is>
          <t>Payout</t>
        </is>
      </c>
      <c r="E1562" s="13" t="inlineStr">
        <is>
          <t>Finotive Funding</t>
        </is>
      </c>
      <c r="F1562" s="13" t="inlineStr">
        <is>
          <t>#88 Instant-Direct 100k</t>
        </is>
      </c>
      <c r="G1562" s="17" t="n">
        <v>100000</v>
      </c>
      <c r="H1562" s="17" t="n">
        <v>7500</v>
      </c>
      <c r="I1562" s="17" t="n">
        <v>9528963.15</v>
      </c>
      <c r="J1562" s="13" t="inlineStr">
        <is>
          <t>10 % × 100,000 × split 75%</t>
        </is>
      </c>
    </row>
    <row r="1563">
      <c r="A1563" s="19" t="n">
        <v>1562</v>
      </c>
      <c r="B1563" s="20" t="n">
        <v>46548</v>
      </c>
      <c r="C1563" s="21" t="n">
        <v>9</v>
      </c>
      <c r="D1563" s="25" t="inlineStr">
        <is>
          <t>Payout</t>
        </is>
      </c>
      <c r="E1563" s="19" t="inlineStr">
        <is>
          <t>Finotive Funding</t>
        </is>
      </c>
      <c r="F1563" s="19" t="inlineStr">
        <is>
          <t>#89 Instant-Direct 100k</t>
        </is>
      </c>
      <c r="G1563" s="22" t="n">
        <v>100000</v>
      </c>
      <c r="H1563" s="22" t="n">
        <v>7500</v>
      </c>
      <c r="I1563" s="22" t="n">
        <v>9536463.15</v>
      </c>
      <c r="J1563" s="19" t="inlineStr">
        <is>
          <t>10 % × 100,000 × split 75%</t>
        </is>
      </c>
    </row>
    <row r="1564">
      <c r="A1564" s="13" t="n">
        <v>1563</v>
      </c>
      <c r="B1564" s="14" t="n">
        <v>46548</v>
      </c>
      <c r="C1564" s="15" t="n">
        <v>9</v>
      </c>
      <c r="D1564" s="25" t="inlineStr">
        <is>
          <t>Payout</t>
        </is>
      </c>
      <c r="E1564" s="13" t="inlineStr">
        <is>
          <t>Finotive Funding</t>
        </is>
      </c>
      <c r="F1564" s="13" t="inlineStr">
        <is>
          <t>#90 Instant-Direct 100k</t>
        </is>
      </c>
      <c r="G1564" s="17" t="n">
        <v>100000</v>
      </c>
      <c r="H1564" s="17" t="n">
        <v>7500</v>
      </c>
      <c r="I1564" s="17" t="n">
        <v>9543963.15</v>
      </c>
      <c r="J1564" s="13" t="inlineStr">
        <is>
          <t>10 % × 100,000 × split 75%</t>
        </is>
      </c>
    </row>
    <row r="1565">
      <c r="A1565" s="19" t="n">
        <v>1564</v>
      </c>
      <c r="B1565" s="20" t="n">
        <v>46548</v>
      </c>
      <c r="C1565" s="21" t="n">
        <v>9</v>
      </c>
      <c r="D1565" s="25" t="inlineStr">
        <is>
          <t>Payout</t>
        </is>
      </c>
      <c r="E1565" s="19" t="inlineStr">
        <is>
          <t>FNC Funding</t>
        </is>
      </c>
      <c r="F1565" s="19" t="inlineStr">
        <is>
          <t>#91 Instant-Direct 100k</t>
        </is>
      </c>
      <c r="G1565" s="22" t="n">
        <v>100000</v>
      </c>
      <c r="H1565" s="22" t="n">
        <v>7500</v>
      </c>
      <c r="I1565" s="22" t="n">
        <v>9551463.15</v>
      </c>
      <c r="J1565" s="19" t="inlineStr">
        <is>
          <t>10 % × 100,000 × split 75%</t>
        </is>
      </c>
    </row>
    <row r="1566">
      <c r="A1566" s="13" t="n">
        <v>1565</v>
      </c>
      <c r="B1566" s="14" t="n">
        <v>46548</v>
      </c>
      <c r="C1566" s="15" t="n">
        <v>9</v>
      </c>
      <c r="D1566" s="25" t="inlineStr">
        <is>
          <t>Payout</t>
        </is>
      </c>
      <c r="E1566" s="13" t="inlineStr">
        <is>
          <t>FNC Funding</t>
        </is>
      </c>
      <c r="F1566" s="13" t="inlineStr">
        <is>
          <t>#92 Instant-Direct 100k</t>
        </is>
      </c>
      <c r="G1566" s="17" t="n">
        <v>100000</v>
      </c>
      <c r="H1566" s="17" t="n">
        <v>7500</v>
      </c>
      <c r="I1566" s="17" t="n">
        <v>9558963.15</v>
      </c>
      <c r="J1566" s="13" t="inlineStr">
        <is>
          <t>10 % × 100,000 × split 75%</t>
        </is>
      </c>
    </row>
    <row r="1567">
      <c r="A1567" s="19" t="n">
        <v>1566</v>
      </c>
      <c r="B1567" s="20" t="n">
        <v>46548</v>
      </c>
      <c r="C1567" s="21" t="n">
        <v>9</v>
      </c>
      <c r="D1567" s="25" t="inlineStr">
        <is>
          <t>Payout</t>
        </is>
      </c>
      <c r="E1567" s="19" t="inlineStr">
        <is>
          <t>FNC Funding</t>
        </is>
      </c>
      <c r="F1567" s="19" t="inlineStr">
        <is>
          <t>#93 Instant-Direct 100k</t>
        </is>
      </c>
      <c r="G1567" s="22" t="n">
        <v>100000</v>
      </c>
      <c r="H1567" s="22" t="n">
        <v>7500</v>
      </c>
      <c r="I1567" s="22" t="n">
        <v>9566463.15</v>
      </c>
      <c r="J1567" s="19" t="inlineStr">
        <is>
          <t>10 % × 100,000 × split 75%</t>
        </is>
      </c>
    </row>
    <row r="1568">
      <c r="A1568" s="13" t="n">
        <v>1567</v>
      </c>
      <c r="B1568" s="14" t="n">
        <v>46548</v>
      </c>
      <c r="C1568" s="15" t="n">
        <v>9</v>
      </c>
      <c r="D1568" s="25" t="inlineStr">
        <is>
          <t>Payout</t>
        </is>
      </c>
      <c r="E1568" s="13" t="inlineStr">
        <is>
          <t>FNC Funding</t>
        </is>
      </c>
      <c r="F1568" s="13" t="inlineStr">
        <is>
          <t>#94 Instant-Direct 100k</t>
        </is>
      </c>
      <c r="G1568" s="17" t="n">
        <v>100000</v>
      </c>
      <c r="H1568" s="17" t="n">
        <v>7500</v>
      </c>
      <c r="I1568" s="17" t="n">
        <v>9573963.15</v>
      </c>
      <c r="J1568" s="13" t="inlineStr">
        <is>
          <t>10 % × 100,000 × split 75%</t>
        </is>
      </c>
    </row>
    <row r="1569">
      <c r="A1569" s="19" t="n">
        <v>1568</v>
      </c>
      <c r="B1569" s="20" t="n">
        <v>46548</v>
      </c>
      <c r="C1569" s="21" t="n">
        <v>9</v>
      </c>
      <c r="D1569" s="25" t="inlineStr">
        <is>
          <t>Payout</t>
        </is>
      </c>
      <c r="E1569" s="19" t="inlineStr">
        <is>
          <t>FNC Funding</t>
        </is>
      </c>
      <c r="F1569" s="19" t="inlineStr">
        <is>
          <t>#95 Instant-Direct 100k</t>
        </is>
      </c>
      <c r="G1569" s="22" t="n">
        <v>100000</v>
      </c>
      <c r="H1569" s="22" t="n">
        <v>7500</v>
      </c>
      <c r="I1569" s="22" t="n">
        <v>9581463.15</v>
      </c>
      <c r="J1569" s="19" t="inlineStr">
        <is>
          <t>10 % × 100,000 × split 75%</t>
        </is>
      </c>
    </row>
    <row r="1570">
      <c r="A1570" s="13" t="n">
        <v>1569</v>
      </c>
      <c r="B1570" s="14" t="n">
        <v>46548</v>
      </c>
      <c r="C1570" s="15" t="n">
        <v>9</v>
      </c>
      <c r="D1570" s="25" t="inlineStr">
        <is>
          <t>Payout</t>
        </is>
      </c>
      <c r="E1570" s="13" t="inlineStr">
        <is>
          <t>Funding Traders</t>
        </is>
      </c>
      <c r="F1570" s="13" t="inlineStr">
        <is>
          <t>#96 Instant-Direct 400k</t>
        </is>
      </c>
      <c r="G1570" s="17" t="n">
        <v>400000</v>
      </c>
      <c r="H1570" s="17" t="n">
        <v>40000</v>
      </c>
      <c r="I1570" s="17" t="n">
        <v>9621463.15</v>
      </c>
      <c r="J1570" s="13" t="inlineStr">
        <is>
          <t>10 % × 400,000 × split 100%</t>
        </is>
      </c>
    </row>
    <row r="1571">
      <c r="A1571" s="19" t="n">
        <v>1570</v>
      </c>
      <c r="B1571" s="20" t="n">
        <v>46548</v>
      </c>
      <c r="C1571" s="21" t="n">
        <v>9</v>
      </c>
      <c r="D1571" s="25" t="inlineStr">
        <is>
          <t>Payout</t>
        </is>
      </c>
      <c r="E1571" s="19" t="inlineStr">
        <is>
          <t>Ifunds</t>
        </is>
      </c>
      <c r="F1571" s="19" t="inlineStr">
        <is>
          <t>#97 Instant-Direct 500k</t>
        </is>
      </c>
      <c r="G1571" s="22" t="n">
        <v>500000</v>
      </c>
      <c r="H1571" s="22" t="n">
        <v>40000</v>
      </c>
      <c r="I1571" s="22" t="n">
        <v>9661463.15</v>
      </c>
      <c r="J1571" s="19" t="inlineStr">
        <is>
          <t>10 % × 500,000 × split 80%</t>
        </is>
      </c>
    </row>
    <row r="1572">
      <c r="A1572" s="13" t="n">
        <v>1571</v>
      </c>
      <c r="B1572" s="14" t="n">
        <v>46548</v>
      </c>
      <c r="C1572" s="15" t="n">
        <v>9</v>
      </c>
      <c r="D1572" s="25" t="inlineStr">
        <is>
          <t>Payout</t>
        </is>
      </c>
      <c r="E1572" s="13" t="inlineStr">
        <is>
          <t>Alpine Funded</t>
        </is>
      </c>
      <c r="F1572" s="13" t="inlineStr">
        <is>
          <t>#98 Instant-Direct 200k</t>
        </is>
      </c>
      <c r="G1572" s="17" t="n">
        <v>200000</v>
      </c>
      <c r="H1572" s="17" t="n">
        <v>20000</v>
      </c>
      <c r="I1572" s="17" t="n">
        <v>9681463.15</v>
      </c>
      <c r="J1572" s="13" t="inlineStr">
        <is>
          <t>10 % × 200,000 × split 100%</t>
        </is>
      </c>
    </row>
    <row r="1573">
      <c r="A1573" s="19" t="n">
        <v>1572</v>
      </c>
      <c r="B1573" s="20" t="n">
        <v>46548</v>
      </c>
      <c r="C1573" s="21" t="n">
        <v>9</v>
      </c>
      <c r="D1573" s="25" t="inlineStr">
        <is>
          <t>Payout</t>
        </is>
      </c>
      <c r="E1573" s="19" t="inlineStr">
        <is>
          <t>Alpine Funded</t>
        </is>
      </c>
      <c r="F1573" s="19" t="inlineStr">
        <is>
          <t>#99 Instant-Direct 200k</t>
        </is>
      </c>
      <c r="G1573" s="22" t="n">
        <v>200000</v>
      </c>
      <c r="H1573" s="22" t="n">
        <v>20000</v>
      </c>
      <c r="I1573" s="22" t="n">
        <v>9701463.15</v>
      </c>
      <c r="J1573" s="19" t="inlineStr">
        <is>
          <t>10 % × 200,000 × split 100%</t>
        </is>
      </c>
    </row>
    <row r="1574">
      <c r="A1574" s="13" t="n">
        <v>1573</v>
      </c>
      <c r="B1574" s="14" t="n">
        <v>46548</v>
      </c>
      <c r="C1574" s="15" t="n">
        <v>9</v>
      </c>
      <c r="D1574" s="25" t="inlineStr">
        <is>
          <t>Payout</t>
        </is>
      </c>
      <c r="E1574" s="13" t="inlineStr">
        <is>
          <t>AquaFunded</t>
        </is>
      </c>
      <c r="F1574" s="13" t="inlineStr">
        <is>
          <t>#100 Instant-Direct 400k</t>
        </is>
      </c>
      <c r="G1574" s="17" t="n">
        <v>400000</v>
      </c>
      <c r="H1574" s="17" t="n">
        <v>36000</v>
      </c>
      <c r="I1574" s="17" t="n">
        <v>9737463.15</v>
      </c>
      <c r="J1574" s="13" t="inlineStr">
        <is>
          <t>10 % × 400,000 × split 90%</t>
        </is>
      </c>
    </row>
    <row r="1575">
      <c r="A1575" s="19" t="n">
        <v>1574</v>
      </c>
      <c r="B1575" s="20" t="n">
        <v>46548</v>
      </c>
      <c r="C1575" s="21" t="n">
        <v>9</v>
      </c>
      <c r="D1575" s="25" t="inlineStr">
        <is>
          <t>Payout</t>
        </is>
      </c>
      <c r="E1575" s="19" t="inlineStr">
        <is>
          <t>Atlas Funded</t>
        </is>
      </c>
      <c r="F1575" s="19" t="inlineStr">
        <is>
          <t>#101 Instant-Direct 300k</t>
        </is>
      </c>
      <c r="G1575" s="22" t="n">
        <v>300000</v>
      </c>
      <c r="H1575" s="22" t="n">
        <v>30000</v>
      </c>
      <c r="I1575" s="22" t="n">
        <v>9767463.15</v>
      </c>
      <c r="J1575" s="19" t="inlineStr">
        <is>
          <t>10 % × 300,000 × split 100%</t>
        </is>
      </c>
    </row>
    <row r="1576">
      <c r="A1576" s="13" t="n">
        <v>1575</v>
      </c>
      <c r="B1576" s="14" t="n">
        <v>46548</v>
      </c>
      <c r="C1576" s="15" t="n">
        <v>9</v>
      </c>
      <c r="D1576" s="25" t="inlineStr">
        <is>
          <t>Payout</t>
        </is>
      </c>
      <c r="E1576" s="13" t="inlineStr">
        <is>
          <t>Atmos Funded</t>
        </is>
      </c>
      <c r="F1576" s="13" t="inlineStr">
        <is>
          <t>#102 Instant-Direct 100k</t>
        </is>
      </c>
      <c r="G1576" s="17" t="n">
        <v>100000</v>
      </c>
      <c r="H1576" s="17" t="n">
        <v>9000</v>
      </c>
      <c r="I1576" s="17" t="n">
        <v>9776463.15</v>
      </c>
      <c r="J1576" s="13" t="inlineStr">
        <is>
          <t>10 % × 100,000 × split 90%</t>
        </is>
      </c>
    </row>
    <row r="1577">
      <c r="A1577" s="19" t="n">
        <v>1576</v>
      </c>
      <c r="B1577" s="20" t="n">
        <v>46548</v>
      </c>
      <c r="C1577" s="21" t="n">
        <v>9</v>
      </c>
      <c r="D1577" s="25" t="inlineStr">
        <is>
          <t>Payout</t>
        </is>
      </c>
      <c r="E1577" s="19" t="inlineStr">
        <is>
          <t>Atmos Funded</t>
        </is>
      </c>
      <c r="F1577" s="19" t="inlineStr">
        <is>
          <t>#103 Instant-Direct 100k</t>
        </is>
      </c>
      <c r="G1577" s="22" t="n">
        <v>100000</v>
      </c>
      <c r="H1577" s="22" t="n">
        <v>9000</v>
      </c>
      <c r="I1577" s="22" t="n">
        <v>9785463.15</v>
      </c>
      <c r="J1577" s="19" t="inlineStr">
        <is>
          <t>10 % × 100,000 × split 90%</t>
        </is>
      </c>
    </row>
    <row r="1578">
      <c r="A1578" s="13" t="n">
        <v>1577</v>
      </c>
      <c r="B1578" s="14" t="n">
        <v>46548</v>
      </c>
      <c r="C1578" s="15" t="n">
        <v>9</v>
      </c>
      <c r="D1578" s="25" t="inlineStr">
        <is>
          <t>Payout</t>
        </is>
      </c>
      <c r="E1578" s="13" t="inlineStr">
        <is>
          <t>Atmos Funded</t>
        </is>
      </c>
      <c r="F1578" s="13" t="inlineStr">
        <is>
          <t>#104 Instant-Direct 100k</t>
        </is>
      </c>
      <c r="G1578" s="17" t="n">
        <v>100000</v>
      </c>
      <c r="H1578" s="17" t="n">
        <v>9000</v>
      </c>
      <c r="I1578" s="17" t="n">
        <v>9794463.15</v>
      </c>
      <c r="J1578" s="13" t="inlineStr">
        <is>
          <t>10 % × 100,000 × split 90%</t>
        </is>
      </c>
    </row>
    <row r="1579">
      <c r="A1579" s="19" t="n">
        <v>1578</v>
      </c>
      <c r="B1579" s="20" t="n">
        <v>46548</v>
      </c>
      <c r="C1579" s="21" t="n">
        <v>9</v>
      </c>
      <c r="D1579" s="25" t="inlineStr">
        <is>
          <t>Payout</t>
        </is>
      </c>
      <c r="E1579" s="19" t="inlineStr">
        <is>
          <t>Atmos Funded</t>
        </is>
      </c>
      <c r="F1579" s="19" t="inlineStr">
        <is>
          <t>#105 Instant-Direct 100k</t>
        </is>
      </c>
      <c r="G1579" s="22" t="n">
        <v>100000</v>
      </c>
      <c r="H1579" s="22" t="n">
        <v>9000</v>
      </c>
      <c r="I1579" s="22" t="n">
        <v>9803463.15</v>
      </c>
      <c r="J1579" s="19" t="inlineStr">
        <is>
          <t>10 % × 100,000 × split 90%</t>
        </is>
      </c>
    </row>
    <row r="1580">
      <c r="A1580" s="13" t="n">
        <v>1579</v>
      </c>
      <c r="B1580" s="14" t="n">
        <v>46548</v>
      </c>
      <c r="C1580" s="15" t="n">
        <v>9</v>
      </c>
      <c r="D1580" s="25" t="inlineStr">
        <is>
          <t>Payout</t>
        </is>
      </c>
      <c r="E1580" s="13" t="inlineStr">
        <is>
          <t>Blue Guardian</t>
        </is>
      </c>
      <c r="F1580" s="13" t="inlineStr">
        <is>
          <t>#106 Instant-Direct 400k</t>
        </is>
      </c>
      <c r="G1580" s="17" t="n">
        <v>400000</v>
      </c>
      <c r="H1580" s="17" t="n">
        <v>32000</v>
      </c>
      <c r="I1580" s="17" t="n">
        <v>9835463.15</v>
      </c>
      <c r="J1580" s="13" t="inlineStr">
        <is>
          <t>10 % × 400,000 × split 80%</t>
        </is>
      </c>
    </row>
    <row r="1581">
      <c r="A1581" s="19" t="n">
        <v>1580</v>
      </c>
      <c r="B1581" s="20" t="n">
        <v>46548</v>
      </c>
      <c r="C1581" s="21" t="n">
        <v>9</v>
      </c>
      <c r="D1581" s="25" t="inlineStr">
        <is>
          <t>Payout</t>
        </is>
      </c>
      <c r="E1581" s="19" t="inlineStr">
        <is>
          <t>FundedElite</t>
        </is>
      </c>
      <c r="F1581" s="19" t="inlineStr">
        <is>
          <t>#107 Instant-Direct 100k</t>
        </is>
      </c>
      <c r="G1581" s="22" t="n">
        <v>100000</v>
      </c>
      <c r="H1581" s="22" t="n">
        <v>9500</v>
      </c>
      <c r="I1581" s="22" t="n">
        <v>9844963.15</v>
      </c>
      <c r="J1581" s="19" t="inlineStr">
        <is>
          <t>10 % × 100,000 × split 95%</t>
        </is>
      </c>
    </row>
    <row r="1582">
      <c r="A1582" s="13" t="n">
        <v>1581</v>
      </c>
      <c r="B1582" s="14" t="n">
        <v>46548</v>
      </c>
      <c r="C1582" s="15" t="n">
        <v>9</v>
      </c>
      <c r="D1582" s="25" t="inlineStr">
        <is>
          <t>Payout</t>
        </is>
      </c>
      <c r="E1582" s="13" t="inlineStr">
        <is>
          <t>FundedElite</t>
        </is>
      </c>
      <c r="F1582" s="13" t="inlineStr">
        <is>
          <t>#108 Instant-Direct 100k</t>
        </is>
      </c>
      <c r="G1582" s="17" t="n">
        <v>100000</v>
      </c>
      <c r="H1582" s="17" t="n">
        <v>9500</v>
      </c>
      <c r="I1582" s="17" t="n">
        <v>9854463.15</v>
      </c>
      <c r="J1582" s="13" t="inlineStr">
        <is>
          <t>10 % × 100,000 × split 95%</t>
        </is>
      </c>
    </row>
    <row r="1583">
      <c r="A1583" s="19" t="n">
        <v>1582</v>
      </c>
      <c r="B1583" s="20" t="n">
        <v>46548</v>
      </c>
      <c r="C1583" s="21" t="n">
        <v>9</v>
      </c>
      <c r="D1583" s="25" t="inlineStr">
        <is>
          <t>Payout</t>
        </is>
      </c>
      <c r="E1583" s="19" t="inlineStr">
        <is>
          <t>FundedElite</t>
        </is>
      </c>
      <c r="F1583" s="19" t="inlineStr">
        <is>
          <t>#109 Instant-Direct 100k</t>
        </is>
      </c>
      <c r="G1583" s="22" t="n">
        <v>100000</v>
      </c>
      <c r="H1583" s="22" t="n">
        <v>9500</v>
      </c>
      <c r="I1583" s="22" t="n">
        <v>9863963.15</v>
      </c>
      <c r="J1583" s="19" t="inlineStr">
        <is>
          <t>10 % × 100,000 × split 95%</t>
        </is>
      </c>
    </row>
    <row r="1584">
      <c r="A1584" s="13" t="n">
        <v>1583</v>
      </c>
      <c r="B1584" s="14" t="n">
        <v>46548</v>
      </c>
      <c r="C1584" s="15" t="n">
        <v>9</v>
      </c>
      <c r="D1584" s="25" t="inlineStr">
        <is>
          <t>Payout</t>
        </is>
      </c>
      <c r="E1584" s="13" t="inlineStr">
        <is>
          <t>FundedElite</t>
        </is>
      </c>
      <c r="F1584" s="13" t="inlineStr">
        <is>
          <t>#110 Instant-Direct 100k</t>
        </is>
      </c>
      <c r="G1584" s="17" t="n">
        <v>100000</v>
      </c>
      <c r="H1584" s="17" t="n">
        <v>9500</v>
      </c>
      <c r="I1584" s="17" t="n">
        <v>9873463.15</v>
      </c>
      <c r="J1584" s="13" t="inlineStr">
        <is>
          <t>10 % × 100,000 × split 95%</t>
        </is>
      </c>
    </row>
    <row r="1585">
      <c r="A1585" s="19" t="n">
        <v>1584</v>
      </c>
      <c r="B1585" s="20" t="n">
        <v>46548</v>
      </c>
      <c r="C1585" s="21" t="n">
        <v>9</v>
      </c>
      <c r="D1585" s="25" t="inlineStr">
        <is>
          <t>Payout</t>
        </is>
      </c>
      <c r="E1585" s="19" t="inlineStr">
        <is>
          <t>Funding Pips</t>
        </is>
      </c>
      <c r="F1585" s="19" t="inlineStr">
        <is>
          <t>#111 Instant-Direct 200k</t>
        </is>
      </c>
      <c r="G1585" s="22" t="n">
        <v>200000</v>
      </c>
      <c r="H1585" s="22" t="n">
        <v>20000</v>
      </c>
      <c r="I1585" s="22" t="n">
        <v>9893463.15</v>
      </c>
      <c r="J1585" s="19" t="inlineStr">
        <is>
          <t>10 % × 200,000 × split 100%</t>
        </is>
      </c>
    </row>
    <row r="1586">
      <c r="A1586" s="13" t="n">
        <v>1585</v>
      </c>
      <c r="B1586" s="14" t="n">
        <v>46548</v>
      </c>
      <c r="C1586" s="15" t="n">
        <v>9</v>
      </c>
      <c r="D1586" s="25" t="inlineStr">
        <is>
          <t>Payout</t>
        </is>
      </c>
      <c r="E1586" s="13" t="inlineStr">
        <is>
          <t>Funding Pips</t>
        </is>
      </c>
      <c r="F1586" s="13" t="inlineStr">
        <is>
          <t>#112 Instant-Direct 200k</t>
        </is>
      </c>
      <c r="G1586" s="17" t="n">
        <v>200000</v>
      </c>
      <c r="H1586" s="17" t="n">
        <v>20000</v>
      </c>
      <c r="I1586" s="17" t="n">
        <v>9913463.15</v>
      </c>
      <c r="J1586" s="13" t="inlineStr">
        <is>
          <t>10 % × 200,000 × split 100%</t>
        </is>
      </c>
    </row>
    <row r="1587">
      <c r="A1587" s="19" t="n">
        <v>1586</v>
      </c>
      <c r="B1587" s="20" t="n">
        <v>46548</v>
      </c>
      <c r="C1587" s="21" t="n">
        <v>9</v>
      </c>
      <c r="D1587" s="25" t="inlineStr">
        <is>
          <t>Payout</t>
        </is>
      </c>
      <c r="E1587" s="19" t="inlineStr">
        <is>
          <t>Global Forex Funds</t>
        </is>
      </c>
      <c r="F1587" s="19" t="inlineStr">
        <is>
          <t>#113 Instant-Direct 100k</t>
        </is>
      </c>
      <c r="G1587" s="22" t="n">
        <v>100000</v>
      </c>
      <c r="H1587" s="22" t="n">
        <v>9000</v>
      </c>
      <c r="I1587" s="22" t="n">
        <v>9922463.15</v>
      </c>
      <c r="J1587" s="19" t="inlineStr">
        <is>
          <t>10 % × 100,000 × split 90%</t>
        </is>
      </c>
    </row>
    <row r="1588">
      <c r="A1588" s="13" t="n">
        <v>1587</v>
      </c>
      <c r="B1588" s="14" t="n">
        <v>46548</v>
      </c>
      <c r="C1588" s="15" t="n">
        <v>9</v>
      </c>
      <c r="D1588" s="25" t="inlineStr">
        <is>
          <t>Payout</t>
        </is>
      </c>
      <c r="E1588" s="13" t="inlineStr">
        <is>
          <t>Goat Funded Trader</t>
        </is>
      </c>
      <c r="F1588" s="13" t="inlineStr">
        <is>
          <t>#114 Instant-Direct 100k</t>
        </is>
      </c>
      <c r="G1588" s="17" t="n">
        <v>100000</v>
      </c>
      <c r="H1588" s="17" t="n">
        <v>10000</v>
      </c>
      <c r="I1588" s="17" t="n">
        <v>9932463.15</v>
      </c>
      <c r="J1588" s="13" t="inlineStr">
        <is>
          <t>10 % × 100,000 × split 100%</t>
        </is>
      </c>
    </row>
    <row r="1589">
      <c r="A1589" s="19" t="n">
        <v>1588</v>
      </c>
      <c r="B1589" s="20" t="n">
        <v>46548</v>
      </c>
      <c r="C1589" s="21" t="n">
        <v>9</v>
      </c>
      <c r="D1589" s="25" t="inlineStr">
        <is>
          <t>Payout</t>
        </is>
      </c>
      <c r="E1589" s="19" t="inlineStr">
        <is>
          <t>Goat Funded Trader</t>
        </is>
      </c>
      <c r="F1589" s="19" t="inlineStr">
        <is>
          <t>#115 Instant-Direct 100k</t>
        </is>
      </c>
      <c r="G1589" s="22" t="n">
        <v>100000</v>
      </c>
      <c r="H1589" s="22" t="n">
        <v>10000</v>
      </c>
      <c r="I1589" s="22" t="n">
        <v>9942463.15</v>
      </c>
      <c r="J1589" s="19" t="inlineStr">
        <is>
          <t>10 % × 100,000 × split 100%</t>
        </is>
      </c>
    </row>
    <row r="1590">
      <c r="A1590" s="13" t="n">
        <v>1589</v>
      </c>
      <c r="B1590" s="14" t="n">
        <v>46548</v>
      </c>
      <c r="C1590" s="15" t="n">
        <v>9</v>
      </c>
      <c r="D1590" s="25" t="inlineStr">
        <is>
          <t>Payout</t>
        </is>
      </c>
      <c r="E1590" s="13" t="inlineStr">
        <is>
          <t>Goat Funded Trader</t>
        </is>
      </c>
      <c r="F1590" s="13" t="inlineStr">
        <is>
          <t>#116 Instant-Direct 100k</t>
        </is>
      </c>
      <c r="G1590" s="17" t="n">
        <v>100000</v>
      </c>
      <c r="H1590" s="17" t="n">
        <v>10000</v>
      </c>
      <c r="I1590" s="17" t="n">
        <v>9952463.15</v>
      </c>
      <c r="J1590" s="13" t="inlineStr">
        <is>
          <t>10 % × 100,000 × split 100%</t>
        </is>
      </c>
    </row>
    <row r="1591">
      <c r="A1591" s="19" t="n">
        <v>1590</v>
      </c>
      <c r="B1591" s="20" t="n">
        <v>46548</v>
      </c>
      <c r="C1591" s="21" t="n">
        <v>9</v>
      </c>
      <c r="D1591" s="25" t="inlineStr">
        <is>
          <t>Payout</t>
        </is>
      </c>
      <c r="E1591" s="19" t="inlineStr">
        <is>
          <t>Goat Funded Trader</t>
        </is>
      </c>
      <c r="F1591" s="19" t="inlineStr">
        <is>
          <t>#117 Instant-Direct 100k</t>
        </is>
      </c>
      <c r="G1591" s="22" t="n">
        <v>100000</v>
      </c>
      <c r="H1591" s="22" t="n">
        <v>10000</v>
      </c>
      <c r="I1591" s="22" t="n">
        <v>9962463.15</v>
      </c>
      <c r="J1591" s="19" t="inlineStr">
        <is>
          <t>10 % × 100,000 × split 100%</t>
        </is>
      </c>
    </row>
    <row r="1592">
      <c r="A1592" s="13" t="n">
        <v>1591</v>
      </c>
      <c r="B1592" s="14" t="n">
        <v>46548</v>
      </c>
      <c r="C1592" s="15" t="n">
        <v>9</v>
      </c>
      <c r="D1592" s="25" t="inlineStr">
        <is>
          <t>Payout</t>
        </is>
      </c>
      <c r="E1592" s="13" t="inlineStr">
        <is>
          <t>FundedVerse</t>
        </is>
      </c>
      <c r="F1592" s="13" t="inlineStr">
        <is>
          <t>#118 Instant-Direct 50k</t>
        </is>
      </c>
      <c r="G1592" s="17" t="n">
        <v>50000</v>
      </c>
      <c r="H1592" s="17" t="n">
        <v>4000</v>
      </c>
      <c r="I1592" s="17" t="n">
        <v>9966463.15</v>
      </c>
      <c r="J1592" s="13" t="inlineStr">
        <is>
          <t>10 % × 50,000 × split 80%</t>
        </is>
      </c>
    </row>
    <row r="1593">
      <c r="A1593" s="19" t="n">
        <v>1592</v>
      </c>
      <c r="B1593" s="20" t="n">
        <v>46548</v>
      </c>
      <c r="C1593" s="21" t="n">
        <v>9</v>
      </c>
      <c r="D1593" s="25" t="inlineStr">
        <is>
          <t>Payout</t>
        </is>
      </c>
      <c r="E1593" s="19" t="inlineStr">
        <is>
          <t>FundedVerse</t>
        </is>
      </c>
      <c r="F1593" s="19" t="inlineStr">
        <is>
          <t>#119 Instant-Direct 50k</t>
        </is>
      </c>
      <c r="G1593" s="22" t="n">
        <v>50000</v>
      </c>
      <c r="H1593" s="22" t="n">
        <v>4000</v>
      </c>
      <c r="I1593" s="22" t="n">
        <v>9970463.15</v>
      </c>
      <c r="J1593" s="19" t="inlineStr">
        <is>
          <t>10 % × 50,000 × split 80%</t>
        </is>
      </c>
    </row>
    <row r="1594">
      <c r="A1594" s="13" t="n">
        <v>1593</v>
      </c>
      <c r="B1594" s="14" t="n">
        <v>46548</v>
      </c>
      <c r="C1594" s="15" t="n">
        <v>9</v>
      </c>
      <c r="D1594" s="25" t="inlineStr">
        <is>
          <t>Payout</t>
        </is>
      </c>
      <c r="E1594" s="13" t="inlineStr">
        <is>
          <t>FundedVerse</t>
        </is>
      </c>
      <c r="F1594" s="13" t="inlineStr">
        <is>
          <t>#120 Instant-Direct 50k</t>
        </is>
      </c>
      <c r="G1594" s="17" t="n">
        <v>50000</v>
      </c>
      <c r="H1594" s="17" t="n">
        <v>4000</v>
      </c>
      <c r="I1594" s="17" t="n">
        <v>9974463.15</v>
      </c>
      <c r="J1594" s="13" t="inlineStr">
        <is>
          <t>10 % × 50,000 × split 80%</t>
        </is>
      </c>
    </row>
    <row r="1595">
      <c r="A1595" s="19" t="n">
        <v>1594</v>
      </c>
      <c r="B1595" s="20" t="n">
        <v>46548</v>
      </c>
      <c r="C1595" s="21" t="n">
        <v>9</v>
      </c>
      <c r="D1595" s="25" t="inlineStr">
        <is>
          <t>Payout</t>
        </is>
      </c>
      <c r="E1595" s="19" t="inlineStr">
        <is>
          <t>FundedVerse</t>
        </is>
      </c>
      <c r="F1595" s="19" t="inlineStr">
        <is>
          <t>#121 Instant-Direct 50k</t>
        </is>
      </c>
      <c r="G1595" s="22" t="n">
        <v>50000</v>
      </c>
      <c r="H1595" s="22" t="n">
        <v>4000</v>
      </c>
      <c r="I1595" s="22" t="n">
        <v>9978463.15</v>
      </c>
      <c r="J1595" s="19" t="inlineStr">
        <is>
          <t>10 % × 50,000 × split 80%</t>
        </is>
      </c>
    </row>
    <row r="1596">
      <c r="A1596" s="13" t="n">
        <v>1595</v>
      </c>
      <c r="B1596" s="14" t="n">
        <v>46548</v>
      </c>
      <c r="C1596" s="15" t="n">
        <v>9</v>
      </c>
      <c r="D1596" s="25" t="inlineStr">
        <is>
          <t>Payout</t>
        </is>
      </c>
      <c r="E1596" s="13" t="inlineStr">
        <is>
          <t>FundedVerse</t>
        </is>
      </c>
      <c r="F1596" s="13" t="inlineStr">
        <is>
          <t>#122 Instant-Direct 50k</t>
        </is>
      </c>
      <c r="G1596" s="17" t="n">
        <v>50000</v>
      </c>
      <c r="H1596" s="17" t="n">
        <v>4000</v>
      </c>
      <c r="I1596" s="17" t="n">
        <v>9982463.15</v>
      </c>
      <c r="J1596" s="13" t="inlineStr">
        <is>
          <t>10 % × 50,000 × split 80%</t>
        </is>
      </c>
    </row>
    <row r="1597">
      <c r="A1597" s="19" t="n">
        <v>1596</v>
      </c>
      <c r="B1597" s="20" t="n">
        <v>46548</v>
      </c>
      <c r="C1597" s="21" t="n">
        <v>9</v>
      </c>
      <c r="D1597" s="25" t="inlineStr">
        <is>
          <t>Payout</t>
        </is>
      </c>
      <c r="E1597" s="19" t="inlineStr">
        <is>
          <t>FundedVerse</t>
        </is>
      </c>
      <c r="F1597" s="19" t="inlineStr">
        <is>
          <t>#123 Instant-Direct 50k</t>
        </is>
      </c>
      <c r="G1597" s="22" t="n">
        <v>50000</v>
      </c>
      <c r="H1597" s="22" t="n">
        <v>4000</v>
      </c>
      <c r="I1597" s="22" t="n">
        <v>9986463.15</v>
      </c>
      <c r="J1597" s="19" t="inlineStr">
        <is>
          <t>10 % × 50,000 × split 80%</t>
        </is>
      </c>
    </row>
    <row r="1598">
      <c r="A1598" s="13" t="n">
        <v>1597</v>
      </c>
      <c r="B1598" s="14" t="n">
        <v>46548</v>
      </c>
      <c r="C1598" s="15" t="n">
        <v>9</v>
      </c>
      <c r="D1598" s="25" t="inlineStr">
        <is>
          <t>Payout</t>
        </is>
      </c>
      <c r="E1598" s="13" t="inlineStr">
        <is>
          <t>Lark Funding</t>
        </is>
      </c>
      <c r="F1598" s="13" t="inlineStr">
        <is>
          <t>#124 Instant-Direct 100k</t>
        </is>
      </c>
      <c r="G1598" s="17" t="n">
        <v>100000</v>
      </c>
      <c r="H1598" s="17" t="n">
        <v>8000</v>
      </c>
      <c r="I1598" s="17" t="n">
        <v>9994463.15</v>
      </c>
      <c r="J1598" s="13" t="inlineStr">
        <is>
          <t>10 % × 100,000 × split 80%</t>
        </is>
      </c>
    </row>
    <row r="1599">
      <c r="A1599" s="19" t="n">
        <v>1598</v>
      </c>
      <c r="B1599" s="20" t="n">
        <v>46548</v>
      </c>
      <c r="C1599" s="21" t="n">
        <v>9</v>
      </c>
      <c r="D1599" s="25" t="inlineStr">
        <is>
          <t>Payout</t>
        </is>
      </c>
      <c r="E1599" s="19" t="inlineStr">
        <is>
          <t>Lark Funding</t>
        </is>
      </c>
      <c r="F1599" s="19" t="inlineStr">
        <is>
          <t>#125 Instant-Direct 100k</t>
        </is>
      </c>
      <c r="G1599" s="22" t="n">
        <v>100000</v>
      </c>
      <c r="H1599" s="22" t="n">
        <v>8000</v>
      </c>
      <c r="I1599" s="22" t="n">
        <v>10002463.15</v>
      </c>
      <c r="J1599" s="19" t="inlineStr">
        <is>
          <t>10 % × 100,000 × split 80%</t>
        </is>
      </c>
    </row>
    <row r="1600">
      <c r="A1600" s="13" t="n">
        <v>1599</v>
      </c>
      <c r="B1600" s="14" t="n">
        <v>46548</v>
      </c>
      <c r="C1600" s="15" t="n">
        <v>9</v>
      </c>
      <c r="D1600" s="25" t="inlineStr">
        <is>
          <t>Payout</t>
        </is>
      </c>
      <c r="E1600" s="13" t="inlineStr">
        <is>
          <t>Lark Funding</t>
        </is>
      </c>
      <c r="F1600" s="13" t="inlineStr">
        <is>
          <t>#126 Instant-Direct 100k</t>
        </is>
      </c>
      <c r="G1600" s="17" t="n">
        <v>100000</v>
      </c>
      <c r="H1600" s="17" t="n">
        <v>8000</v>
      </c>
      <c r="I1600" s="17" t="n">
        <v>10010463.15</v>
      </c>
      <c r="J1600" s="13" t="inlineStr">
        <is>
          <t>10 % × 100,000 × split 80%</t>
        </is>
      </c>
    </row>
    <row r="1601">
      <c r="A1601" s="19" t="n">
        <v>1600</v>
      </c>
      <c r="B1601" s="20" t="n">
        <v>46548</v>
      </c>
      <c r="C1601" s="21" t="n">
        <v>9</v>
      </c>
      <c r="D1601" s="25" t="inlineStr">
        <is>
          <t>Payout</t>
        </is>
      </c>
      <c r="E1601" s="19" t="inlineStr">
        <is>
          <t>Mockapital</t>
        </is>
      </c>
      <c r="F1601" s="19" t="inlineStr">
        <is>
          <t>#127 Instant-Direct 50k</t>
        </is>
      </c>
      <c r="G1601" s="22" t="n">
        <v>50000</v>
      </c>
      <c r="H1601" s="22" t="n">
        <v>4000</v>
      </c>
      <c r="I1601" s="22" t="n">
        <v>10014463.15</v>
      </c>
      <c r="J1601" s="19" t="inlineStr">
        <is>
          <t>10 % × 50,000 × split 80%</t>
        </is>
      </c>
    </row>
    <row r="1602">
      <c r="A1602" s="13" t="n">
        <v>1601</v>
      </c>
      <c r="B1602" s="14" t="n">
        <v>46548</v>
      </c>
      <c r="C1602" s="15" t="n">
        <v>9</v>
      </c>
      <c r="D1602" s="25" t="inlineStr">
        <is>
          <t>Payout</t>
        </is>
      </c>
      <c r="E1602" s="13" t="inlineStr">
        <is>
          <t>Mockapital</t>
        </is>
      </c>
      <c r="F1602" s="13" t="inlineStr">
        <is>
          <t>#128 Instant-Direct 50k</t>
        </is>
      </c>
      <c r="G1602" s="17" t="n">
        <v>50000</v>
      </c>
      <c r="H1602" s="17" t="n">
        <v>4000</v>
      </c>
      <c r="I1602" s="17" t="n">
        <v>10018463.15</v>
      </c>
      <c r="J1602" s="13" t="inlineStr">
        <is>
          <t>10 % × 50,000 × split 80%</t>
        </is>
      </c>
    </row>
    <row r="1603">
      <c r="A1603" s="19" t="n">
        <v>1602</v>
      </c>
      <c r="B1603" s="20" t="n">
        <v>46548</v>
      </c>
      <c r="C1603" s="21" t="n">
        <v>9</v>
      </c>
      <c r="D1603" s="25" t="inlineStr">
        <is>
          <t>Payout</t>
        </is>
      </c>
      <c r="E1603" s="19" t="inlineStr">
        <is>
          <t>Mockapital</t>
        </is>
      </c>
      <c r="F1603" s="19" t="inlineStr">
        <is>
          <t>#129 Instant-Direct 50k</t>
        </is>
      </c>
      <c r="G1603" s="22" t="n">
        <v>50000</v>
      </c>
      <c r="H1603" s="22" t="n">
        <v>4000</v>
      </c>
      <c r="I1603" s="22" t="n">
        <v>10022463.15</v>
      </c>
      <c r="J1603" s="19" t="inlineStr">
        <is>
          <t>10 % × 50,000 × split 80%</t>
        </is>
      </c>
    </row>
    <row r="1604">
      <c r="A1604" s="13" t="n">
        <v>1603</v>
      </c>
      <c r="B1604" s="14" t="n">
        <v>46548</v>
      </c>
      <c r="C1604" s="15" t="n">
        <v>9</v>
      </c>
      <c r="D1604" s="25" t="inlineStr">
        <is>
          <t>Payout</t>
        </is>
      </c>
      <c r="E1604" s="13" t="inlineStr">
        <is>
          <t>Mockapital</t>
        </is>
      </c>
      <c r="F1604" s="13" t="inlineStr">
        <is>
          <t>#130 Instant-Direct 50k</t>
        </is>
      </c>
      <c r="G1604" s="17" t="n">
        <v>50000</v>
      </c>
      <c r="H1604" s="17" t="n">
        <v>4000</v>
      </c>
      <c r="I1604" s="17" t="n">
        <v>10026463.15</v>
      </c>
      <c r="J1604" s="13" t="inlineStr">
        <is>
          <t>10 % × 50,000 × split 80%</t>
        </is>
      </c>
    </row>
    <row r="1605">
      <c r="A1605" s="19" t="n">
        <v>1604</v>
      </c>
      <c r="B1605" s="20" t="n">
        <v>46548</v>
      </c>
      <c r="C1605" s="21" t="n">
        <v>9</v>
      </c>
      <c r="D1605" s="25" t="inlineStr">
        <is>
          <t>Payout</t>
        </is>
      </c>
      <c r="E1605" s="19" t="inlineStr">
        <is>
          <t>Mockapital</t>
        </is>
      </c>
      <c r="F1605" s="19" t="inlineStr">
        <is>
          <t>#131 Instant-Direct 50k</t>
        </is>
      </c>
      <c r="G1605" s="22" t="n">
        <v>50000</v>
      </c>
      <c r="H1605" s="22" t="n">
        <v>4000</v>
      </c>
      <c r="I1605" s="22" t="n">
        <v>10030463.15</v>
      </c>
      <c r="J1605" s="19" t="inlineStr">
        <is>
          <t>10 % × 50,000 × split 80%</t>
        </is>
      </c>
    </row>
    <row r="1606">
      <c r="A1606" s="13" t="n">
        <v>1605</v>
      </c>
      <c r="B1606" s="14" t="n">
        <v>46548</v>
      </c>
      <c r="C1606" s="15" t="n">
        <v>9</v>
      </c>
      <c r="D1606" s="25" t="inlineStr">
        <is>
          <t>Payout</t>
        </is>
      </c>
      <c r="E1606" s="13" t="inlineStr">
        <is>
          <t>Mockapital</t>
        </is>
      </c>
      <c r="F1606" s="13" t="inlineStr">
        <is>
          <t>#132 Instant-Direct 50k</t>
        </is>
      </c>
      <c r="G1606" s="17" t="n">
        <v>50000</v>
      </c>
      <c r="H1606" s="17" t="n">
        <v>4000</v>
      </c>
      <c r="I1606" s="17" t="n">
        <v>10034463.15</v>
      </c>
      <c r="J1606" s="13" t="inlineStr">
        <is>
          <t>10 % × 50,000 × split 80%</t>
        </is>
      </c>
    </row>
    <row r="1607">
      <c r="A1607" s="19" t="n">
        <v>1606</v>
      </c>
      <c r="B1607" s="20" t="n">
        <v>46548</v>
      </c>
      <c r="C1607" s="21" t="n">
        <v>9</v>
      </c>
      <c r="D1607" s="25" t="inlineStr">
        <is>
          <t>Payout</t>
        </is>
      </c>
      <c r="E1607" s="19" t="inlineStr">
        <is>
          <t>Myfundedcapital</t>
        </is>
      </c>
      <c r="F1607" s="19" t="inlineStr">
        <is>
          <t>#133 Instant-Direct 80k</t>
        </is>
      </c>
      <c r="G1607" s="22" t="n">
        <v>80000</v>
      </c>
      <c r="H1607" s="22" t="n">
        <v>6400</v>
      </c>
      <c r="I1607" s="22" t="n">
        <v>10040863.15</v>
      </c>
      <c r="J1607" s="19" t="inlineStr">
        <is>
          <t>10 % × 80,000 × split 80%</t>
        </is>
      </c>
    </row>
    <row r="1608">
      <c r="A1608" s="13" t="n">
        <v>1607</v>
      </c>
      <c r="B1608" s="14" t="n">
        <v>46548</v>
      </c>
      <c r="C1608" s="15" t="n">
        <v>9</v>
      </c>
      <c r="D1608" s="25" t="inlineStr">
        <is>
          <t>Payout</t>
        </is>
      </c>
      <c r="E1608" s="13" t="inlineStr">
        <is>
          <t>Myfundedcapital</t>
        </is>
      </c>
      <c r="F1608" s="13" t="inlineStr">
        <is>
          <t>#134 Instant-Direct 80k</t>
        </is>
      </c>
      <c r="G1608" s="17" t="n">
        <v>80000</v>
      </c>
      <c r="H1608" s="17" t="n">
        <v>6400</v>
      </c>
      <c r="I1608" s="17" t="n">
        <v>10047263.15</v>
      </c>
      <c r="J1608" s="13" t="inlineStr">
        <is>
          <t>10 % × 80,000 × split 80%</t>
        </is>
      </c>
    </row>
    <row r="1609">
      <c r="A1609" s="19" t="n">
        <v>1608</v>
      </c>
      <c r="B1609" s="20" t="n">
        <v>46548</v>
      </c>
      <c r="C1609" s="21" t="n">
        <v>9</v>
      </c>
      <c r="D1609" s="25" t="inlineStr">
        <is>
          <t>Payout</t>
        </is>
      </c>
      <c r="E1609" s="19" t="inlineStr">
        <is>
          <t>Myfundedcapital</t>
        </is>
      </c>
      <c r="F1609" s="19" t="inlineStr">
        <is>
          <t>#135 Instant-Direct 80k</t>
        </is>
      </c>
      <c r="G1609" s="22" t="n">
        <v>80000</v>
      </c>
      <c r="H1609" s="22" t="n">
        <v>6400</v>
      </c>
      <c r="I1609" s="22" t="n">
        <v>10053663.15</v>
      </c>
      <c r="J1609" s="19" t="inlineStr">
        <is>
          <t>10 % × 80,000 × split 80%</t>
        </is>
      </c>
    </row>
    <row r="1610">
      <c r="A1610" s="13" t="n">
        <v>1609</v>
      </c>
      <c r="B1610" s="14" t="n">
        <v>46548</v>
      </c>
      <c r="C1610" s="15" t="n">
        <v>9</v>
      </c>
      <c r="D1610" s="25" t="inlineStr">
        <is>
          <t>Payout</t>
        </is>
      </c>
      <c r="E1610" s="13" t="inlineStr">
        <is>
          <t>City Traders Imperium</t>
        </is>
      </c>
      <c r="F1610" s="13" t="inlineStr">
        <is>
          <t>#136 Instant-Direct 80k</t>
        </is>
      </c>
      <c r="G1610" s="17" t="n">
        <v>80000</v>
      </c>
      <c r="H1610" s="17" t="n">
        <v>7200</v>
      </c>
      <c r="I1610" s="17" t="n">
        <v>10060863.15</v>
      </c>
      <c r="J1610" s="13" t="inlineStr">
        <is>
          <t>10 % × 80,000 × split 90%</t>
        </is>
      </c>
    </row>
    <row r="1611">
      <c r="A1611" s="19" t="n">
        <v>1610</v>
      </c>
      <c r="B1611" s="20" t="n">
        <v>46548</v>
      </c>
      <c r="C1611" s="21" t="n">
        <v>9</v>
      </c>
      <c r="D1611" s="25" t="inlineStr">
        <is>
          <t>Payout</t>
        </is>
      </c>
      <c r="E1611" s="19" t="inlineStr">
        <is>
          <t>City Traders Imperium</t>
        </is>
      </c>
      <c r="F1611" s="19" t="inlineStr">
        <is>
          <t>#137 Instant-Direct 80k</t>
        </is>
      </c>
      <c r="G1611" s="22" t="n">
        <v>80000</v>
      </c>
      <c r="H1611" s="22" t="n">
        <v>7200</v>
      </c>
      <c r="I1611" s="22" t="n">
        <v>10068063.15</v>
      </c>
      <c r="J1611" s="19" t="inlineStr">
        <is>
          <t>10 % × 80,000 × split 90%</t>
        </is>
      </c>
    </row>
    <row r="1612">
      <c r="A1612" s="13" t="n">
        <v>1611</v>
      </c>
      <c r="B1612" s="14" t="n">
        <v>46548</v>
      </c>
      <c r="C1612" s="15" t="n">
        <v>9</v>
      </c>
      <c r="D1612" s="25" t="inlineStr">
        <is>
          <t>Payout</t>
        </is>
      </c>
      <c r="E1612" s="13" t="inlineStr">
        <is>
          <t>FTUK</t>
        </is>
      </c>
      <c r="F1612" s="13" t="inlineStr">
        <is>
          <t>#138 Instant-Direct 100k</t>
        </is>
      </c>
      <c r="G1612" s="17" t="n">
        <v>100000</v>
      </c>
      <c r="H1612" s="17" t="n">
        <v>8000</v>
      </c>
      <c r="I1612" s="17" t="n">
        <v>10076063.15</v>
      </c>
      <c r="J1612" s="13" t="inlineStr">
        <is>
          <t>10 % × 100,000 × split 80%</t>
        </is>
      </c>
    </row>
    <row r="1613">
      <c r="A1613" s="19" t="n">
        <v>1612</v>
      </c>
      <c r="B1613" s="20" t="n">
        <v>46548</v>
      </c>
      <c r="C1613" s="21" t="n">
        <v>9</v>
      </c>
      <c r="D1613" s="25" t="inlineStr">
        <is>
          <t>Payout</t>
        </is>
      </c>
      <c r="E1613" s="19" t="inlineStr">
        <is>
          <t>Funded Friday</t>
        </is>
      </c>
      <c r="F1613" s="19" t="inlineStr">
        <is>
          <t>#139 Instant-Direct 200k</t>
        </is>
      </c>
      <c r="G1613" s="22" t="n">
        <v>200000</v>
      </c>
      <c r="H1613" s="22" t="n">
        <v>16000</v>
      </c>
      <c r="I1613" s="22" t="n">
        <v>10092063.15</v>
      </c>
      <c r="J1613" s="19" t="inlineStr">
        <is>
          <t>10 % × 200,000 × split 80%</t>
        </is>
      </c>
    </row>
    <row r="1614">
      <c r="A1614" s="13" t="n">
        <v>1613</v>
      </c>
      <c r="B1614" s="14" t="n">
        <v>46548</v>
      </c>
      <c r="C1614" s="15" t="n">
        <v>9</v>
      </c>
      <c r="D1614" s="25" t="inlineStr">
        <is>
          <t>Payout</t>
        </is>
      </c>
      <c r="E1614" s="13" t="inlineStr">
        <is>
          <t>Funded Trading Plus</t>
        </is>
      </c>
      <c r="F1614" s="13" t="inlineStr">
        <is>
          <t>#140 Instant-Direct 100k</t>
        </is>
      </c>
      <c r="G1614" s="17" t="n">
        <v>100000</v>
      </c>
      <c r="H1614" s="17" t="n">
        <v>8000</v>
      </c>
      <c r="I1614" s="17" t="n">
        <v>10100063.15</v>
      </c>
      <c r="J1614" s="13" t="inlineStr">
        <is>
          <t>10 % × 100,000 × split 80%</t>
        </is>
      </c>
    </row>
    <row r="1615">
      <c r="A1615" s="19" t="n">
        <v>1614</v>
      </c>
      <c r="B1615" s="20" t="n">
        <v>46548</v>
      </c>
      <c r="C1615" s="21" t="n">
        <v>9</v>
      </c>
      <c r="D1615" s="25" t="inlineStr">
        <is>
          <t>Payout</t>
        </is>
      </c>
      <c r="E1615" s="19" t="inlineStr">
        <is>
          <t>Funding Dynasty</t>
        </is>
      </c>
      <c r="F1615" s="19" t="inlineStr">
        <is>
          <t>#141 Instant-Direct 200k</t>
        </is>
      </c>
      <c r="G1615" s="22" t="n">
        <v>200000</v>
      </c>
      <c r="H1615" s="22" t="n">
        <v>16000</v>
      </c>
      <c r="I1615" s="22" t="n">
        <v>10116063.15</v>
      </c>
      <c r="J1615" s="19" t="inlineStr">
        <is>
          <t>10 % × 200,000 × split 80%</t>
        </is>
      </c>
    </row>
    <row r="1616">
      <c r="A1616" s="13" t="n">
        <v>1615</v>
      </c>
      <c r="B1616" s="14" t="n">
        <v>46548</v>
      </c>
      <c r="C1616" s="15" t="n">
        <v>9</v>
      </c>
      <c r="D1616" s="25" t="inlineStr">
        <is>
          <t>Payout</t>
        </is>
      </c>
      <c r="E1616" s="13" t="inlineStr">
        <is>
          <t>Funding Frontier</t>
        </is>
      </c>
      <c r="F1616" s="13" t="inlineStr">
        <is>
          <t>#142 Instant-Direct 50k</t>
        </is>
      </c>
      <c r="G1616" s="17" t="n">
        <v>50000</v>
      </c>
      <c r="H1616" s="17" t="n">
        <v>4000</v>
      </c>
      <c r="I1616" s="17" t="n">
        <v>10120063.15</v>
      </c>
      <c r="J1616" s="13" t="inlineStr">
        <is>
          <t>10 % × 50,000 × split 80%</t>
        </is>
      </c>
    </row>
    <row r="1617">
      <c r="A1617" s="19" t="n">
        <v>1616</v>
      </c>
      <c r="B1617" s="20" t="n">
        <v>46548</v>
      </c>
      <c r="C1617" s="21" t="n">
        <v>9</v>
      </c>
      <c r="D1617" s="25" t="inlineStr">
        <is>
          <t>Payout</t>
        </is>
      </c>
      <c r="E1617" s="19" t="inlineStr">
        <is>
          <t>FundYourFX</t>
        </is>
      </c>
      <c r="F1617" s="19" t="inlineStr">
        <is>
          <t>#143 Instant-Direct 200k</t>
        </is>
      </c>
      <c r="G1617" s="22" t="n">
        <v>200000</v>
      </c>
      <c r="H1617" s="22" t="n">
        <v>19000</v>
      </c>
      <c r="I1617" s="22" t="n">
        <v>10139063.15</v>
      </c>
      <c r="J1617" s="19" t="inlineStr">
        <is>
          <t>10 % × 200,000 × split 95%</t>
        </is>
      </c>
    </row>
    <row r="1618">
      <c r="A1618" s="13" t="n">
        <v>1617</v>
      </c>
      <c r="B1618" s="14" t="n">
        <v>46548</v>
      </c>
      <c r="C1618" s="15" t="n">
        <v>9</v>
      </c>
      <c r="D1618" s="25" t="inlineStr">
        <is>
          <t>Payout</t>
        </is>
      </c>
      <c r="E1618" s="13" t="inlineStr">
        <is>
          <t>Hex Funded</t>
        </is>
      </c>
      <c r="F1618" s="13" t="inlineStr">
        <is>
          <t>#144 Instant-Direct 100k</t>
        </is>
      </c>
      <c r="G1618" s="17" t="n">
        <v>100000</v>
      </c>
      <c r="H1618" s="17" t="n">
        <v>9000</v>
      </c>
      <c r="I1618" s="17" t="n">
        <v>10148063.15</v>
      </c>
      <c r="J1618" s="13" t="inlineStr">
        <is>
          <t>10 % × 100,000 × split 90%</t>
        </is>
      </c>
    </row>
    <row r="1619">
      <c r="A1619" s="19" t="n">
        <v>1618</v>
      </c>
      <c r="B1619" s="20" t="n">
        <v>46548</v>
      </c>
      <c r="C1619" s="21" t="n">
        <v>9</v>
      </c>
      <c r="D1619" s="25" t="inlineStr">
        <is>
          <t>Payout</t>
        </is>
      </c>
      <c r="E1619" s="19" t="inlineStr">
        <is>
          <t>FundingRock</t>
        </is>
      </c>
      <c r="F1619" s="19" t="inlineStr">
        <is>
          <t>#145 Instant-Direct 100k</t>
        </is>
      </c>
      <c r="G1619" s="22" t="n">
        <v>100000</v>
      </c>
      <c r="H1619" s="22" t="n">
        <v>8000</v>
      </c>
      <c r="I1619" s="22" t="n">
        <v>10156063.15</v>
      </c>
      <c r="J1619" s="19" t="inlineStr">
        <is>
          <t>10 % × 100,000 × split 80%</t>
        </is>
      </c>
    </row>
    <row r="1620">
      <c r="A1620" s="13" t="n">
        <v>1619</v>
      </c>
      <c r="B1620" s="14" t="n">
        <v>46548</v>
      </c>
      <c r="C1620" s="15" t="n">
        <v>9</v>
      </c>
      <c r="D1620" s="25" t="inlineStr">
        <is>
          <t>Payout</t>
        </is>
      </c>
      <c r="E1620" s="13" t="inlineStr">
        <is>
          <t>LegionFunding</t>
        </is>
      </c>
      <c r="F1620" s="13" t="inlineStr">
        <is>
          <t>#146 Instant-Direct 100k</t>
        </is>
      </c>
      <c r="G1620" s="17" t="n">
        <v>100000</v>
      </c>
      <c r="H1620" s="17" t="n">
        <v>8000</v>
      </c>
      <c r="I1620" s="17" t="n">
        <v>10164063.15</v>
      </c>
      <c r="J1620" s="13" t="inlineStr">
        <is>
          <t>10 % × 100,000 × split 80%</t>
        </is>
      </c>
    </row>
    <row r="1621">
      <c r="A1621" s="19" t="n">
        <v>1620</v>
      </c>
      <c r="B1621" s="20" t="n">
        <v>46548</v>
      </c>
      <c r="C1621" s="21" t="n">
        <v>9</v>
      </c>
      <c r="D1621" s="25" t="inlineStr">
        <is>
          <t>Payout</t>
        </is>
      </c>
      <c r="E1621" s="19" t="inlineStr">
        <is>
          <t>MasterFunders</t>
        </is>
      </c>
      <c r="F1621" s="19" t="inlineStr">
        <is>
          <t>#147 Instant-Direct 100k</t>
        </is>
      </c>
      <c r="G1621" s="22" t="n">
        <v>100000</v>
      </c>
      <c r="H1621" s="22" t="n">
        <v>8000</v>
      </c>
      <c r="I1621" s="22" t="n">
        <v>10172063.15</v>
      </c>
      <c r="J1621" s="19" t="inlineStr">
        <is>
          <t>10 % × 100,000 × split 80%</t>
        </is>
      </c>
    </row>
    <row r="1622">
      <c r="A1622" s="13" t="n">
        <v>1621</v>
      </c>
      <c r="B1622" s="14" t="n">
        <v>46548</v>
      </c>
      <c r="C1622" s="15" t="n">
        <v>9</v>
      </c>
      <c r="D1622" s="25" t="inlineStr">
        <is>
          <t>Payout</t>
        </is>
      </c>
      <c r="E1622" s="13" t="inlineStr">
        <is>
          <t>BloomFunded</t>
        </is>
      </c>
      <c r="F1622" s="13" t="inlineStr">
        <is>
          <t>#148 Instant-Direct 50k</t>
        </is>
      </c>
      <c r="G1622" s="17" t="n">
        <v>50000</v>
      </c>
      <c r="H1622" s="17" t="n">
        <v>4500</v>
      </c>
      <c r="I1622" s="17" t="n">
        <v>10176563.15</v>
      </c>
      <c r="J1622" s="13" t="inlineStr">
        <is>
          <t>10 % × 50,000 × split 90%</t>
        </is>
      </c>
    </row>
    <row r="1623">
      <c r="A1623" s="19" t="n">
        <v>1622</v>
      </c>
      <c r="B1623" s="20" t="n">
        <v>46548</v>
      </c>
      <c r="C1623" s="21" t="n">
        <v>9</v>
      </c>
      <c r="D1623" s="25" t="inlineStr">
        <is>
          <t>Payout</t>
        </is>
      </c>
      <c r="E1623" s="19" t="inlineStr">
        <is>
          <t>Finotive Futures</t>
        </is>
      </c>
      <c r="F1623" s="19" t="inlineStr">
        <is>
          <t>#153 1 Step 150k</t>
        </is>
      </c>
      <c r="G1623" s="22" t="n">
        <v>150000</v>
      </c>
      <c r="H1623" s="22" t="n">
        <v>13500</v>
      </c>
      <c r="I1623" s="22" t="n">
        <v>10190063.15</v>
      </c>
      <c r="J1623" s="19" t="inlineStr">
        <is>
          <t>10 % × 150,000 × split 90%</t>
        </is>
      </c>
    </row>
    <row r="1624">
      <c r="A1624" s="13" t="n">
        <v>1623</v>
      </c>
      <c r="B1624" s="14" t="n">
        <v>46548</v>
      </c>
      <c r="C1624" s="15" t="n">
        <v>9</v>
      </c>
      <c r="D1624" s="25" t="inlineStr">
        <is>
          <t>Payout</t>
        </is>
      </c>
      <c r="E1624" s="13" t="inlineStr">
        <is>
          <t>Finotive Futures</t>
        </is>
      </c>
      <c r="F1624" s="13" t="inlineStr">
        <is>
          <t>#154 1 Step 150k</t>
        </is>
      </c>
      <c r="G1624" s="17" t="n">
        <v>150000</v>
      </c>
      <c r="H1624" s="17" t="n">
        <v>13500</v>
      </c>
      <c r="I1624" s="17" t="n">
        <v>10203563.15</v>
      </c>
      <c r="J1624" s="13" t="inlineStr">
        <is>
          <t>10 % × 150,000 × split 90%</t>
        </is>
      </c>
    </row>
    <row r="1625">
      <c r="A1625" s="19" t="n">
        <v>1624</v>
      </c>
      <c r="B1625" s="20" t="n">
        <v>46548</v>
      </c>
      <c r="C1625" s="21" t="n">
        <v>9</v>
      </c>
      <c r="D1625" s="25" t="inlineStr">
        <is>
          <t>Payout</t>
        </is>
      </c>
      <c r="E1625" s="19" t="inlineStr">
        <is>
          <t>Finotive Futures</t>
        </is>
      </c>
      <c r="F1625" s="19" t="inlineStr">
        <is>
          <t>#155 1 Step 150k</t>
        </is>
      </c>
      <c r="G1625" s="22" t="n">
        <v>150000</v>
      </c>
      <c r="H1625" s="22" t="n">
        <v>13500</v>
      </c>
      <c r="I1625" s="22" t="n">
        <v>10217063.15</v>
      </c>
      <c r="J1625" s="19" t="inlineStr">
        <is>
          <t>10 % × 150,000 × split 90%</t>
        </is>
      </c>
    </row>
    <row r="1626">
      <c r="A1626" s="13" t="n">
        <v>1625</v>
      </c>
      <c r="B1626" s="14" t="n">
        <v>46548</v>
      </c>
      <c r="C1626" s="15" t="n">
        <v>9</v>
      </c>
      <c r="D1626" s="25" t="inlineStr">
        <is>
          <t>Payout</t>
        </is>
      </c>
      <c r="E1626" s="13" t="inlineStr">
        <is>
          <t>Finotive Futures</t>
        </is>
      </c>
      <c r="F1626" s="13" t="inlineStr">
        <is>
          <t>#156 1 Step 150k</t>
        </is>
      </c>
      <c r="G1626" s="17" t="n">
        <v>150000</v>
      </c>
      <c r="H1626" s="17" t="n">
        <v>13500</v>
      </c>
      <c r="I1626" s="17" t="n">
        <v>10230563.15</v>
      </c>
      <c r="J1626" s="13" t="inlineStr">
        <is>
          <t>10 % × 150,000 × split 90%</t>
        </is>
      </c>
    </row>
    <row r="1627">
      <c r="A1627" s="19" t="n">
        <v>1626</v>
      </c>
      <c r="B1627" s="20" t="n">
        <v>46548</v>
      </c>
      <c r="C1627" s="21" t="n">
        <v>9</v>
      </c>
      <c r="D1627" s="25" t="inlineStr">
        <is>
          <t>Payout</t>
        </is>
      </c>
      <c r="E1627" s="19" t="inlineStr">
        <is>
          <t>Finotive Futures</t>
        </is>
      </c>
      <c r="F1627" s="19" t="inlineStr">
        <is>
          <t>#157 1 Step 150k</t>
        </is>
      </c>
      <c r="G1627" s="22" t="n">
        <v>150000</v>
      </c>
      <c r="H1627" s="22" t="n">
        <v>13500</v>
      </c>
      <c r="I1627" s="22" t="n">
        <v>10244063.15</v>
      </c>
      <c r="J1627" s="19" t="inlineStr">
        <is>
          <t>10 % × 150,000 × split 90%</t>
        </is>
      </c>
    </row>
    <row r="1628">
      <c r="A1628" s="13" t="n">
        <v>1627</v>
      </c>
      <c r="B1628" s="14" t="n">
        <v>46548</v>
      </c>
      <c r="C1628" s="15" t="n">
        <v>9</v>
      </c>
      <c r="D1628" s="25" t="inlineStr">
        <is>
          <t>Payout</t>
        </is>
      </c>
      <c r="E1628" s="13" t="inlineStr">
        <is>
          <t>Finotive Futures</t>
        </is>
      </c>
      <c r="F1628" s="13" t="inlineStr">
        <is>
          <t>#158 1 Step 150k</t>
        </is>
      </c>
      <c r="G1628" s="17" t="n">
        <v>150000</v>
      </c>
      <c r="H1628" s="17" t="n">
        <v>13500</v>
      </c>
      <c r="I1628" s="17" t="n">
        <v>10257563.15</v>
      </c>
      <c r="J1628" s="13" t="inlineStr">
        <is>
          <t>10 % × 150,000 × split 90%</t>
        </is>
      </c>
    </row>
    <row r="1629">
      <c r="A1629" s="19" t="n">
        <v>1628</v>
      </c>
      <c r="B1629" s="20" t="n">
        <v>46548</v>
      </c>
      <c r="C1629" s="21" t="n">
        <v>9</v>
      </c>
      <c r="D1629" s="25" t="inlineStr">
        <is>
          <t>Payout</t>
        </is>
      </c>
      <c r="E1629" s="19" t="inlineStr">
        <is>
          <t>Funded Trader Markets</t>
        </is>
      </c>
      <c r="F1629" s="19" t="inlineStr">
        <is>
          <t>#159 1 Step 300k</t>
        </is>
      </c>
      <c r="G1629" s="22" t="n">
        <v>300000</v>
      </c>
      <c r="H1629" s="22" t="n">
        <v>27000</v>
      </c>
      <c r="I1629" s="22" t="n">
        <v>10284563.15</v>
      </c>
      <c r="J1629" s="19" t="inlineStr">
        <is>
          <t>10 % × 300,000 × split 90%</t>
        </is>
      </c>
    </row>
    <row r="1630">
      <c r="A1630" s="13" t="n">
        <v>1629</v>
      </c>
      <c r="B1630" s="14" t="n">
        <v>46548</v>
      </c>
      <c r="C1630" s="15" t="n">
        <v>9</v>
      </c>
      <c r="D1630" s="25" t="inlineStr">
        <is>
          <t>Payout</t>
        </is>
      </c>
      <c r="E1630" s="13" t="inlineStr">
        <is>
          <t>Funded Trader Markets</t>
        </is>
      </c>
      <c r="F1630" s="13" t="inlineStr">
        <is>
          <t>#160 1 Step 300k</t>
        </is>
      </c>
      <c r="G1630" s="17" t="n">
        <v>300000</v>
      </c>
      <c r="H1630" s="17" t="n">
        <v>27000</v>
      </c>
      <c r="I1630" s="17" t="n">
        <v>10311563.15</v>
      </c>
      <c r="J1630" s="13" t="inlineStr">
        <is>
          <t>10 % × 300,000 × split 90%</t>
        </is>
      </c>
    </row>
    <row r="1631">
      <c r="A1631" s="19" t="n">
        <v>1630</v>
      </c>
      <c r="B1631" s="20" t="n">
        <v>46548</v>
      </c>
      <c r="C1631" s="21" t="n">
        <v>9</v>
      </c>
      <c r="D1631" s="25" t="inlineStr">
        <is>
          <t>Payout</t>
        </is>
      </c>
      <c r="E1631" s="19" t="inlineStr">
        <is>
          <t>Funded Trader Markets</t>
        </is>
      </c>
      <c r="F1631" s="19" t="inlineStr">
        <is>
          <t>#161 1 Step 300k</t>
        </is>
      </c>
      <c r="G1631" s="22" t="n">
        <v>300000</v>
      </c>
      <c r="H1631" s="22" t="n">
        <v>27000</v>
      </c>
      <c r="I1631" s="22" t="n">
        <v>10338563.15</v>
      </c>
      <c r="J1631" s="19" t="inlineStr">
        <is>
          <t>10 % × 300,000 × split 90%</t>
        </is>
      </c>
    </row>
    <row r="1632">
      <c r="A1632" s="13" t="n">
        <v>1631</v>
      </c>
      <c r="B1632" s="14" t="n">
        <v>46548</v>
      </c>
      <c r="C1632" s="15" t="n">
        <v>9</v>
      </c>
      <c r="D1632" s="25" t="inlineStr">
        <is>
          <t>Payout</t>
        </is>
      </c>
      <c r="E1632" s="13" t="inlineStr">
        <is>
          <t>Kingdom Wealth Funding</t>
        </is>
      </c>
      <c r="F1632" s="13" t="inlineStr">
        <is>
          <t>#164 1 Step 1000k</t>
        </is>
      </c>
      <c r="G1632" s="17" t="n">
        <v>1000000</v>
      </c>
      <c r="H1632" s="17" t="n">
        <v>80000</v>
      </c>
      <c r="I1632" s="17" t="n">
        <v>10418563.15</v>
      </c>
      <c r="J1632" s="13" t="inlineStr">
        <is>
          <t>10 % × 1,000,000 × split 80%</t>
        </is>
      </c>
    </row>
    <row r="1633">
      <c r="A1633" s="19" t="n">
        <v>1632</v>
      </c>
      <c r="B1633" s="20" t="n">
        <v>46548</v>
      </c>
      <c r="C1633" s="21" t="n">
        <v>9</v>
      </c>
      <c r="D1633" s="25" t="inlineStr">
        <is>
          <t>Payout</t>
        </is>
      </c>
      <c r="E1633" s="19" t="inlineStr">
        <is>
          <t>Ment Funding</t>
        </is>
      </c>
      <c r="F1633" s="19" t="inlineStr">
        <is>
          <t>#165 1 Step 1000k</t>
        </is>
      </c>
      <c r="G1633" s="22" t="n">
        <v>1000000</v>
      </c>
      <c r="H1633" s="22" t="n">
        <v>80000</v>
      </c>
      <c r="I1633" s="22" t="n">
        <v>10498563.15</v>
      </c>
      <c r="J1633" s="19" t="inlineStr">
        <is>
          <t>10 % × 1,000,000 × split 80%</t>
        </is>
      </c>
    </row>
    <row r="1634">
      <c r="A1634" s="13" t="n">
        <v>1633</v>
      </c>
      <c r="B1634" s="14" t="n">
        <v>46548</v>
      </c>
      <c r="C1634" s="15" t="n">
        <v>9</v>
      </c>
      <c r="D1634" s="25" t="inlineStr">
        <is>
          <t>Payout</t>
        </is>
      </c>
      <c r="E1634" s="13" t="inlineStr">
        <is>
          <t>Ment Funding Futures</t>
        </is>
      </c>
      <c r="F1634" s="13" t="inlineStr">
        <is>
          <t>#172 1 Step 400k</t>
        </is>
      </c>
      <c r="G1634" s="17" t="n">
        <v>400000</v>
      </c>
      <c r="H1634" s="17" t="n">
        <v>32000</v>
      </c>
      <c r="I1634" s="17" t="n">
        <v>10530563.15</v>
      </c>
      <c r="J1634" s="13" t="inlineStr">
        <is>
          <t>10 % × 400,000 × split 80%</t>
        </is>
      </c>
    </row>
    <row r="1635">
      <c r="A1635" s="19" t="n">
        <v>1634</v>
      </c>
      <c r="B1635" s="20" t="n">
        <v>46548</v>
      </c>
      <c r="C1635" s="21" t="n">
        <v>9</v>
      </c>
      <c r="D1635" s="25" t="inlineStr">
        <is>
          <t>Payout</t>
        </is>
      </c>
      <c r="E1635" s="19" t="inlineStr">
        <is>
          <t>10FOUR</t>
        </is>
      </c>
      <c r="F1635" s="19" t="inlineStr">
        <is>
          <t>#173 1 Step 150k</t>
        </is>
      </c>
      <c r="G1635" s="22" t="n">
        <v>150000</v>
      </c>
      <c r="H1635" s="22" t="n">
        <v>13500</v>
      </c>
      <c r="I1635" s="22" t="n">
        <v>10544063.15</v>
      </c>
      <c r="J1635" s="19" t="inlineStr">
        <is>
          <t>10 % × 150,000 × split 90%</t>
        </is>
      </c>
    </row>
    <row r="1636">
      <c r="A1636" s="13" t="n">
        <v>1635</v>
      </c>
      <c r="B1636" s="14" t="n">
        <v>46548</v>
      </c>
      <c r="C1636" s="15" t="n">
        <v>9</v>
      </c>
      <c r="D1636" s="25" t="inlineStr">
        <is>
          <t>Payout</t>
        </is>
      </c>
      <c r="E1636" s="13" t="inlineStr">
        <is>
          <t>10FOUR</t>
        </is>
      </c>
      <c r="F1636" s="13" t="inlineStr">
        <is>
          <t>#174 1 Step 150k</t>
        </is>
      </c>
      <c r="G1636" s="17" t="n">
        <v>150000</v>
      </c>
      <c r="H1636" s="17" t="n">
        <v>13500</v>
      </c>
      <c r="I1636" s="17" t="n">
        <v>10557563.15</v>
      </c>
      <c r="J1636" s="13" t="inlineStr">
        <is>
          <t>10 % × 150,000 × split 90%</t>
        </is>
      </c>
    </row>
    <row r="1637">
      <c r="A1637" s="19" t="n">
        <v>1636</v>
      </c>
      <c r="B1637" s="20" t="n">
        <v>46548</v>
      </c>
      <c r="C1637" s="21" t="n">
        <v>9</v>
      </c>
      <c r="D1637" s="25" t="inlineStr">
        <is>
          <t>Payout</t>
        </is>
      </c>
      <c r="E1637" s="19" t="inlineStr">
        <is>
          <t>10FOUR</t>
        </is>
      </c>
      <c r="F1637" s="19" t="inlineStr">
        <is>
          <t>#175 1 Step 150k</t>
        </is>
      </c>
      <c r="G1637" s="22" t="n">
        <v>150000</v>
      </c>
      <c r="H1637" s="22" t="n">
        <v>13500</v>
      </c>
      <c r="I1637" s="22" t="n">
        <v>10571063.15</v>
      </c>
      <c r="J1637" s="19" t="inlineStr">
        <is>
          <t>10 % × 150,000 × split 90%</t>
        </is>
      </c>
    </row>
    <row r="1638">
      <c r="A1638" s="13" t="n">
        <v>1637</v>
      </c>
      <c r="B1638" s="14" t="n">
        <v>46548</v>
      </c>
      <c r="C1638" s="15" t="n">
        <v>9</v>
      </c>
      <c r="D1638" s="25" t="inlineStr">
        <is>
          <t>Payout</t>
        </is>
      </c>
      <c r="E1638" s="13" t="inlineStr">
        <is>
          <t>10FOUR</t>
        </is>
      </c>
      <c r="F1638" s="13" t="inlineStr">
        <is>
          <t>#176 1 Step 150k</t>
        </is>
      </c>
      <c r="G1638" s="17" t="n">
        <v>150000</v>
      </c>
      <c r="H1638" s="17" t="n">
        <v>13500</v>
      </c>
      <c r="I1638" s="17" t="n">
        <v>10584563.15</v>
      </c>
      <c r="J1638" s="13" t="inlineStr">
        <is>
          <t>10 % × 150,000 × split 90%</t>
        </is>
      </c>
    </row>
    <row r="1639">
      <c r="A1639" s="19" t="n">
        <v>1638</v>
      </c>
      <c r="B1639" s="20" t="n">
        <v>46548</v>
      </c>
      <c r="C1639" s="21" t="n">
        <v>9</v>
      </c>
      <c r="D1639" s="25" t="inlineStr">
        <is>
          <t>Payout</t>
        </is>
      </c>
      <c r="E1639" s="19" t="inlineStr">
        <is>
          <t>10FOUR</t>
        </is>
      </c>
      <c r="F1639" s="19" t="inlineStr">
        <is>
          <t>#177 1 Step 150k</t>
        </is>
      </c>
      <c r="G1639" s="22" t="n">
        <v>150000</v>
      </c>
      <c r="H1639" s="22" t="n">
        <v>13500</v>
      </c>
      <c r="I1639" s="22" t="n">
        <v>10598063.15</v>
      </c>
      <c r="J1639" s="19" t="inlineStr">
        <is>
          <t>10 % × 150,000 × split 90%</t>
        </is>
      </c>
    </row>
    <row r="1640">
      <c r="A1640" s="13" t="n">
        <v>1639</v>
      </c>
      <c r="B1640" s="14" t="n">
        <v>46548</v>
      </c>
      <c r="C1640" s="15" t="n">
        <v>9</v>
      </c>
      <c r="D1640" s="25" t="inlineStr">
        <is>
          <t>Payout</t>
        </is>
      </c>
      <c r="E1640" s="13" t="inlineStr">
        <is>
          <t>Blue Guardian Futures</t>
        </is>
      </c>
      <c r="F1640" s="13" t="inlineStr">
        <is>
          <t>#178 1 Step 100k</t>
        </is>
      </c>
      <c r="G1640" s="17" t="n">
        <v>100000</v>
      </c>
      <c r="H1640" s="17" t="n">
        <v>9000</v>
      </c>
      <c r="I1640" s="17" t="n">
        <v>10607063.15</v>
      </c>
      <c r="J1640" s="13" t="inlineStr">
        <is>
          <t>10 % × 100,000 × split 90%</t>
        </is>
      </c>
    </row>
    <row r="1641">
      <c r="A1641" s="19" t="n">
        <v>1640</v>
      </c>
      <c r="B1641" s="20" t="n">
        <v>46548</v>
      </c>
      <c r="C1641" s="21" t="n">
        <v>9</v>
      </c>
      <c r="D1641" s="25" t="inlineStr">
        <is>
          <t>Payout</t>
        </is>
      </c>
      <c r="E1641" s="19" t="inlineStr">
        <is>
          <t>Blue Guardian Futures</t>
        </is>
      </c>
      <c r="F1641" s="19" t="inlineStr">
        <is>
          <t>#179 1 Step 100k</t>
        </is>
      </c>
      <c r="G1641" s="22" t="n">
        <v>100000</v>
      </c>
      <c r="H1641" s="22" t="n">
        <v>9000</v>
      </c>
      <c r="I1641" s="22" t="n">
        <v>10616063.15</v>
      </c>
      <c r="J1641" s="19" t="inlineStr">
        <is>
          <t>10 % × 100,000 × split 90%</t>
        </is>
      </c>
    </row>
    <row r="1642">
      <c r="A1642" s="13" t="n">
        <v>1641</v>
      </c>
      <c r="B1642" s="14" t="n">
        <v>46548</v>
      </c>
      <c r="C1642" s="15" t="n">
        <v>9</v>
      </c>
      <c r="D1642" s="25" t="inlineStr">
        <is>
          <t>Payout</t>
        </is>
      </c>
      <c r="E1642" s="13" t="inlineStr">
        <is>
          <t>Blue Guardian Futures</t>
        </is>
      </c>
      <c r="F1642" s="13" t="inlineStr">
        <is>
          <t>#180 1 Step 100k</t>
        </is>
      </c>
      <c r="G1642" s="17" t="n">
        <v>100000</v>
      </c>
      <c r="H1642" s="17" t="n">
        <v>9000</v>
      </c>
      <c r="I1642" s="17" t="n">
        <v>10625063.15</v>
      </c>
      <c r="J1642" s="13" t="inlineStr">
        <is>
          <t>10 % × 100,000 × split 90%</t>
        </is>
      </c>
    </row>
    <row r="1643">
      <c r="A1643" s="19" t="n">
        <v>1642</v>
      </c>
      <c r="B1643" s="20" t="n">
        <v>46548</v>
      </c>
      <c r="C1643" s="21" t="n">
        <v>9</v>
      </c>
      <c r="D1643" s="25" t="inlineStr">
        <is>
          <t>Payout</t>
        </is>
      </c>
      <c r="E1643" s="19" t="inlineStr">
        <is>
          <t>Blue Guardian Futures</t>
        </is>
      </c>
      <c r="F1643" s="19" t="inlineStr">
        <is>
          <t>#181 1 Step 100k</t>
        </is>
      </c>
      <c r="G1643" s="22" t="n">
        <v>100000</v>
      </c>
      <c r="H1643" s="22" t="n">
        <v>9000</v>
      </c>
      <c r="I1643" s="22" t="n">
        <v>10634063.15</v>
      </c>
      <c r="J1643" s="19" t="inlineStr">
        <is>
          <t>10 % × 100,000 × split 90%</t>
        </is>
      </c>
    </row>
    <row r="1644">
      <c r="A1644" s="13" t="n">
        <v>1643</v>
      </c>
      <c r="B1644" s="14" t="n">
        <v>46548</v>
      </c>
      <c r="C1644" s="15" t="n">
        <v>9</v>
      </c>
      <c r="D1644" s="25" t="inlineStr">
        <is>
          <t>Payout</t>
        </is>
      </c>
      <c r="E1644" s="13" t="inlineStr">
        <is>
          <t>Blue Guardian Futures</t>
        </is>
      </c>
      <c r="F1644" s="13" t="inlineStr">
        <is>
          <t>#182 1 Step 100k</t>
        </is>
      </c>
      <c r="G1644" s="17" t="n">
        <v>100000</v>
      </c>
      <c r="H1644" s="17" t="n">
        <v>9000</v>
      </c>
      <c r="I1644" s="17" t="n">
        <v>10643063.15</v>
      </c>
      <c r="J1644" s="13" t="inlineStr">
        <is>
          <t>10 % × 100,000 × split 90%</t>
        </is>
      </c>
    </row>
    <row r="1645">
      <c r="A1645" s="19" t="n">
        <v>1644</v>
      </c>
      <c r="B1645" s="20" t="n">
        <v>46548</v>
      </c>
      <c r="C1645" s="21" t="n">
        <v>9</v>
      </c>
      <c r="D1645" s="25" t="inlineStr">
        <is>
          <t>Payout</t>
        </is>
      </c>
      <c r="E1645" s="19" t="inlineStr">
        <is>
          <t>Blue Guardian Futures</t>
        </is>
      </c>
      <c r="F1645" s="19" t="inlineStr">
        <is>
          <t>#183 1 Step 100k</t>
        </is>
      </c>
      <c r="G1645" s="22" t="n">
        <v>100000</v>
      </c>
      <c r="H1645" s="22" t="n">
        <v>9000</v>
      </c>
      <c r="I1645" s="22" t="n">
        <v>10652063.15</v>
      </c>
      <c r="J1645" s="19" t="inlineStr">
        <is>
          <t>10 % × 100,000 × split 90%</t>
        </is>
      </c>
    </row>
    <row r="1646">
      <c r="A1646" s="13" t="n">
        <v>1645</v>
      </c>
      <c r="B1646" s="14" t="n">
        <v>46548</v>
      </c>
      <c r="C1646" s="15" t="n">
        <v>9</v>
      </c>
      <c r="D1646" s="25" t="inlineStr">
        <is>
          <t>Payout</t>
        </is>
      </c>
      <c r="E1646" s="13" t="inlineStr">
        <is>
          <t>Blue Guardian Futures</t>
        </is>
      </c>
      <c r="F1646" s="13" t="inlineStr">
        <is>
          <t>#184 1 Step 100k</t>
        </is>
      </c>
      <c r="G1646" s="17" t="n">
        <v>100000</v>
      </c>
      <c r="H1646" s="17" t="n">
        <v>9000</v>
      </c>
      <c r="I1646" s="17" t="n">
        <v>10661063.15</v>
      </c>
      <c r="J1646" s="13" t="inlineStr">
        <is>
          <t>10 % × 100,000 × split 90%</t>
        </is>
      </c>
    </row>
    <row r="1647">
      <c r="A1647" s="19" t="n">
        <v>1646</v>
      </c>
      <c r="B1647" s="20" t="n">
        <v>46548</v>
      </c>
      <c r="C1647" s="21" t="n">
        <v>9</v>
      </c>
      <c r="D1647" s="25" t="inlineStr">
        <is>
          <t>Payout</t>
        </is>
      </c>
      <c r="E1647" s="19" t="inlineStr">
        <is>
          <t>FunderPro Futures</t>
        </is>
      </c>
      <c r="F1647" s="19" t="inlineStr">
        <is>
          <t>#185 1 Step 150k</t>
        </is>
      </c>
      <c r="G1647" s="22" t="n">
        <v>150000</v>
      </c>
      <c r="H1647" s="22" t="n">
        <v>9000</v>
      </c>
      <c r="I1647" s="22" t="n">
        <v>10670063.15</v>
      </c>
      <c r="J1647" s="19" t="inlineStr">
        <is>
          <t>10 % × 150,000 × split 60%</t>
        </is>
      </c>
    </row>
    <row r="1648">
      <c r="A1648" s="13" t="n">
        <v>1647</v>
      </c>
      <c r="B1648" s="14" t="n">
        <v>46548</v>
      </c>
      <c r="C1648" s="15" t="n">
        <v>9</v>
      </c>
      <c r="D1648" s="25" t="inlineStr">
        <is>
          <t>Payout</t>
        </is>
      </c>
      <c r="E1648" s="13" t="inlineStr">
        <is>
          <t>FunderPro Futures</t>
        </is>
      </c>
      <c r="F1648" s="13" t="inlineStr">
        <is>
          <t>#186 1 Step 150k</t>
        </is>
      </c>
      <c r="G1648" s="17" t="n">
        <v>150000</v>
      </c>
      <c r="H1648" s="17" t="n">
        <v>9000</v>
      </c>
      <c r="I1648" s="17" t="n">
        <v>10679063.15</v>
      </c>
      <c r="J1648" s="13" t="inlineStr">
        <is>
          <t>10 % × 150,000 × split 60%</t>
        </is>
      </c>
    </row>
    <row r="1649">
      <c r="A1649" s="19" t="n">
        <v>1648</v>
      </c>
      <c r="B1649" s="20" t="n">
        <v>46548</v>
      </c>
      <c r="C1649" s="21" t="n">
        <v>9</v>
      </c>
      <c r="D1649" s="25" t="inlineStr">
        <is>
          <t>Payout</t>
        </is>
      </c>
      <c r="E1649" s="19" t="inlineStr">
        <is>
          <t>FunderPro Futures</t>
        </is>
      </c>
      <c r="F1649" s="19" t="inlineStr">
        <is>
          <t>#187 1 Step 150k</t>
        </is>
      </c>
      <c r="G1649" s="22" t="n">
        <v>150000</v>
      </c>
      <c r="H1649" s="22" t="n">
        <v>9000</v>
      </c>
      <c r="I1649" s="22" t="n">
        <v>10688063.15</v>
      </c>
      <c r="J1649" s="19" t="inlineStr">
        <is>
          <t>10 % × 150,000 × split 60%</t>
        </is>
      </c>
    </row>
    <row r="1650">
      <c r="A1650" s="13" t="n">
        <v>1649</v>
      </c>
      <c r="B1650" s="14" t="n">
        <v>46548</v>
      </c>
      <c r="C1650" s="15" t="n">
        <v>9</v>
      </c>
      <c r="D1650" s="25" t="inlineStr">
        <is>
          <t>Payout</t>
        </is>
      </c>
      <c r="E1650" s="13" t="inlineStr">
        <is>
          <t>FunderPro Futures</t>
        </is>
      </c>
      <c r="F1650" s="13" t="inlineStr">
        <is>
          <t>#188 1 Step 150k</t>
        </is>
      </c>
      <c r="G1650" s="17" t="n">
        <v>150000</v>
      </c>
      <c r="H1650" s="17" t="n">
        <v>9000</v>
      </c>
      <c r="I1650" s="17" t="n">
        <v>10697063.15</v>
      </c>
      <c r="J1650" s="13" t="inlineStr">
        <is>
          <t>10 % × 150,000 × split 60%</t>
        </is>
      </c>
    </row>
    <row r="1651">
      <c r="A1651" s="19" t="n">
        <v>1650</v>
      </c>
      <c r="B1651" s="20" t="n">
        <v>46548</v>
      </c>
      <c r="C1651" s="21" t="n">
        <v>9</v>
      </c>
      <c r="D1651" s="25" t="inlineStr">
        <is>
          <t>Payout</t>
        </is>
      </c>
      <c r="E1651" s="19" t="inlineStr">
        <is>
          <t>Capitalize</t>
        </is>
      </c>
      <c r="F1651" s="19" t="inlineStr">
        <is>
          <t>#202 1 Step 500k</t>
        </is>
      </c>
      <c r="G1651" s="22" t="n">
        <v>500000</v>
      </c>
      <c r="H1651" s="22" t="n">
        <v>40000</v>
      </c>
      <c r="I1651" s="22" t="n">
        <v>10737063.15</v>
      </c>
      <c r="J1651" s="19" t="inlineStr">
        <is>
          <t>10 % × 500,000 × split 80%</t>
        </is>
      </c>
    </row>
    <row r="1652">
      <c r="A1652" s="13" t="n">
        <v>1651</v>
      </c>
      <c r="B1652" s="14" t="n">
        <v>46548</v>
      </c>
      <c r="C1652" s="15" t="n">
        <v>9</v>
      </c>
      <c r="D1652" s="25" t="inlineStr">
        <is>
          <t>Payout</t>
        </is>
      </c>
      <c r="E1652" s="13" t="inlineStr">
        <is>
          <t>Hola Prime</t>
        </is>
      </c>
      <c r="F1652" s="13" t="inlineStr">
        <is>
          <t>#206 1 Step 150k</t>
        </is>
      </c>
      <c r="G1652" s="17" t="n">
        <v>150000</v>
      </c>
      <c r="H1652" s="17" t="n">
        <v>12000</v>
      </c>
      <c r="I1652" s="17" t="n">
        <v>10749063.15</v>
      </c>
      <c r="J1652" s="13" t="inlineStr">
        <is>
          <t>10 % × 150,000 × split 80%</t>
        </is>
      </c>
    </row>
    <row r="1653">
      <c r="A1653" s="19" t="n">
        <v>1652</v>
      </c>
      <c r="B1653" s="20" t="n">
        <v>46548</v>
      </c>
      <c r="C1653" s="21" t="n">
        <v>9</v>
      </c>
      <c r="D1653" s="25" t="inlineStr">
        <is>
          <t>Payout</t>
        </is>
      </c>
      <c r="E1653" s="19" t="inlineStr">
        <is>
          <t>Hola Prime</t>
        </is>
      </c>
      <c r="F1653" s="19" t="inlineStr">
        <is>
          <t>#207 1 Step 150k</t>
        </is>
      </c>
      <c r="G1653" s="22" t="n">
        <v>150000</v>
      </c>
      <c r="H1653" s="22" t="n">
        <v>12000</v>
      </c>
      <c r="I1653" s="22" t="n">
        <v>10761063.15</v>
      </c>
      <c r="J1653" s="19" t="inlineStr">
        <is>
          <t>10 % × 150,000 × split 80%</t>
        </is>
      </c>
    </row>
    <row r="1654">
      <c r="A1654" s="13" t="n">
        <v>1653</v>
      </c>
      <c r="B1654" s="14" t="n">
        <v>46548</v>
      </c>
      <c r="C1654" s="15" t="n">
        <v>9</v>
      </c>
      <c r="D1654" s="25" t="inlineStr">
        <is>
          <t>Payout</t>
        </is>
      </c>
      <c r="E1654" s="13" t="inlineStr">
        <is>
          <t>Hola Prime</t>
        </is>
      </c>
      <c r="F1654" s="13" t="inlineStr">
        <is>
          <t>#208 1 Step 150k</t>
        </is>
      </c>
      <c r="G1654" s="17" t="n">
        <v>150000</v>
      </c>
      <c r="H1654" s="17" t="n">
        <v>12000</v>
      </c>
      <c r="I1654" s="17" t="n">
        <v>10773063.15</v>
      </c>
      <c r="J1654" s="13" t="inlineStr">
        <is>
          <t>10 % × 150,000 × split 80%</t>
        </is>
      </c>
    </row>
    <row r="1655">
      <c r="A1655" s="19" t="n">
        <v>1654</v>
      </c>
      <c r="B1655" s="20" t="n">
        <v>46548</v>
      </c>
      <c r="C1655" s="21" t="n">
        <v>9</v>
      </c>
      <c r="D1655" s="25" t="inlineStr">
        <is>
          <t>Payout</t>
        </is>
      </c>
      <c r="E1655" s="19" t="inlineStr">
        <is>
          <t>FTMO Futures</t>
        </is>
      </c>
      <c r="F1655" s="19" t="inlineStr">
        <is>
          <t>#213 1 Step 150k</t>
        </is>
      </c>
      <c r="G1655" s="22" t="n">
        <v>150000</v>
      </c>
      <c r="H1655" s="22" t="n">
        <v>13500</v>
      </c>
      <c r="I1655" s="22" t="n">
        <v>10786563.15</v>
      </c>
      <c r="J1655" s="19" t="inlineStr">
        <is>
          <t>10 % × 150,000 × split 90%</t>
        </is>
      </c>
    </row>
    <row r="1656">
      <c r="A1656" s="13" t="n">
        <v>1655</v>
      </c>
      <c r="B1656" s="14" t="n">
        <v>46548</v>
      </c>
      <c r="C1656" s="15" t="n">
        <v>9</v>
      </c>
      <c r="D1656" s="25" t="inlineStr">
        <is>
          <t>Payout</t>
        </is>
      </c>
      <c r="E1656" s="13" t="inlineStr">
        <is>
          <t>FTMO Futures</t>
        </is>
      </c>
      <c r="F1656" s="13" t="inlineStr">
        <is>
          <t>#214 1 Step 150k</t>
        </is>
      </c>
      <c r="G1656" s="17" t="n">
        <v>150000</v>
      </c>
      <c r="H1656" s="17" t="n">
        <v>13500</v>
      </c>
      <c r="I1656" s="17" t="n">
        <v>10800063.15</v>
      </c>
      <c r="J1656" s="13" t="inlineStr">
        <is>
          <t>10 % × 150,000 × split 90%</t>
        </is>
      </c>
    </row>
    <row r="1657">
      <c r="A1657" s="19" t="n">
        <v>1656</v>
      </c>
      <c r="B1657" s="20" t="n">
        <v>46548</v>
      </c>
      <c r="C1657" s="21" t="n">
        <v>9</v>
      </c>
      <c r="D1657" s="25" t="inlineStr">
        <is>
          <t>Payout</t>
        </is>
      </c>
      <c r="E1657" s="19" t="inlineStr">
        <is>
          <t>FTMO Futures</t>
        </is>
      </c>
      <c r="F1657" s="19" t="inlineStr">
        <is>
          <t>#215 1 Step 150k</t>
        </is>
      </c>
      <c r="G1657" s="22" t="n">
        <v>150000</v>
      </c>
      <c r="H1657" s="22" t="n">
        <v>13500</v>
      </c>
      <c r="I1657" s="22" t="n">
        <v>10813563.15</v>
      </c>
      <c r="J1657" s="19" t="inlineStr">
        <is>
          <t>10 % × 150,000 × split 90%</t>
        </is>
      </c>
    </row>
    <row r="1658">
      <c r="A1658" s="13" t="n">
        <v>1657</v>
      </c>
      <c r="B1658" s="14" t="n">
        <v>46548</v>
      </c>
      <c r="C1658" s="15" t="n">
        <v>9</v>
      </c>
      <c r="D1658" s="25" t="inlineStr">
        <is>
          <t>Payout</t>
        </is>
      </c>
      <c r="E1658" s="13" t="inlineStr">
        <is>
          <t>Halcyon Trader Funding</t>
        </is>
      </c>
      <c r="F1658" s="13" t="inlineStr">
        <is>
          <t>#216 1 Step 150k</t>
        </is>
      </c>
      <c r="G1658" s="17" t="n">
        <v>150000</v>
      </c>
      <c r="H1658" s="17" t="n">
        <v>13500</v>
      </c>
      <c r="I1658" s="17" t="n">
        <v>10827063.15</v>
      </c>
      <c r="J1658" s="13" t="inlineStr">
        <is>
          <t>10 % × 150,000 × split 90%</t>
        </is>
      </c>
    </row>
    <row r="1659">
      <c r="A1659" s="19" t="n">
        <v>1658</v>
      </c>
      <c r="B1659" s="20" t="n">
        <v>46548</v>
      </c>
      <c r="C1659" s="21" t="n">
        <v>9</v>
      </c>
      <c r="D1659" s="25" t="inlineStr">
        <is>
          <t>Payout</t>
        </is>
      </c>
      <c r="E1659" s="19" t="inlineStr">
        <is>
          <t>Halcyon Trader Funding</t>
        </is>
      </c>
      <c r="F1659" s="19" t="inlineStr">
        <is>
          <t>#217 1 Step 150k</t>
        </is>
      </c>
      <c r="G1659" s="22" t="n">
        <v>150000</v>
      </c>
      <c r="H1659" s="22" t="n">
        <v>13500</v>
      </c>
      <c r="I1659" s="22" t="n">
        <v>10840563.15</v>
      </c>
      <c r="J1659" s="19" t="inlineStr">
        <is>
          <t>10 % × 150,000 × split 90%</t>
        </is>
      </c>
    </row>
    <row r="1660">
      <c r="A1660" s="13" t="n">
        <v>1659</v>
      </c>
      <c r="B1660" s="14" t="n">
        <v>46548</v>
      </c>
      <c r="C1660" s="15" t="n">
        <v>9</v>
      </c>
      <c r="D1660" s="25" t="inlineStr">
        <is>
          <t>Payout</t>
        </is>
      </c>
      <c r="E1660" s="13" t="inlineStr">
        <is>
          <t>Halcyon Trader Funding</t>
        </is>
      </c>
      <c r="F1660" s="13" t="inlineStr">
        <is>
          <t>#218 1 Step 150k</t>
        </is>
      </c>
      <c r="G1660" s="17" t="n">
        <v>150000</v>
      </c>
      <c r="H1660" s="17" t="n">
        <v>13500</v>
      </c>
      <c r="I1660" s="17" t="n">
        <v>10854063.15</v>
      </c>
      <c r="J1660" s="13" t="inlineStr">
        <is>
          <t>10 % × 150,000 × split 90%</t>
        </is>
      </c>
    </row>
    <row r="1661">
      <c r="A1661" s="19" t="n">
        <v>1660</v>
      </c>
      <c r="B1661" s="20" t="n">
        <v>46548</v>
      </c>
      <c r="C1661" s="21" t="n">
        <v>9</v>
      </c>
      <c r="D1661" s="25" t="inlineStr">
        <is>
          <t>Payout</t>
        </is>
      </c>
      <c r="E1661" s="19" t="inlineStr">
        <is>
          <t>Astrofund</t>
        </is>
      </c>
      <c r="F1661" s="19" t="inlineStr">
        <is>
          <t>#219 1 Step 100k</t>
        </is>
      </c>
      <c r="G1661" s="22" t="n">
        <v>100000</v>
      </c>
      <c r="H1661" s="22" t="n">
        <v>9000</v>
      </c>
      <c r="I1661" s="22" t="n">
        <v>10863063.15</v>
      </c>
      <c r="J1661" s="19" t="inlineStr">
        <is>
          <t>10 % × 100,000 × split 90%</t>
        </is>
      </c>
    </row>
    <row r="1662">
      <c r="A1662" s="13" t="n">
        <v>1661</v>
      </c>
      <c r="B1662" s="14" t="n">
        <v>46548</v>
      </c>
      <c r="C1662" s="15" t="n">
        <v>9</v>
      </c>
      <c r="D1662" s="25" t="inlineStr">
        <is>
          <t>Payout</t>
        </is>
      </c>
      <c r="E1662" s="13" t="inlineStr">
        <is>
          <t>Astrofund</t>
        </is>
      </c>
      <c r="F1662" s="13" t="inlineStr">
        <is>
          <t>#220 1 Step 100k</t>
        </is>
      </c>
      <c r="G1662" s="17" t="n">
        <v>100000</v>
      </c>
      <c r="H1662" s="17" t="n">
        <v>9000</v>
      </c>
      <c r="I1662" s="17" t="n">
        <v>10872063.15</v>
      </c>
      <c r="J1662" s="13" t="inlineStr">
        <is>
          <t>10 % × 100,000 × split 90%</t>
        </is>
      </c>
    </row>
    <row r="1663">
      <c r="A1663" s="19" t="n">
        <v>1662</v>
      </c>
      <c r="B1663" s="20" t="n">
        <v>46548</v>
      </c>
      <c r="C1663" s="21" t="n">
        <v>9</v>
      </c>
      <c r="D1663" s="25" t="inlineStr">
        <is>
          <t>Payout</t>
        </is>
      </c>
      <c r="E1663" s="19" t="inlineStr">
        <is>
          <t>Astrofund</t>
        </is>
      </c>
      <c r="F1663" s="19" t="inlineStr">
        <is>
          <t>#221 1 Step 100k</t>
        </is>
      </c>
      <c r="G1663" s="22" t="n">
        <v>100000</v>
      </c>
      <c r="H1663" s="22" t="n">
        <v>9000</v>
      </c>
      <c r="I1663" s="22" t="n">
        <v>10881063.15</v>
      </c>
      <c r="J1663" s="19" t="inlineStr">
        <is>
          <t>10 % × 100,000 × split 90%</t>
        </is>
      </c>
    </row>
    <row r="1664">
      <c r="A1664" s="13" t="n">
        <v>1663</v>
      </c>
      <c r="B1664" s="14" t="n">
        <v>46548</v>
      </c>
      <c r="C1664" s="15" t="n">
        <v>9</v>
      </c>
      <c r="D1664" s="25" t="inlineStr">
        <is>
          <t>Payout</t>
        </is>
      </c>
      <c r="E1664" s="13" t="inlineStr">
        <is>
          <t>Astrofund</t>
        </is>
      </c>
      <c r="F1664" s="13" t="inlineStr">
        <is>
          <t>#222 1 Step 100k</t>
        </is>
      </c>
      <c r="G1664" s="17" t="n">
        <v>100000</v>
      </c>
      <c r="H1664" s="17" t="n">
        <v>9000</v>
      </c>
      <c r="I1664" s="17" t="n">
        <v>10890063.15</v>
      </c>
      <c r="J1664" s="13" t="inlineStr">
        <is>
          <t>10 % × 100,000 × split 90%</t>
        </is>
      </c>
    </row>
    <row r="1665">
      <c r="A1665" s="19" t="n">
        <v>1664</v>
      </c>
      <c r="B1665" s="20" t="n">
        <v>46548</v>
      </c>
      <c r="C1665" s="21" t="n">
        <v>9</v>
      </c>
      <c r="D1665" s="25" t="inlineStr">
        <is>
          <t>Payout</t>
        </is>
      </c>
      <c r="E1665" s="19" t="inlineStr">
        <is>
          <t>BrightFunded</t>
        </is>
      </c>
      <c r="F1665" s="19" t="inlineStr">
        <is>
          <t>#223 1 Step 200k</t>
        </is>
      </c>
      <c r="G1665" s="22" t="n">
        <v>200000</v>
      </c>
      <c r="H1665" s="22" t="n">
        <v>20000</v>
      </c>
      <c r="I1665" s="22" t="n">
        <v>10910063.15</v>
      </c>
      <c r="J1665" s="19" t="inlineStr">
        <is>
          <t>10 % × 200,000 × split 100%</t>
        </is>
      </c>
    </row>
    <row r="1666">
      <c r="A1666" s="13" t="n">
        <v>1665</v>
      </c>
      <c r="B1666" s="14" t="n">
        <v>46548</v>
      </c>
      <c r="C1666" s="15" t="n">
        <v>9</v>
      </c>
      <c r="D1666" s="25" t="inlineStr">
        <is>
          <t>Payout</t>
        </is>
      </c>
      <c r="E1666" s="13" t="inlineStr">
        <is>
          <t>BrightFunded</t>
        </is>
      </c>
      <c r="F1666" s="13" t="inlineStr">
        <is>
          <t>#224 1 Step 200k</t>
        </is>
      </c>
      <c r="G1666" s="17" t="n">
        <v>200000</v>
      </c>
      <c r="H1666" s="17" t="n">
        <v>20000</v>
      </c>
      <c r="I1666" s="17" t="n">
        <v>10930063.15</v>
      </c>
      <c r="J1666" s="13" t="inlineStr">
        <is>
          <t>10 % × 200,000 × split 100%</t>
        </is>
      </c>
    </row>
    <row r="1667">
      <c r="A1667" s="19" t="n">
        <v>1666</v>
      </c>
      <c r="B1667" s="20" t="n">
        <v>46548</v>
      </c>
      <c r="C1667" s="21" t="n">
        <v>9</v>
      </c>
      <c r="D1667" s="25" t="inlineStr">
        <is>
          <t>Payout</t>
        </is>
      </c>
      <c r="E1667" s="19" t="inlineStr">
        <is>
          <t>FTMO</t>
        </is>
      </c>
      <c r="F1667" s="19" t="inlineStr">
        <is>
          <t>#227 1 Step 200k</t>
        </is>
      </c>
      <c r="G1667" s="22" t="n">
        <v>200000</v>
      </c>
      <c r="H1667" s="22" t="n">
        <v>16000</v>
      </c>
      <c r="I1667" s="22" t="n">
        <v>10946063.15</v>
      </c>
      <c r="J1667" s="19" t="inlineStr">
        <is>
          <t>10 % × 200,000 × split 80%</t>
        </is>
      </c>
    </row>
    <row r="1668">
      <c r="A1668" s="13" t="n">
        <v>1667</v>
      </c>
      <c r="B1668" s="14" t="n">
        <v>46548</v>
      </c>
      <c r="C1668" s="15" t="n">
        <v>9</v>
      </c>
      <c r="D1668" s="25" t="inlineStr">
        <is>
          <t>Payout</t>
        </is>
      </c>
      <c r="E1668" s="13" t="inlineStr">
        <is>
          <t>FTMO</t>
        </is>
      </c>
      <c r="F1668" s="13" t="inlineStr">
        <is>
          <t>#228 1 Step 200k</t>
        </is>
      </c>
      <c r="G1668" s="17" t="n">
        <v>200000</v>
      </c>
      <c r="H1668" s="17" t="n">
        <v>16000</v>
      </c>
      <c r="I1668" s="17" t="n">
        <v>10962063.15</v>
      </c>
      <c r="J1668" s="13" t="inlineStr">
        <is>
          <t>10 % × 200,000 × split 80%</t>
        </is>
      </c>
    </row>
    <row r="1669">
      <c r="A1669" s="19" t="n">
        <v>1668</v>
      </c>
      <c r="B1669" s="20" t="n">
        <v>46548</v>
      </c>
      <c r="C1669" s="21" t="n">
        <v>9</v>
      </c>
      <c r="D1669" s="25" t="inlineStr">
        <is>
          <t>Payout</t>
        </is>
      </c>
      <c r="E1669" s="19" t="inlineStr">
        <is>
          <t>Funded X</t>
        </is>
      </c>
      <c r="F1669" s="19" t="inlineStr">
        <is>
          <t>#229 1 Step 200k</t>
        </is>
      </c>
      <c r="G1669" s="22" t="n">
        <v>200000</v>
      </c>
      <c r="H1669" s="22" t="n">
        <v>20000</v>
      </c>
      <c r="I1669" s="22" t="n">
        <v>10982063.15</v>
      </c>
      <c r="J1669" s="19" t="inlineStr">
        <is>
          <t>10 % × 200,000 × split 100%</t>
        </is>
      </c>
    </row>
    <row r="1670">
      <c r="A1670" s="13" t="n">
        <v>1669</v>
      </c>
      <c r="B1670" s="14" t="n">
        <v>46548</v>
      </c>
      <c r="C1670" s="15" t="n">
        <v>9</v>
      </c>
      <c r="D1670" s="25" t="inlineStr">
        <is>
          <t>Payout</t>
        </is>
      </c>
      <c r="E1670" s="13" t="inlineStr">
        <is>
          <t>Funded X</t>
        </is>
      </c>
      <c r="F1670" s="13" t="inlineStr">
        <is>
          <t>#230 1 Step 200k</t>
        </is>
      </c>
      <c r="G1670" s="17" t="n">
        <v>200000</v>
      </c>
      <c r="H1670" s="17" t="n">
        <v>20000</v>
      </c>
      <c r="I1670" s="17" t="n">
        <v>11002063.15</v>
      </c>
      <c r="J1670" s="13" t="inlineStr">
        <is>
          <t>10 % × 200,000 × split 100%</t>
        </is>
      </c>
    </row>
    <row r="1671">
      <c r="A1671" s="19" t="n">
        <v>1670</v>
      </c>
      <c r="B1671" s="20" t="n">
        <v>46548</v>
      </c>
      <c r="C1671" s="21" t="n">
        <v>9</v>
      </c>
      <c r="D1671" s="25" t="inlineStr">
        <is>
          <t>Payout</t>
        </is>
      </c>
      <c r="E1671" s="19" t="inlineStr">
        <is>
          <t>Hantec Trader</t>
        </is>
      </c>
      <c r="F1671" s="19" t="inlineStr">
        <is>
          <t>#231 3 Step 200k</t>
        </is>
      </c>
      <c r="G1671" s="22" t="n">
        <v>200000</v>
      </c>
      <c r="H1671" s="22" t="n">
        <v>19000</v>
      </c>
      <c r="I1671" s="22" t="n">
        <v>11021063.15</v>
      </c>
      <c r="J1671" s="19" t="inlineStr">
        <is>
          <t>10 % × 200,000 × split 95%</t>
        </is>
      </c>
    </row>
    <row r="1672">
      <c r="A1672" s="13" t="n">
        <v>1671</v>
      </c>
      <c r="B1672" s="14" t="n">
        <v>46548</v>
      </c>
      <c r="C1672" s="15" t="n">
        <v>9</v>
      </c>
      <c r="D1672" s="25" t="inlineStr">
        <is>
          <t>Payout</t>
        </is>
      </c>
      <c r="E1672" s="13" t="inlineStr">
        <is>
          <t>LifeUp Trading</t>
        </is>
      </c>
      <c r="F1672" s="13" t="inlineStr">
        <is>
          <t>#232 1 Step 150k</t>
        </is>
      </c>
      <c r="G1672" s="17" t="n">
        <v>150000</v>
      </c>
      <c r="H1672" s="17" t="n">
        <v>12000</v>
      </c>
      <c r="I1672" s="17" t="n">
        <v>11033063.15</v>
      </c>
      <c r="J1672" s="13" t="inlineStr">
        <is>
          <t>10 % × 150,000 × split 80%</t>
        </is>
      </c>
    </row>
    <row r="1673">
      <c r="A1673" s="19" t="n">
        <v>1672</v>
      </c>
      <c r="B1673" s="20" t="n">
        <v>46548</v>
      </c>
      <c r="C1673" s="21" t="n">
        <v>9</v>
      </c>
      <c r="D1673" s="25" t="inlineStr">
        <is>
          <t>Payout</t>
        </is>
      </c>
      <c r="E1673" s="19" t="inlineStr">
        <is>
          <t>LifeUp Trading</t>
        </is>
      </c>
      <c r="F1673" s="19" t="inlineStr">
        <is>
          <t>#233 1 Step 150k</t>
        </is>
      </c>
      <c r="G1673" s="22" t="n">
        <v>150000</v>
      </c>
      <c r="H1673" s="22" t="n">
        <v>12000</v>
      </c>
      <c r="I1673" s="22" t="n">
        <v>11045063.15</v>
      </c>
      <c r="J1673" s="19" t="inlineStr">
        <is>
          <t>10 % × 150,000 × split 80%</t>
        </is>
      </c>
    </row>
    <row r="1674">
      <c r="A1674" s="13" t="n">
        <v>1673</v>
      </c>
      <c r="B1674" s="14" t="n">
        <v>46548</v>
      </c>
      <c r="C1674" s="15" t="n">
        <v>9</v>
      </c>
      <c r="D1674" s="25" t="inlineStr">
        <is>
          <t>Payout</t>
        </is>
      </c>
      <c r="E1674" s="13" t="inlineStr">
        <is>
          <t>LifeUp Trading</t>
        </is>
      </c>
      <c r="F1674" s="13" t="inlineStr">
        <is>
          <t>#234 1 Step 150k</t>
        </is>
      </c>
      <c r="G1674" s="17" t="n">
        <v>150000</v>
      </c>
      <c r="H1674" s="17" t="n">
        <v>12000</v>
      </c>
      <c r="I1674" s="17" t="n">
        <v>11057063.15</v>
      </c>
      <c r="J1674" s="13" t="inlineStr">
        <is>
          <t>10 % × 150,000 × split 80%</t>
        </is>
      </c>
    </row>
    <row r="1675">
      <c r="A1675" s="19" t="n">
        <v>1674</v>
      </c>
      <c r="B1675" s="20" t="n">
        <v>46548</v>
      </c>
      <c r="C1675" s="21" t="n">
        <v>9</v>
      </c>
      <c r="D1675" s="25" t="inlineStr">
        <is>
          <t>Payout</t>
        </is>
      </c>
      <c r="E1675" s="19" t="inlineStr">
        <is>
          <t>LifeUp Trading</t>
        </is>
      </c>
      <c r="F1675" s="19" t="inlineStr">
        <is>
          <t>#235 1 Step 150k</t>
        </is>
      </c>
      <c r="G1675" s="22" t="n">
        <v>150000</v>
      </c>
      <c r="H1675" s="22" t="n">
        <v>12000</v>
      </c>
      <c r="I1675" s="22" t="n">
        <v>11069063.15</v>
      </c>
      <c r="J1675" s="19" t="inlineStr">
        <is>
          <t>10 % × 150,000 × split 80%</t>
        </is>
      </c>
    </row>
    <row r="1676">
      <c r="A1676" s="13" t="n">
        <v>1675</v>
      </c>
      <c r="B1676" s="14" t="n">
        <v>46548</v>
      </c>
      <c r="C1676" s="15" t="n">
        <v>9</v>
      </c>
      <c r="D1676" s="25" t="inlineStr">
        <is>
          <t>Payout</t>
        </is>
      </c>
      <c r="E1676" s="13" t="inlineStr">
        <is>
          <t>Get Funded Now</t>
        </is>
      </c>
      <c r="F1676" s="13" t="inlineStr">
        <is>
          <t>#239 1 Step 200k</t>
        </is>
      </c>
      <c r="G1676" s="17" t="n">
        <v>200000</v>
      </c>
      <c r="H1676" s="17" t="n">
        <v>16000</v>
      </c>
      <c r="I1676" s="17" t="n">
        <v>11085063.15</v>
      </c>
      <c r="J1676" s="13" t="inlineStr">
        <is>
          <t>10 % × 200,000 × split 80%</t>
        </is>
      </c>
    </row>
    <row r="1677">
      <c r="A1677" s="19" t="n">
        <v>1676</v>
      </c>
      <c r="B1677" s="20" t="n">
        <v>46548</v>
      </c>
      <c r="C1677" s="21" t="n">
        <v>9</v>
      </c>
      <c r="D1677" s="25" t="inlineStr">
        <is>
          <t>Payout</t>
        </is>
      </c>
      <c r="E1677" s="19" t="inlineStr">
        <is>
          <t>Get Funded Now</t>
        </is>
      </c>
      <c r="F1677" s="19" t="inlineStr">
        <is>
          <t>#240 1 Step 200k</t>
        </is>
      </c>
      <c r="G1677" s="22" t="n">
        <v>200000</v>
      </c>
      <c r="H1677" s="22" t="n">
        <v>16000</v>
      </c>
      <c r="I1677" s="22" t="n">
        <v>11101063.15</v>
      </c>
      <c r="J1677" s="19" t="inlineStr">
        <is>
          <t>10 % × 200,000 × split 80%</t>
        </is>
      </c>
    </row>
    <row r="1678">
      <c r="A1678" s="13" t="n">
        <v>1677</v>
      </c>
      <c r="B1678" s="14" t="n">
        <v>46548</v>
      </c>
      <c r="C1678" s="15" t="n">
        <v>9</v>
      </c>
      <c r="D1678" s="25" t="inlineStr">
        <is>
          <t>Payout</t>
        </is>
      </c>
      <c r="E1678" s="13" t="inlineStr">
        <is>
          <t>FOREXIVE</t>
        </is>
      </c>
      <c r="F1678" s="13" t="inlineStr">
        <is>
          <t>#246 2 Step 200k</t>
        </is>
      </c>
      <c r="G1678" s="17" t="n">
        <v>200000</v>
      </c>
      <c r="H1678" s="17" t="n">
        <v>16000</v>
      </c>
      <c r="I1678" s="17" t="n">
        <v>11117063.15</v>
      </c>
      <c r="J1678" s="13" t="inlineStr">
        <is>
          <t>10 % × 200,000 × split 80%</t>
        </is>
      </c>
    </row>
    <row r="1679">
      <c r="A1679" s="19" t="n">
        <v>1678</v>
      </c>
      <c r="B1679" s="20" t="n">
        <v>46548</v>
      </c>
      <c r="C1679" s="21" t="n">
        <v>9</v>
      </c>
      <c r="D1679" s="25" t="inlineStr">
        <is>
          <t>Payout</t>
        </is>
      </c>
      <c r="E1679" s="19" t="inlineStr">
        <is>
          <t>Breakout</t>
        </is>
      </c>
      <c r="F1679" s="19" t="inlineStr">
        <is>
          <t>#249 1 Step 200k</t>
        </is>
      </c>
      <c r="G1679" s="22" t="n">
        <v>200000</v>
      </c>
      <c r="H1679" s="22" t="n">
        <v>16000</v>
      </c>
      <c r="I1679" s="22" t="n">
        <v>11133063.15</v>
      </c>
      <c r="J1679" s="19" t="inlineStr">
        <is>
          <t>10 % × 200,000 × split 80%</t>
        </is>
      </c>
    </row>
    <row r="1680">
      <c r="A1680" s="13" t="n">
        <v>1679</v>
      </c>
      <c r="B1680" s="14" t="n">
        <v>46548</v>
      </c>
      <c r="C1680" s="15" t="n">
        <v>9</v>
      </c>
      <c r="D1680" s="25" t="inlineStr">
        <is>
          <t>Payout</t>
        </is>
      </c>
      <c r="E1680" s="13" t="inlineStr">
        <is>
          <t>HyroTrader</t>
        </is>
      </c>
      <c r="F1680" s="13" t="inlineStr">
        <is>
          <t>#254 1 Step 200k</t>
        </is>
      </c>
      <c r="G1680" s="17" t="n">
        <v>200000</v>
      </c>
      <c r="H1680" s="17" t="n">
        <v>16000</v>
      </c>
      <c r="I1680" s="17" t="n">
        <v>11149063.15</v>
      </c>
      <c r="J1680" s="13" t="inlineStr">
        <is>
          <t>10 % × 200,000 × split 80%</t>
        </is>
      </c>
    </row>
    <row r="1681">
      <c r="A1681" s="19" t="n">
        <v>1680</v>
      </c>
      <c r="B1681" s="20" t="n">
        <v>46548</v>
      </c>
      <c r="C1681" s="21" t="n">
        <v>9</v>
      </c>
      <c r="D1681" s="25" t="inlineStr">
        <is>
          <t>Payout</t>
        </is>
      </c>
      <c r="E1681" s="19" t="inlineStr">
        <is>
          <t>Tradersyard</t>
        </is>
      </c>
      <c r="F1681" s="19" t="inlineStr">
        <is>
          <t>#256 1 Step 150k</t>
        </is>
      </c>
      <c r="G1681" s="22" t="n">
        <v>150000</v>
      </c>
      <c r="H1681" s="22" t="n">
        <v>15000</v>
      </c>
      <c r="I1681" s="22" t="n">
        <v>11164063.15</v>
      </c>
      <c r="J1681" s="19" t="inlineStr">
        <is>
          <t>10 % × 150,000 × split 100%</t>
        </is>
      </c>
    </row>
    <row r="1682">
      <c r="A1682" s="13" t="n">
        <v>1681</v>
      </c>
      <c r="B1682" s="14" t="n">
        <v>46548</v>
      </c>
      <c r="C1682" s="15" t="n">
        <v>9</v>
      </c>
      <c r="D1682" s="25" t="inlineStr">
        <is>
          <t>Payout</t>
        </is>
      </c>
      <c r="E1682" s="13" t="inlineStr">
        <is>
          <t>Get Crypto Funded</t>
        </is>
      </c>
      <c r="F1682" s="13" t="inlineStr">
        <is>
          <t>#237 3 Step 200k</t>
        </is>
      </c>
      <c r="G1682" s="17" t="n">
        <v>200000</v>
      </c>
      <c r="H1682" s="17" t="n">
        <v>16000</v>
      </c>
      <c r="I1682" s="17" t="n">
        <v>11180063.15</v>
      </c>
      <c r="J1682" s="13" t="inlineStr">
        <is>
          <t>10 % × 200,000 × split 80%</t>
        </is>
      </c>
    </row>
    <row r="1683">
      <c r="A1683" s="19" t="n">
        <v>1682</v>
      </c>
      <c r="B1683" s="20" t="n">
        <v>46548</v>
      </c>
      <c r="C1683" s="21" t="n">
        <v>9</v>
      </c>
      <c r="D1683" s="25" t="inlineStr">
        <is>
          <t>Payout</t>
        </is>
      </c>
      <c r="E1683" s="19" t="inlineStr">
        <is>
          <t>Get Crypto Funded</t>
        </is>
      </c>
      <c r="F1683" s="19" t="inlineStr">
        <is>
          <t>#238 3 Step 200k</t>
        </is>
      </c>
      <c r="G1683" s="22" t="n">
        <v>200000</v>
      </c>
      <c r="H1683" s="22" t="n">
        <v>16000</v>
      </c>
      <c r="I1683" s="22" t="n">
        <v>11196063.15</v>
      </c>
      <c r="J1683" s="19" t="inlineStr">
        <is>
          <t>10 % × 200,000 × split 80%</t>
        </is>
      </c>
    </row>
    <row r="1684">
      <c r="A1684" s="13" t="n">
        <v>1683</v>
      </c>
      <c r="B1684" s="14" t="n">
        <v>46548</v>
      </c>
      <c r="C1684" s="15" t="n">
        <v>9</v>
      </c>
      <c r="D1684" s="25" t="inlineStr">
        <is>
          <t>Payout</t>
        </is>
      </c>
      <c r="E1684" s="13" t="inlineStr">
        <is>
          <t>Hantec Trader</t>
        </is>
      </c>
      <c r="F1684" s="13" t="inlineStr">
        <is>
          <t>#241 3 Step 200k</t>
        </is>
      </c>
      <c r="G1684" s="17" t="n">
        <v>200000</v>
      </c>
      <c r="H1684" s="17" t="n">
        <v>19000</v>
      </c>
      <c r="I1684" s="17" t="n">
        <v>11215063.15</v>
      </c>
      <c r="J1684" s="13" t="inlineStr">
        <is>
          <t>10 % × 200,000 × split 95%</t>
        </is>
      </c>
    </row>
    <row r="1685">
      <c r="A1685" s="19" t="n">
        <v>1684</v>
      </c>
      <c r="B1685" s="20" t="n">
        <v>46548</v>
      </c>
      <c r="C1685" s="21" t="n">
        <v>9</v>
      </c>
      <c r="D1685" s="25" t="inlineStr">
        <is>
          <t>Payout</t>
        </is>
      </c>
      <c r="E1685" s="19" t="inlineStr">
        <is>
          <t>LifeUp Trading</t>
        </is>
      </c>
      <c r="F1685" s="19" t="inlineStr">
        <is>
          <t>#257 1 Step 150k</t>
        </is>
      </c>
      <c r="G1685" s="22" t="n">
        <v>150000</v>
      </c>
      <c r="H1685" s="22" t="n">
        <v>12000</v>
      </c>
      <c r="I1685" s="22" t="n">
        <v>11227063.15</v>
      </c>
      <c r="J1685" s="19" t="inlineStr">
        <is>
          <t>10 % × 150,000 × split 80%</t>
        </is>
      </c>
    </row>
    <row r="1686">
      <c r="A1686" s="13" t="n">
        <v>1685</v>
      </c>
      <c r="B1686" s="14" t="n">
        <v>46562</v>
      </c>
      <c r="C1686" s="15" t="n">
        <v>9.5</v>
      </c>
      <c r="D1686" s="25" t="inlineStr">
        <is>
          <t>Payout</t>
        </is>
      </c>
      <c r="E1686" s="13" t="inlineStr">
        <is>
          <t>BestProp4U</t>
        </is>
      </c>
      <c r="F1686" s="13" t="inlineStr">
        <is>
          <t>#149 2 Step 400k</t>
        </is>
      </c>
      <c r="G1686" s="17" t="n">
        <v>400000</v>
      </c>
      <c r="H1686" s="17" t="n">
        <v>24000</v>
      </c>
      <c r="I1686" s="17" t="n">
        <v>11251063.15</v>
      </c>
      <c r="J1686" s="13" t="inlineStr">
        <is>
          <t>10 % × 400,000 × split 60%</t>
        </is>
      </c>
    </row>
    <row r="1687">
      <c r="A1687" s="19" t="n">
        <v>1686</v>
      </c>
      <c r="B1687" s="20" t="n">
        <v>46562</v>
      </c>
      <c r="C1687" s="21" t="n">
        <v>9.5</v>
      </c>
      <c r="D1687" s="25" t="inlineStr">
        <is>
          <t>Payout</t>
        </is>
      </c>
      <c r="E1687" s="19" t="inlineStr">
        <is>
          <t>BestProp4U</t>
        </is>
      </c>
      <c r="F1687" s="19" t="inlineStr">
        <is>
          <t>#150 2 Step 400k</t>
        </is>
      </c>
      <c r="G1687" s="22" t="n">
        <v>400000</v>
      </c>
      <c r="H1687" s="22" t="n">
        <v>24000</v>
      </c>
      <c r="I1687" s="22" t="n">
        <v>11275063.15</v>
      </c>
      <c r="J1687" s="19" t="inlineStr">
        <is>
          <t>10 % × 400,000 × split 60%</t>
        </is>
      </c>
    </row>
    <row r="1688">
      <c r="A1688" s="13" t="n">
        <v>1687</v>
      </c>
      <c r="B1688" s="14" t="n">
        <v>46562</v>
      </c>
      <c r="C1688" s="15" t="n">
        <v>9.5</v>
      </c>
      <c r="D1688" s="25" t="inlineStr">
        <is>
          <t>Payout</t>
        </is>
      </c>
      <c r="E1688" s="13" t="inlineStr">
        <is>
          <t>Blink Funding</t>
        </is>
      </c>
      <c r="F1688" s="13" t="inlineStr">
        <is>
          <t>#151 3 Step 500k</t>
        </is>
      </c>
      <c r="G1688" s="17" t="n">
        <v>500000</v>
      </c>
      <c r="H1688" s="17" t="n">
        <v>37500</v>
      </c>
      <c r="I1688" s="17" t="n">
        <v>11312563.15</v>
      </c>
      <c r="J1688" s="13" t="inlineStr">
        <is>
          <t>10 % × 500,000 × split 75%</t>
        </is>
      </c>
    </row>
    <row r="1689">
      <c r="A1689" s="19" t="n">
        <v>1688</v>
      </c>
      <c r="B1689" s="20" t="n">
        <v>46562</v>
      </c>
      <c r="C1689" s="21" t="n">
        <v>9.5</v>
      </c>
      <c r="D1689" s="25" t="inlineStr">
        <is>
          <t>Payout</t>
        </is>
      </c>
      <c r="E1689" s="19" t="inlineStr">
        <is>
          <t>Blink Funding</t>
        </is>
      </c>
      <c r="F1689" s="19" t="inlineStr">
        <is>
          <t>#152 3 Step 500k</t>
        </is>
      </c>
      <c r="G1689" s="22" t="n">
        <v>500000</v>
      </c>
      <c r="H1689" s="22" t="n">
        <v>37500</v>
      </c>
      <c r="I1689" s="22" t="n">
        <v>11350063.15</v>
      </c>
      <c r="J1689" s="19" t="inlineStr">
        <is>
          <t>10 % × 500,000 × split 75%</t>
        </is>
      </c>
    </row>
    <row r="1690">
      <c r="A1690" s="13" t="n">
        <v>1689</v>
      </c>
      <c r="B1690" s="14" t="n">
        <v>46562</v>
      </c>
      <c r="C1690" s="15" t="n">
        <v>9.5</v>
      </c>
      <c r="D1690" s="25" t="inlineStr">
        <is>
          <t>Payout</t>
        </is>
      </c>
      <c r="E1690" s="13" t="inlineStr">
        <is>
          <t>Investiqa</t>
        </is>
      </c>
      <c r="F1690" s="13" t="inlineStr">
        <is>
          <t>#162 2 Step 500k</t>
        </is>
      </c>
      <c r="G1690" s="17" t="n">
        <v>500000</v>
      </c>
      <c r="H1690" s="17" t="n">
        <v>40000</v>
      </c>
      <c r="I1690" s="17" t="n">
        <v>11390063.15</v>
      </c>
      <c r="J1690" s="13" t="inlineStr">
        <is>
          <t>10 % × 500,000 × split 80%</t>
        </is>
      </c>
    </row>
    <row r="1691">
      <c r="A1691" s="19" t="n">
        <v>1690</v>
      </c>
      <c r="B1691" s="20" t="n">
        <v>46562</v>
      </c>
      <c r="C1691" s="21" t="n">
        <v>9.5</v>
      </c>
      <c r="D1691" s="25" t="inlineStr">
        <is>
          <t>Payout</t>
        </is>
      </c>
      <c r="E1691" s="19" t="inlineStr">
        <is>
          <t>Investiqa</t>
        </is>
      </c>
      <c r="F1691" s="19" t="inlineStr">
        <is>
          <t>#163 2 Step 500k</t>
        </is>
      </c>
      <c r="G1691" s="22" t="n">
        <v>500000</v>
      </c>
      <c r="H1691" s="22" t="n">
        <v>40000</v>
      </c>
      <c r="I1691" s="22" t="n">
        <v>11430063.15</v>
      </c>
      <c r="J1691" s="19" t="inlineStr">
        <is>
          <t>10 % × 500,000 × split 80%</t>
        </is>
      </c>
    </row>
    <row r="1692">
      <c r="A1692" s="13" t="n">
        <v>1691</v>
      </c>
      <c r="B1692" s="14" t="n">
        <v>46562</v>
      </c>
      <c r="C1692" s="15" t="n">
        <v>9.5</v>
      </c>
      <c r="D1692" s="25" t="inlineStr">
        <is>
          <t>Payout</t>
        </is>
      </c>
      <c r="E1692" s="13" t="inlineStr">
        <is>
          <t>FXIFY</t>
        </is>
      </c>
      <c r="F1692" s="13" t="inlineStr">
        <is>
          <t>#166 3 Step 400k</t>
        </is>
      </c>
      <c r="G1692" s="17" t="n">
        <v>400000</v>
      </c>
      <c r="H1692" s="17" t="n">
        <v>36000</v>
      </c>
      <c r="I1692" s="17" t="n">
        <v>11466063.15</v>
      </c>
      <c r="J1692" s="13" t="inlineStr">
        <is>
          <t>10 % × 400,000 × split 90%</t>
        </is>
      </c>
    </row>
    <row r="1693">
      <c r="A1693" s="19" t="n">
        <v>1692</v>
      </c>
      <c r="B1693" s="20" t="n">
        <v>46562</v>
      </c>
      <c r="C1693" s="21" t="n">
        <v>9.5</v>
      </c>
      <c r="D1693" s="25" t="inlineStr">
        <is>
          <t>Payout</t>
        </is>
      </c>
      <c r="E1693" s="19" t="inlineStr">
        <is>
          <t>FXIFY</t>
        </is>
      </c>
      <c r="F1693" s="19" t="inlineStr">
        <is>
          <t>#167 3 Step 400k</t>
        </is>
      </c>
      <c r="G1693" s="22" t="n">
        <v>400000</v>
      </c>
      <c r="H1693" s="22" t="n">
        <v>36000</v>
      </c>
      <c r="I1693" s="22" t="n">
        <v>11502063.15</v>
      </c>
      <c r="J1693" s="19" t="inlineStr">
        <is>
          <t>10 % × 400,000 × split 90%</t>
        </is>
      </c>
    </row>
    <row r="1694">
      <c r="A1694" s="13" t="n">
        <v>1693</v>
      </c>
      <c r="B1694" s="14" t="n">
        <v>46562</v>
      </c>
      <c r="C1694" s="15" t="n">
        <v>9.5</v>
      </c>
      <c r="D1694" s="25" t="inlineStr">
        <is>
          <t>Payout</t>
        </is>
      </c>
      <c r="E1694" s="13" t="inlineStr">
        <is>
          <t>Funded Squad</t>
        </is>
      </c>
      <c r="F1694" s="13" t="inlineStr">
        <is>
          <t>#168 2 Step 200k</t>
        </is>
      </c>
      <c r="G1694" s="17" t="n">
        <v>200000</v>
      </c>
      <c r="H1694" s="17" t="n">
        <v>20000</v>
      </c>
      <c r="I1694" s="17" t="n">
        <v>11522063.15</v>
      </c>
      <c r="J1694" s="13" t="inlineStr">
        <is>
          <t>10 % × 200,000 × split 100%</t>
        </is>
      </c>
    </row>
    <row r="1695">
      <c r="A1695" s="19" t="n">
        <v>1694</v>
      </c>
      <c r="B1695" s="20" t="n">
        <v>46562</v>
      </c>
      <c r="C1695" s="21" t="n">
        <v>9.5</v>
      </c>
      <c r="D1695" s="25" t="inlineStr">
        <is>
          <t>Payout</t>
        </is>
      </c>
      <c r="E1695" s="19" t="inlineStr">
        <is>
          <t>Funded Squad</t>
        </is>
      </c>
      <c r="F1695" s="19" t="inlineStr">
        <is>
          <t>#169 2 Step 200k</t>
        </is>
      </c>
      <c r="G1695" s="22" t="n">
        <v>200000</v>
      </c>
      <c r="H1695" s="22" t="n">
        <v>20000</v>
      </c>
      <c r="I1695" s="22" t="n">
        <v>11542063.15</v>
      </c>
      <c r="J1695" s="19" t="inlineStr">
        <is>
          <t>10 % × 200,000 × split 100%</t>
        </is>
      </c>
    </row>
    <row r="1696">
      <c r="A1696" s="13" t="n">
        <v>1695</v>
      </c>
      <c r="B1696" s="14" t="n">
        <v>46562</v>
      </c>
      <c r="C1696" s="15" t="n">
        <v>9.5</v>
      </c>
      <c r="D1696" s="25" t="inlineStr">
        <is>
          <t>Payout</t>
        </is>
      </c>
      <c r="E1696" s="13" t="inlineStr">
        <is>
          <t>Funded Squad</t>
        </is>
      </c>
      <c r="F1696" s="13" t="inlineStr">
        <is>
          <t>#170 2 Step 200k</t>
        </is>
      </c>
      <c r="G1696" s="17" t="n">
        <v>200000</v>
      </c>
      <c r="H1696" s="17" t="n">
        <v>20000</v>
      </c>
      <c r="I1696" s="17" t="n">
        <v>11562063.15</v>
      </c>
      <c r="J1696" s="13" t="inlineStr">
        <is>
          <t>10 % × 200,000 × split 100%</t>
        </is>
      </c>
    </row>
    <row r="1697">
      <c r="A1697" s="19" t="n">
        <v>1696</v>
      </c>
      <c r="B1697" s="20" t="n">
        <v>46562</v>
      </c>
      <c r="C1697" s="21" t="n">
        <v>9.5</v>
      </c>
      <c r="D1697" s="25" t="inlineStr">
        <is>
          <t>Payout</t>
        </is>
      </c>
      <c r="E1697" s="19" t="inlineStr">
        <is>
          <t>Funded Squad</t>
        </is>
      </c>
      <c r="F1697" s="19" t="inlineStr">
        <is>
          <t>#171 2 Step 200k</t>
        </is>
      </c>
      <c r="G1697" s="22" t="n">
        <v>200000</v>
      </c>
      <c r="H1697" s="22" t="n">
        <v>20000</v>
      </c>
      <c r="I1697" s="22" t="n">
        <v>11582063.15</v>
      </c>
      <c r="J1697" s="19" t="inlineStr">
        <is>
          <t>10 % × 200,000 × split 100%</t>
        </is>
      </c>
    </row>
    <row r="1698">
      <c r="A1698" s="13" t="n">
        <v>1697</v>
      </c>
      <c r="B1698" s="14" t="n">
        <v>46562</v>
      </c>
      <c r="C1698" s="15" t="n">
        <v>9.5</v>
      </c>
      <c r="D1698" s="25" t="inlineStr">
        <is>
          <t>Payout</t>
        </is>
      </c>
      <c r="E1698" s="13" t="inlineStr">
        <is>
          <t>Fintokei</t>
        </is>
      </c>
      <c r="F1698" s="13" t="inlineStr">
        <is>
          <t>#189 3 Step 100k</t>
        </is>
      </c>
      <c r="G1698" s="17" t="n">
        <v>100000</v>
      </c>
      <c r="H1698" s="17" t="n">
        <v>10000</v>
      </c>
      <c r="I1698" s="17" t="n">
        <v>11592063.15</v>
      </c>
      <c r="J1698" s="13" t="inlineStr">
        <is>
          <t>10 % × 100,000 × split 100%</t>
        </is>
      </c>
    </row>
    <row r="1699">
      <c r="A1699" s="19" t="n">
        <v>1698</v>
      </c>
      <c r="B1699" s="20" t="n">
        <v>46562</v>
      </c>
      <c r="C1699" s="21" t="n">
        <v>9.5</v>
      </c>
      <c r="D1699" s="25" t="inlineStr">
        <is>
          <t>Payout</t>
        </is>
      </c>
      <c r="E1699" s="19" t="inlineStr">
        <is>
          <t>Fintokei</t>
        </is>
      </c>
      <c r="F1699" s="19" t="inlineStr">
        <is>
          <t>#190 3 Step 100k</t>
        </is>
      </c>
      <c r="G1699" s="22" t="n">
        <v>100000</v>
      </c>
      <c r="H1699" s="22" t="n">
        <v>10000</v>
      </c>
      <c r="I1699" s="22" t="n">
        <v>11602063.15</v>
      </c>
      <c r="J1699" s="19" t="inlineStr">
        <is>
          <t>10 % × 100,000 × split 100%</t>
        </is>
      </c>
    </row>
    <row r="1700">
      <c r="A1700" s="13" t="n">
        <v>1699</v>
      </c>
      <c r="B1700" s="14" t="n">
        <v>46562</v>
      </c>
      <c r="C1700" s="15" t="n">
        <v>9.5</v>
      </c>
      <c r="D1700" s="25" t="inlineStr">
        <is>
          <t>Payout</t>
        </is>
      </c>
      <c r="E1700" s="13" t="inlineStr">
        <is>
          <t>Fintokei</t>
        </is>
      </c>
      <c r="F1700" s="13" t="inlineStr">
        <is>
          <t>#191 3 Step 100k</t>
        </is>
      </c>
      <c r="G1700" s="17" t="n">
        <v>100000</v>
      </c>
      <c r="H1700" s="17" t="n">
        <v>10000</v>
      </c>
      <c r="I1700" s="17" t="n">
        <v>11612063.15</v>
      </c>
      <c r="J1700" s="13" t="inlineStr">
        <is>
          <t>10 % × 100,000 × split 100%</t>
        </is>
      </c>
    </row>
    <row r="1701">
      <c r="A1701" s="19" t="n">
        <v>1700</v>
      </c>
      <c r="B1701" s="20" t="n">
        <v>46562</v>
      </c>
      <c r="C1701" s="21" t="n">
        <v>9.5</v>
      </c>
      <c r="D1701" s="25" t="inlineStr">
        <is>
          <t>Payout</t>
        </is>
      </c>
      <c r="E1701" s="19" t="inlineStr">
        <is>
          <t>Fintokei</t>
        </is>
      </c>
      <c r="F1701" s="19" t="inlineStr">
        <is>
          <t>#192 3 Step 100k</t>
        </is>
      </c>
      <c r="G1701" s="22" t="n">
        <v>100000</v>
      </c>
      <c r="H1701" s="22" t="n">
        <v>10000</v>
      </c>
      <c r="I1701" s="22" t="n">
        <v>11622063.15</v>
      </c>
      <c r="J1701" s="19" t="inlineStr">
        <is>
          <t>10 % × 100,000 × split 100%</t>
        </is>
      </c>
    </row>
    <row r="1702">
      <c r="A1702" s="13" t="n">
        <v>1701</v>
      </c>
      <c r="B1702" s="14" t="n">
        <v>46562</v>
      </c>
      <c r="C1702" s="15" t="n">
        <v>9.5</v>
      </c>
      <c r="D1702" s="25" t="inlineStr">
        <is>
          <t>Payout</t>
        </is>
      </c>
      <c r="E1702" s="13" t="inlineStr">
        <is>
          <t>Fintokei</t>
        </is>
      </c>
      <c r="F1702" s="13" t="inlineStr">
        <is>
          <t>#193 3 Step 100k</t>
        </is>
      </c>
      <c r="G1702" s="17" t="n">
        <v>100000</v>
      </c>
      <c r="H1702" s="17" t="n">
        <v>10000</v>
      </c>
      <c r="I1702" s="17" t="n">
        <v>11632063.15</v>
      </c>
      <c r="J1702" s="13" t="inlineStr">
        <is>
          <t>10 % × 100,000 × split 100%</t>
        </is>
      </c>
    </row>
    <row r="1703">
      <c r="A1703" s="19" t="n">
        <v>1702</v>
      </c>
      <c r="B1703" s="20" t="n">
        <v>46562</v>
      </c>
      <c r="C1703" s="21" t="n">
        <v>9.5</v>
      </c>
      <c r="D1703" s="25" t="inlineStr">
        <is>
          <t>Payout</t>
        </is>
      </c>
      <c r="E1703" s="19" t="inlineStr">
        <is>
          <t>Fintokei</t>
        </is>
      </c>
      <c r="F1703" s="19" t="inlineStr">
        <is>
          <t>#194 3 Step 100k</t>
        </is>
      </c>
      <c r="G1703" s="22" t="n">
        <v>100000</v>
      </c>
      <c r="H1703" s="22" t="n">
        <v>10000</v>
      </c>
      <c r="I1703" s="22" t="n">
        <v>11642063.15</v>
      </c>
      <c r="J1703" s="19" t="inlineStr">
        <is>
          <t>10 % × 100,000 × split 100%</t>
        </is>
      </c>
    </row>
    <row r="1704">
      <c r="A1704" s="13" t="n">
        <v>1703</v>
      </c>
      <c r="B1704" s="14" t="n">
        <v>46562</v>
      </c>
      <c r="C1704" s="15" t="n">
        <v>9.5</v>
      </c>
      <c r="D1704" s="25" t="inlineStr">
        <is>
          <t>Payout</t>
        </is>
      </c>
      <c r="E1704" s="13" t="inlineStr">
        <is>
          <t>Fintokei</t>
        </is>
      </c>
      <c r="F1704" s="13" t="inlineStr">
        <is>
          <t>#195 3 Step 100k</t>
        </is>
      </c>
      <c r="G1704" s="17" t="n">
        <v>100000</v>
      </c>
      <c r="H1704" s="17" t="n">
        <v>10000</v>
      </c>
      <c r="I1704" s="17" t="n">
        <v>11652063.15</v>
      </c>
      <c r="J1704" s="13" t="inlineStr">
        <is>
          <t>10 % × 100,000 × split 100%</t>
        </is>
      </c>
    </row>
    <row r="1705">
      <c r="A1705" s="19" t="n">
        <v>1704</v>
      </c>
      <c r="B1705" s="20" t="n">
        <v>46562</v>
      </c>
      <c r="C1705" s="21" t="n">
        <v>9.5</v>
      </c>
      <c r="D1705" s="25" t="inlineStr">
        <is>
          <t>Payout</t>
        </is>
      </c>
      <c r="E1705" s="19" t="inlineStr">
        <is>
          <t>DNA Funded</t>
        </is>
      </c>
      <c r="F1705" s="19" t="inlineStr">
        <is>
          <t>#196 2 Step 200k</t>
        </is>
      </c>
      <c r="G1705" s="22" t="n">
        <v>200000</v>
      </c>
      <c r="H1705" s="22" t="n">
        <v>18000</v>
      </c>
      <c r="I1705" s="22" t="n">
        <v>11670063.15</v>
      </c>
      <c r="J1705" s="19" t="inlineStr">
        <is>
          <t>10 % × 200,000 × split 90%</t>
        </is>
      </c>
    </row>
    <row r="1706">
      <c r="A1706" s="13" t="n">
        <v>1705</v>
      </c>
      <c r="B1706" s="14" t="n">
        <v>46562</v>
      </c>
      <c r="C1706" s="15" t="n">
        <v>9.5</v>
      </c>
      <c r="D1706" s="25" t="inlineStr">
        <is>
          <t>Payout</t>
        </is>
      </c>
      <c r="E1706" s="13" t="inlineStr">
        <is>
          <t>DNA Funded</t>
        </is>
      </c>
      <c r="F1706" s="13" t="inlineStr">
        <is>
          <t>#197 2 Step 200k</t>
        </is>
      </c>
      <c r="G1706" s="17" t="n">
        <v>200000</v>
      </c>
      <c r="H1706" s="17" t="n">
        <v>18000</v>
      </c>
      <c r="I1706" s="17" t="n">
        <v>11688063.15</v>
      </c>
      <c r="J1706" s="13" t="inlineStr">
        <is>
          <t>10 % × 200,000 × split 90%</t>
        </is>
      </c>
    </row>
    <row r="1707">
      <c r="A1707" s="19" t="n">
        <v>1706</v>
      </c>
      <c r="B1707" s="20" t="n">
        <v>46562</v>
      </c>
      <c r="C1707" s="21" t="n">
        <v>9.5</v>
      </c>
      <c r="D1707" s="25" t="inlineStr">
        <is>
          <t>Payout</t>
        </is>
      </c>
      <c r="E1707" s="19" t="inlineStr">
        <is>
          <t>DNA Funded</t>
        </is>
      </c>
      <c r="F1707" s="19" t="inlineStr">
        <is>
          <t>#198 2 Step 200k</t>
        </is>
      </c>
      <c r="G1707" s="22" t="n">
        <v>200000</v>
      </c>
      <c r="H1707" s="22" t="n">
        <v>18000</v>
      </c>
      <c r="I1707" s="22" t="n">
        <v>11706063.15</v>
      </c>
      <c r="J1707" s="19" t="inlineStr">
        <is>
          <t>10 % × 200,000 × split 90%</t>
        </is>
      </c>
    </row>
    <row r="1708">
      <c r="A1708" s="13" t="n">
        <v>1707</v>
      </c>
      <c r="B1708" s="14" t="n">
        <v>46562</v>
      </c>
      <c r="C1708" s="15" t="n">
        <v>9.5</v>
      </c>
      <c r="D1708" s="25" t="inlineStr">
        <is>
          <t>Payout</t>
        </is>
      </c>
      <c r="E1708" s="13" t="inlineStr">
        <is>
          <t>Eightcap Challenges</t>
        </is>
      </c>
      <c r="F1708" s="13" t="inlineStr">
        <is>
          <t>#199 2 Step 200k</t>
        </is>
      </c>
      <c r="G1708" s="17" t="n">
        <v>200000</v>
      </c>
      <c r="H1708" s="17" t="n">
        <v>16000</v>
      </c>
      <c r="I1708" s="17" t="n">
        <v>11722063.15</v>
      </c>
      <c r="J1708" s="13" t="inlineStr">
        <is>
          <t>10 % × 200,000 × split 80%</t>
        </is>
      </c>
    </row>
    <row r="1709">
      <c r="A1709" s="19" t="n">
        <v>1708</v>
      </c>
      <c r="B1709" s="20" t="n">
        <v>46562</v>
      </c>
      <c r="C1709" s="21" t="n">
        <v>9.5</v>
      </c>
      <c r="D1709" s="25" t="inlineStr">
        <is>
          <t>Payout</t>
        </is>
      </c>
      <c r="E1709" s="19" t="inlineStr">
        <is>
          <t>Eightcap Challenges</t>
        </is>
      </c>
      <c r="F1709" s="19" t="inlineStr">
        <is>
          <t>#200 2 Step 200k</t>
        </is>
      </c>
      <c r="G1709" s="22" t="n">
        <v>200000</v>
      </c>
      <c r="H1709" s="22" t="n">
        <v>16000</v>
      </c>
      <c r="I1709" s="22" t="n">
        <v>11738063.15</v>
      </c>
      <c r="J1709" s="19" t="inlineStr">
        <is>
          <t>10 % × 200,000 × split 80%</t>
        </is>
      </c>
    </row>
    <row r="1710">
      <c r="A1710" s="13" t="n">
        <v>1709</v>
      </c>
      <c r="B1710" s="14" t="n">
        <v>46562</v>
      </c>
      <c r="C1710" s="15" t="n">
        <v>9.5</v>
      </c>
      <c r="D1710" s="25" t="inlineStr">
        <is>
          <t>Payout</t>
        </is>
      </c>
      <c r="E1710" s="13" t="inlineStr">
        <is>
          <t>Eightcap Challenges</t>
        </is>
      </c>
      <c r="F1710" s="13" t="inlineStr">
        <is>
          <t>#201 2 Step 200k</t>
        </is>
      </c>
      <c r="G1710" s="17" t="n">
        <v>200000</v>
      </c>
      <c r="H1710" s="17" t="n">
        <v>16000</v>
      </c>
      <c r="I1710" s="17" t="n">
        <v>11754063.15</v>
      </c>
      <c r="J1710" s="13" t="inlineStr">
        <is>
          <t>10 % × 200,000 × split 80%</t>
        </is>
      </c>
    </row>
    <row r="1711">
      <c r="A1711" s="19" t="n">
        <v>1710</v>
      </c>
      <c r="B1711" s="20" t="n">
        <v>46562</v>
      </c>
      <c r="C1711" s="21" t="n">
        <v>9.5</v>
      </c>
      <c r="D1711" s="25" t="inlineStr">
        <is>
          <t>Payout</t>
        </is>
      </c>
      <c r="E1711" s="19" t="inlineStr">
        <is>
          <t>E8 Markets</t>
        </is>
      </c>
      <c r="F1711" s="19" t="inlineStr">
        <is>
          <t>#203 2 Step 150k</t>
        </is>
      </c>
      <c r="G1711" s="22" t="n">
        <v>150000</v>
      </c>
      <c r="H1711" s="22" t="n">
        <v>12000</v>
      </c>
      <c r="I1711" s="22" t="n">
        <v>11766063.15</v>
      </c>
      <c r="J1711" s="19" t="inlineStr">
        <is>
          <t>10 % × 150,000 × split 80%</t>
        </is>
      </c>
    </row>
    <row r="1712">
      <c r="A1712" s="13" t="n">
        <v>1711</v>
      </c>
      <c r="B1712" s="14" t="n">
        <v>46562</v>
      </c>
      <c r="C1712" s="15" t="n">
        <v>9.5</v>
      </c>
      <c r="D1712" s="25" t="inlineStr">
        <is>
          <t>Payout</t>
        </is>
      </c>
      <c r="E1712" s="13" t="inlineStr">
        <is>
          <t>E8 Markets</t>
        </is>
      </c>
      <c r="F1712" s="13" t="inlineStr">
        <is>
          <t>#204 2 Step 150k</t>
        </is>
      </c>
      <c r="G1712" s="17" t="n">
        <v>150000</v>
      </c>
      <c r="H1712" s="17" t="n">
        <v>12000</v>
      </c>
      <c r="I1712" s="17" t="n">
        <v>11778063.15</v>
      </c>
      <c r="J1712" s="13" t="inlineStr">
        <is>
          <t>10 % × 150,000 × split 80%</t>
        </is>
      </c>
    </row>
    <row r="1713">
      <c r="A1713" s="19" t="n">
        <v>1712</v>
      </c>
      <c r="B1713" s="20" t="n">
        <v>46562</v>
      </c>
      <c r="C1713" s="21" t="n">
        <v>9.5</v>
      </c>
      <c r="D1713" s="25" t="inlineStr">
        <is>
          <t>Payout</t>
        </is>
      </c>
      <c r="E1713" s="19" t="inlineStr">
        <is>
          <t>E8 Markets</t>
        </is>
      </c>
      <c r="F1713" s="19" t="inlineStr">
        <is>
          <t>#205 2 Step 150k</t>
        </is>
      </c>
      <c r="G1713" s="22" t="n">
        <v>150000</v>
      </c>
      <c r="H1713" s="22" t="n">
        <v>12000</v>
      </c>
      <c r="I1713" s="22" t="n">
        <v>11790063.15</v>
      </c>
      <c r="J1713" s="19" t="inlineStr">
        <is>
          <t>10 % × 150,000 × split 80%</t>
        </is>
      </c>
    </row>
    <row r="1714">
      <c r="A1714" s="13" t="n">
        <v>1713</v>
      </c>
      <c r="B1714" s="14" t="n">
        <v>46562</v>
      </c>
      <c r="C1714" s="15" t="n">
        <v>9.5</v>
      </c>
      <c r="D1714" s="25" t="inlineStr">
        <is>
          <t>Payout</t>
        </is>
      </c>
      <c r="E1714" s="13" t="inlineStr">
        <is>
          <t>IC Funded</t>
        </is>
      </c>
      <c r="F1714" s="13" t="inlineStr">
        <is>
          <t>#209 2 Step 500k</t>
        </is>
      </c>
      <c r="G1714" s="17" t="n">
        <v>500000</v>
      </c>
      <c r="H1714" s="17" t="n">
        <v>45000</v>
      </c>
      <c r="I1714" s="17" t="n">
        <v>11835063.15</v>
      </c>
      <c r="J1714" s="13" t="inlineStr">
        <is>
          <t>10 % × 500,000 × split 90%</t>
        </is>
      </c>
    </row>
    <row r="1715">
      <c r="A1715" s="19" t="n">
        <v>1714</v>
      </c>
      <c r="B1715" s="20" t="n">
        <v>46562</v>
      </c>
      <c r="C1715" s="21" t="n">
        <v>9.5</v>
      </c>
      <c r="D1715" s="25" t="inlineStr">
        <is>
          <t>Payout</t>
        </is>
      </c>
      <c r="E1715" s="19" t="inlineStr">
        <is>
          <t>Blueberry Futures</t>
        </is>
      </c>
      <c r="F1715" s="19" t="inlineStr">
        <is>
          <t>#210 1 Step 150k</t>
        </is>
      </c>
      <c r="G1715" s="22" t="n">
        <v>150000</v>
      </c>
      <c r="H1715" s="22" t="n">
        <v>13500</v>
      </c>
      <c r="I1715" s="22" t="n">
        <v>11848563.15</v>
      </c>
      <c r="J1715" s="19" t="inlineStr">
        <is>
          <t>10 % × 150,000 × split 90%</t>
        </is>
      </c>
    </row>
    <row r="1716">
      <c r="A1716" s="13" t="n">
        <v>1715</v>
      </c>
      <c r="B1716" s="14" t="n">
        <v>46562</v>
      </c>
      <c r="C1716" s="15" t="n">
        <v>9.5</v>
      </c>
      <c r="D1716" s="25" t="inlineStr">
        <is>
          <t>Payout</t>
        </is>
      </c>
      <c r="E1716" s="13" t="inlineStr">
        <is>
          <t>Blueberry Futures</t>
        </is>
      </c>
      <c r="F1716" s="13" t="inlineStr">
        <is>
          <t>#211 1 Step 150k</t>
        </is>
      </c>
      <c r="G1716" s="17" t="n">
        <v>150000</v>
      </c>
      <c r="H1716" s="17" t="n">
        <v>13500</v>
      </c>
      <c r="I1716" s="17" t="n">
        <v>11862063.15</v>
      </c>
      <c r="J1716" s="13" t="inlineStr">
        <is>
          <t>10 % × 150,000 × split 90%</t>
        </is>
      </c>
    </row>
    <row r="1717">
      <c r="A1717" s="19" t="n">
        <v>1716</v>
      </c>
      <c r="B1717" s="20" t="n">
        <v>46562</v>
      </c>
      <c r="C1717" s="21" t="n">
        <v>9.5</v>
      </c>
      <c r="D1717" s="25" t="inlineStr">
        <is>
          <t>Payout</t>
        </is>
      </c>
      <c r="E1717" s="19" t="inlineStr">
        <is>
          <t>Blueberry Futures</t>
        </is>
      </c>
      <c r="F1717" s="19" t="inlineStr">
        <is>
          <t>#212 1 Step 150k</t>
        </is>
      </c>
      <c r="G1717" s="22" t="n">
        <v>150000</v>
      </c>
      <c r="H1717" s="22" t="n">
        <v>13500</v>
      </c>
      <c r="I1717" s="22" t="n">
        <v>11875563.15</v>
      </c>
      <c r="J1717" s="19" t="inlineStr">
        <is>
          <t>10 % × 150,000 × split 90%</t>
        </is>
      </c>
    </row>
    <row r="1718">
      <c r="A1718" s="13" t="n">
        <v>1717</v>
      </c>
      <c r="B1718" s="14" t="n">
        <v>46562</v>
      </c>
      <c r="C1718" s="15" t="n">
        <v>9.5</v>
      </c>
      <c r="D1718" s="25" t="inlineStr">
        <is>
          <t>Payout</t>
        </is>
      </c>
      <c r="E1718" s="13" t="inlineStr">
        <is>
          <t>Direct Funded Trader</t>
        </is>
      </c>
      <c r="F1718" s="13" t="inlineStr">
        <is>
          <t>#225 2 Step 200k</t>
        </is>
      </c>
      <c r="G1718" s="17" t="n">
        <v>200000</v>
      </c>
      <c r="H1718" s="17" t="n">
        <v>16000</v>
      </c>
      <c r="I1718" s="17" t="n">
        <v>11891563.15</v>
      </c>
      <c r="J1718" s="13" t="inlineStr">
        <is>
          <t>10 % × 200,000 × split 80%</t>
        </is>
      </c>
    </row>
    <row r="1719">
      <c r="A1719" s="19" t="n">
        <v>1718</v>
      </c>
      <c r="B1719" s="20" t="n">
        <v>46562</v>
      </c>
      <c r="C1719" s="21" t="n">
        <v>9.5</v>
      </c>
      <c r="D1719" s="25" t="inlineStr">
        <is>
          <t>Payout</t>
        </is>
      </c>
      <c r="E1719" s="19" t="inlineStr">
        <is>
          <t>Direct Funded Trader</t>
        </is>
      </c>
      <c r="F1719" s="19" t="inlineStr">
        <is>
          <t>#226 2 Step 200k</t>
        </is>
      </c>
      <c r="G1719" s="22" t="n">
        <v>200000</v>
      </c>
      <c r="H1719" s="22" t="n">
        <v>16000</v>
      </c>
      <c r="I1719" s="22" t="n">
        <v>11907563.15</v>
      </c>
      <c r="J1719" s="19" t="inlineStr">
        <is>
          <t>10 % × 200,000 × split 80%</t>
        </is>
      </c>
    </row>
    <row r="1720">
      <c r="A1720" s="13" t="n">
        <v>1719</v>
      </c>
      <c r="B1720" s="14" t="n">
        <v>46562</v>
      </c>
      <c r="C1720" s="15" t="n">
        <v>9.5</v>
      </c>
      <c r="D1720" s="25" t="inlineStr">
        <is>
          <t>Payout</t>
        </is>
      </c>
      <c r="E1720" s="13" t="inlineStr">
        <is>
          <t>Fundora</t>
        </is>
      </c>
      <c r="F1720" s="13" t="inlineStr">
        <is>
          <t>#236 2 Step 400k</t>
        </is>
      </c>
      <c r="G1720" s="17" t="n">
        <v>400000</v>
      </c>
      <c r="H1720" s="17" t="n">
        <v>32000</v>
      </c>
      <c r="I1720" s="17" t="n">
        <v>11939563.15</v>
      </c>
      <c r="J1720" s="13" t="inlineStr">
        <is>
          <t>10 % × 400,000 × split 80%</t>
        </is>
      </c>
    </row>
    <row r="1721">
      <c r="A1721" s="19" t="n">
        <v>1720</v>
      </c>
      <c r="B1721" s="20" t="n">
        <v>46562</v>
      </c>
      <c r="C1721" s="21" t="n">
        <v>9.5</v>
      </c>
      <c r="D1721" s="25" t="inlineStr">
        <is>
          <t>Payout</t>
        </is>
      </c>
      <c r="E1721" s="19" t="inlineStr">
        <is>
          <t>Lion Heart Funding</t>
        </is>
      </c>
      <c r="F1721" s="19" t="inlineStr">
        <is>
          <t>#242 2 Step 400k</t>
        </is>
      </c>
      <c r="G1721" s="22" t="n">
        <v>400000</v>
      </c>
      <c r="H1721" s="22" t="n">
        <v>32000</v>
      </c>
      <c r="I1721" s="22" t="n">
        <v>11971563.15</v>
      </c>
      <c r="J1721" s="19" t="inlineStr">
        <is>
          <t>10 % × 400,000 × split 80%</t>
        </is>
      </c>
    </row>
    <row r="1722">
      <c r="A1722" s="13" t="n">
        <v>1721</v>
      </c>
      <c r="B1722" s="14" t="n">
        <v>46562</v>
      </c>
      <c r="C1722" s="15" t="n">
        <v>9.5</v>
      </c>
      <c r="D1722" s="25" t="inlineStr">
        <is>
          <t>Payout</t>
        </is>
      </c>
      <c r="E1722" s="13" t="inlineStr">
        <is>
          <t>FX2 Funding</t>
        </is>
      </c>
      <c r="F1722" s="13" t="inlineStr">
        <is>
          <t>#243 2 Step 100k</t>
        </is>
      </c>
      <c r="G1722" s="17" t="n">
        <v>100000</v>
      </c>
      <c r="H1722" s="17" t="n">
        <v>8000</v>
      </c>
      <c r="I1722" s="17" t="n">
        <v>11979563.15</v>
      </c>
      <c r="J1722" s="13" t="inlineStr">
        <is>
          <t>10 % × 100,000 × split 80%</t>
        </is>
      </c>
    </row>
    <row r="1723">
      <c r="A1723" s="19" t="n">
        <v>1722</v>
      </c>
      <c r="B1723" s="20" t="n">
        <v>46562</v>
      </c>
      <c r="C1723" s="21" t="n">
        <v>9.5</v>
      </c>
      <c r="D1723" s="25" t="inlineStr">
        <is>
          <t>Payout</t>
        </is>
      </c>
      <c r="E1723" s="19" t="inlineStr">
        <is>
          <t>FX2 Funding</t>
        </is>
      </c>
      <c r="F1723" s="19" t="inlineStr">
        <is>
          <t>#244 2 Step 100k</t>
        </is>
      </c>
      <c r="G1723" s="22" t="n">
        <v>100000</v>
      </c>
      <c r="H1723" s="22" t="n">
        <v>8000</v>
      </c>
      <c r="I1723" s="22" t="n">
        <v>11987563.15</v>
      </c>
      <c r="J1723" s="19" t="inlineStr">
        <is>
          <t>10 % × 100,000 × split 80%</t>
        </is>
      </c>
    </row>
    <row r="1724">
      <c r="A1724" s="13" t="n">
        <v>1723</v>
      </c>
      <c r="B1724" s="14" t="n">
        <v>46562</v>
      </c>
      <c r="C1724" s="15" t="n">
        <v>9.5</v>
      </c>
      <c r="D1724" s="25" t="inlineStr">
        <is>
          <t>Payout</t>
        </is>
      </c>
      <c r="E1724" s="13" t="inlineStr">
        <is>
          <t>FX2 Funding</t>
        </is>
      </c>
      <c r="F1724" s="13" t="inlineStr">
        <is>
          <t>#245 2 Step 100k</t>
        </is>
      </c>
      <c r="G1724" s="17" t="n">
        <v>100000</v>
      </c>
      <c r="H1724" s="17" t="n">
        <v>8000</v>
      </c>
      <c r="I1724" s="17" t="n">
        <v>11995563.15</v>
      </c>
      <c r="J1724" s="13" t="inlineStr">
        <is>
          <t>10 % × 100,000 × split 80%</t>
        </is>
      </c>
    </row>
    <row r="1725">
      <c r="A1725" s="19" t="n">
        <v>1724</v>
      </c>
      <c r="B1725" s="20" t="n">
        <v>46562</v>
      </c>
      <c r="C1725" s="21" t="n">
        <v>9.5</v>
      </c>
      <c r="D1725" s="25" t="inlineStr">
        <is>
          <t>Payout</t>
        </is>
      </c>
      <c r="E1725" s="19" t="inlineStr">
        <is>
          <t>AIFO</t>
        </is>
      </c>
      <c r="F1725" s="19" t="inlineStr">
        <is>
          <t>#247 2 Step 200k</t>
        </is>
      </c>
      <c r="G1725" s="22" t="n">
        <v>200000</v>
      </c>
      <c r="H1725" s="22" t="n">
        <v>19000</v>
      </c>
      <c r="I1725" s="22" t="n">
        <v>12014563.15</v>
      </c>
      <c r="J1725" s="19" t="inlineStr">
        <is>
          <t>10 % × 200,000 × split 95%</t>
        </is>
      </c>
    </row>
    <row r="1726">
      <c r="A1726" s="13" t="n">
        <v>1725</v>
      </c>
      <c r="B1726" s="14" t="n">
        <v>46562</v>
      </c>
      <c r="C1726" s="15" t="n">
        <v>9.5</v>
      </c>
      <c r="D1726" s="25" t="inlineStr">
        <is>
          <t>Payout</t>
        </is>
      </c>
      <c r="E1726" s="13" t="inlineStr">
        <is>
          <t>BEM Funding</t>
        </is>
      </c>
      <c r="F1726" s="13" t="inlineStr">
        <is>
          <t>#248 2 Step 100k</t>
        </is>
      </c>
      <c r="G1726" s="17" t="n">
        <v>100000</v>
      </c>
      <c r="H1726" s="17" t="n">
        <v>8000</v>
      </c>
      <c r="I1726" s="17" t="n">
        <v>12022563.15</v>
      </c>
      <c r="J1726" s="13" t="inlineStr">
        <is>
          <t>10 % × 100,000 × split 80%</t>
        </is>
      </c>
    </row>
    <row r="1727">
      <c r="A1727" s="19" t="n">
        <v>1726</v>
      </c>
      <c r="B1727" s="20" t="n">
        <v>46562</v>
      </c>
      <c r="C1727" s="21" t="n">
        <v>9.5</v>
      </c>
      <c r="D1727" s="25" t="inlineStr">
        <is>
          <t>Payout</t>
        </is>
      </c>
      <c r="E1727" s="19" t="inlineStr">
        <is>
          <t>BullRush</t>
        </is>
      </c>
      <c r="F1727" s="19" t="inlineStr">
        <is>
          <t>#250 2 Step 200k</t>
        </is>
      </c>
      <c r="G1727" s="22" t="n">
        <v>200000</v>
      </c>
      <c r="H1727" s="22" t="n">
        <v>15000</v>
      </c>
      <c r="I1727" s="22" t="n">
        <v>12037563.15</v>
      </c>
      <c r="J1727" s="19" t="inlineStr">
        <is>
          <t>10 % × 200,000 × split 75%</t>
        </is>
      </c>
    </row>
    <row r="1728">
      <c r="A1728" s="13" t="n">
        <v>1727</v>
      </c>
      <c r="B1728" s="14" t="n">
        <v>46562</v>
      </c>
      <c r="C1728" s="15" t="n">
        <v>9.5</v>
      </c>
      <c r="D1728" s="25" t="inlineStr">
        <is>
          <t>Payout</t>
        </is>
      </c>
      <c r="E1728" s="13" t="inlineStr">
        <is>
          <t>Exclusive Funded Programme</t>
        </is>
      </c>
      <c r="F1728" s="13" t="inlineStr">
        <is>
          <t>#251 2 Step 200k</t>
        </is>
      </c>
      <c r="G1728" s="17" t="n">
        <v>200000</v>
      </c>
      <c r="H1728" s="17" t="n">
        <v>16000</v>
      </c>
      <c r="I1728" s="17" t="n">
        <v>12053563.15</v>
      </c>
      <c r="J1728" s="13" t="inlineStr">
        <is>
          <t>10 % × 200,000 × split 80%</t>
        </is>
      </c>
    </row>
    <row r="1729">
      <c r="A1729" s="19" t="n">
        <v>1728</v>
      </c>
      <c r="B1729" s="20" t="n">
        <v>46562</v>
      </c>
      <c r="C1729" s="21" t="n">
        <v>9.5</v>
      </c>
      <c r="D1729" s="25" t="inlineStr">
        <is>
          <t>Payout</t>
        </is>
      </c>
      <c r="E1729" s="19" t="inlineStr">
        <is>
          <t>FunderPro</t>
        </is>
      </c>
      <c r="F1729" s="19" t="inlineStr">
        <is>
          <t>#252 1 Step 200k</t>
        </is>
      </c>
      <c r="G1729" s="22" t="n">
        <v>200000</v>
      </c>
      <c r="H1729" s="22" t="n">
        <v>16000</v>
      </c>
      <c r="I1729" s="22" t="n">
        <v>12069563.15</v>
      </c>
      <c r="J1729" s="19" t="inlineStr">
        <is>
          <t>10 % × 200,000 × split 80%</t>
        </is>
      </c>
    </row>
    <row r="1730">
      <c r="A1730" s="13" t="n">
        <v>1729</v>
      </c>
      <c r="B1730" s="14" t="n">
        <v>46562</v>
      </c>
      <c r="C1730" s="15" t="n">
        <v>9.5</v>
      </c>
      <c r="D1730" s="25" t="inlineStr">
        <is>
          <t>Payout</t>
        </is>
      </c>
      <c r="E1730" s="13" t="inlineStr">
        <is>
          <t>Funding Your Trades</t>
        </is>
      </c>
      <c r="F1730" s="13" t="inlineStr">
        <is>
          <t>#253 2 Step 100k</t>
        </is>
      </c>
      <c r="G1730" s="17" t="n">
        <v>100000</v>
      </c>
      <c r="H1730" s="17" t="n">
        <v>10000</v>
      </c>
      <c r="I1730" s="17" t="n">
        <v>12079563.15</v>
      </c>
      <c r="J1730" s="13" t="inlineStr">
        <is>
          <t>10 % × 100,000 × split 100%</t>
        </is>
      </c>
    </row>
    <row r="1731">
      <c r="A1731" s="19" t="n">
        <v>1730</v>
      </c>
      <c r="B1731" s="20" t="n">
        <v>46562</v>
      </c>
      <c r="C1731" s="21" t="n">
        <v>9.5</v>
      </c>
      <c r="D1731" s="25" t="inlineStr">
        <is>
          <t>Payout</t>
        </is>
      </c>
      <c r="E1731" s="19" t="inlineStr">
        <is>
          <t>Mubite</t>
        </is>
      </c>
      <c r="F1731" s="19" t="inlineStr">
        <is>
          <t>#255 2 Step 200k</t>
        </is>
      </c>
      <c r="G1731" s="22" t="n">
        <v>200000</v>
      </c>
      <c r="H1731" s="22" t="n">
        <v>16000</v>
      </c>
      <c r="I1731" s="22" t="n">
        <v>12095563.15</v>
      </c>
      <c r="J1731" s="19" t="inlineStr">
        <is>
          <t>10 % × 200,000 × split 80%</t>
        </is>
      </c>
    </row>
    <row r="1732">
      <c r="A1732" s="13" t="n">
        <v>1731</v>
      </c>
      <c r="B1732" s="14" t="n">
        <v>46562</v>
      </c>
      <c r="C1732" s="15" t="n">
        <v>9.5</v>
      </c>
      <c r="D1732" s="25" t="inlineStr">
        <is>
          <t>Payout</t>
        </is>
      </c>
      <c r="E1732" s="13" t="inlineStr">
        <is>
          <t>MFunded (MarketsVox)</t>
        </is>
      </c>
      <c r="F1732" s="13" t="inlineStr">
        <is>
          <t>#258 2 Step 100k</t>
        </is>
      </c>
      <c r="G1732" s="17" t="n">
        <v>100000</v>
      </c>
      <c r="H1732" s="17" t="n">
        <v>8000</v>
      </c>
      <c r="I1732" s="17" t="n">
        <v>12103563.15</v>
      </c>
      <c r="J1732" s="13" t="inlineStr">
        <is>
          <t>10 % × 100,000 × split 80%</t>
        </is>
      </c>
    </row>
    <row r="1733">
      <c r="A1733" s="19" t="n">
        <v>1732</v>
      </c>
      <c r="B1733" s="20" t="n">
        <v>46562</v>
      </c>
      <c r="C1733" s="21" t="n">
        <v>9.5</v>
      </c>
      <c r="D1733" s="25" t="inlineStr">
        <is>
          <t>Payout</t>
        </is>
      </c>
      <c r="E1733" s="19" t="inlineStr">
        <is>
          <t>Monevis</t>
        </is>
      </c>
      <c r="F1733" s="19" t="inlineStr">
        <is>
          <t>#259 3 Step 100k</t>
        </is>
      </c>
      <c r="G1733" s="22" t="n">
        <v>100000</v>
      </c>
      <c r="H1733" s="22" t="n">
        <v>8000</v>
      </c>
      <c r="I1733" s="22" t="n">
        <v>12111563.15</v>
      </c>
      <c r="J1733" s="19" t="inlineStr">
        <is>
          <t>10 % × 100,000 × split 80%</t>
        </is>
      </c>
    </row>
    <row r="1734">
      <c r="A1734" s="13" t="n">
        <v>1733</v>
      </c>
      <c r="B1734" s="14" t="n">
        <v>46576</v>
      </c>
      <c r="C1734" s="15" t="n">
        <v>10</v>
      </c>
      <c r="D1734" s="25" t="inlineStr">
        <is>
          <t>Payout</t>
        </is>
      </c>
      <c r="E1734" s="13" t="inlineStr">
        <is>
          <t>FundedNext</t>
        </is>
      </c>
      <c r="F1734" s="13" t="inlineStr">
        <is>
          <t>#1 Départ 10k</t>
        </is>
      </c>
      <c r="G1734" s="17" t="n">
        <v>10000</v>
      </c>
      <c r="H1734" s="17" t="n">
        <v>800</v>
      </c>
      <c r="I1734" s="17" t="n">
        <v>12112363.15</v>
      </c>
      <c r="J1734" s="13" t="inlineStr">
        <is>
          <t>10 % × 10,000 × split 80%</t>
        </is>
      </c>
    </row>
    <row r="1735">
      <c r="A1735" s="19" t="n">
        <v>1734</v>
      </c>
      <c r="B1735" s="20" t="n">
        <v>46576</v>
      </c>
      <c r="C1735" s="21" t="n">
        <v>10</v>
      </c>
      <c r="D1735" s="25" t="inlineStr">
        <is>
          <t>Payout</t>
        </is>
      </c>
      <c r="E1735" s="19" t="inlineStr">
        <is>
          <t>Moneta Funded</t>
        </is>
      </c>
      <c r="F1735" s="19" t="inlineStr">
        <is>
          <t>#2 Instant-Direct 100k</t>
        </is>
      </c>
      <c r="G1735" s="22" t="n">
        <v>100000</v>
      </c>
      <c r="H1735" s="22" t="n">
        <v>8000</v>
      </c>
      <c r="I1735" s="22" t="n">
        <v>12120363.15</v>
      </c>
      <c r="J1735" s="19" t="inlineStr">
        <is>
          <t>10 % × 100,000 × split 80%</t>
        </is>
      </c>
    </row>
    <row r="1736">
      <c r="A1736" s="13" t="n">
        <v>1735</v>
      </c>
      <c r="B1736" s="14" t="n">
        <v>46576</v>
      </c>
      <c r="C1736" s="15" t="n">
        <v>10</v>
      </c>
      <c r="D1736" s="25" t="inlineStr">
        <is>
          <t>Payout</t>
        </is>
      </c>
      <c r="E1736" s="13" t="inlineStr">
        <is>
          <t>Moneta Funded</t>
        </is>
      </c>
      <c r="F1736" s="13" t="inlineStr">
        <is>
          <t>#3 Instant-Direct 100k</t>
        </is>
      </c>
      <c r="G1736" s="17" t="n">
        <v>100000</v>
      </c>
      <c r="H1736" s="17" t="n">
        <v>8000</v>
      </c>
      <c r="I1736" s="17" t="n">
        <v>12128363.15</v>
      </c>
      <c r="J1736" s="13" t="inlineStr">
        <is>
          <t>10 % × 100,000 × split 80%</t>
        </is>
      </c>
    </row>
    <row r="1737">
      <c r="A1737" s="19" t="n">
        <v>1736</v>
      </c>
      <c r="B1737" s="20" t="n">
        <v>46576</v>
      </c>
      <c r="C1737" s="21" t="n">
        <v>10</v>
      </c>
      <c r="D1737" s="25" t="inlineStr">
        <is>
          <t>Payout</t>
        </is>
      </c>
      <c r="E1737" s="19" t="inlineStr">
        <is>
          <t>Moneta Funded</t>
        </is>
      </c>
      <c r="F1737" s="19" t="inlineStr">
        <is>
          <t>#4 Instant-Direct 100k</t>
        </is>
      </c>
      <c r="G1737" s="22" t="n">
        <v>100000</v>
      </c>
      <c r="H1737" s="22" t="n">
        <v>8000</v>
      </c>
      <c r="I1737" s="22" t="n">
        <v>12136363.15</v>
      </c>
      <c r="J1737" s="19" t="inlineStr">
        <is>
          <t>10 % × 100,000 × split 80%</t>
        </is>
      </c>
    </row>
    <row r="1738">
      <c r="A1738" s="13" t="n">
        <v>1737</v>
      </c>
      <c r="B1738" s="14" t="n">
        <v>46576</v>
      </c>
      <c r="C1738" s="15" t="n">
        <v>10</v>
      </c>
      <c r="D1738" s="25" t="inlineStr">
        <is>
          <t>Payout</t>
        </is>
      </c>
      <c r="E1738" s="13" t="inlineStr">
        <is>
          <t>Moneta Funded</t>
        </is>
      </c>
      <c r="F1738" s="13" t="inlineStr">
        <is>
          <t>#5 Instant-Direct 100k</t>
        </is>
      </c>
      <c r="G1738" s="17" t="n">
        <v>100000</v>
      </c>
      <c r="H1738" s="17" t="n">
        <v>8000</v>
      </c>
      <c r="I1738" s="17" t="n">
        <v>12144363.15</v>
      </c>
      <c r="J1738" s="13" t="inlineStr">
        <is>
          <t>10 % × 100,000 × split 80%</t>
        </is>
      </c>
    </row>
    <row r="1739">
      <c r="A1739" s="19" t="n">
        <v>1738</v>
      </c>
      <c r="B1739" s="20" t="n">
        <v>46576</v>
      </c>
      <c r="C1739" s="21" t="n">
        <v>10</v>
      </c>
      <c r="D1739" s="25" t="inlineStr">
        <is>
          <t>Payout</t>
        </is>
      </c>
      <c r="E1739" s="19" t="inlineStr">
        <is>
          <t>Moneta Funded</t>
        </is>
      </c>
      <c r="F1739" s="19" t="inlineStr">
        <is>
          <t>#6 Instant-Direct 100k</t>
        </is>
      </c>
      <c r="G1739" s="22" t="n">
        <v>100000</v>
      </c>
      <c r="H1739" s="22" t="n">
        <v>8000</v>
      </c>
      <c r="I1739" s="22" t="n">
        <v>12152363.15</v>
      </c>
      <c r="J1739" s="19" t="inlineStr">
        <is>
          <t>10 % × 100,000 × split 80%</t>
        </is>
      </c>
    </row>
    <row r="1740">
      <c r="A1740" s="13" t="n">
        <v>1739</v>
      </c>
      <c r="B1740" s="14" t="n">
        <v>46576</v>
      </c>
      <c r="C1740" s="15" t="n">
        <v>10</v>
      </c>
      <c r="D1740" s="25" t="inlineStr">
        <is>
          <t>Payout</t>
        </is>
      </c>
      <c r="E1740" s="13" t="inlineStr">
        <is>
          <t>Moneta Funded</t>
        </is>
      </c>
      <c r="F1740" s="13" t="inlineStr">
        <is>
          <t>#7 Instant-Direct 100k</t>
        </is>
      </c>
      <c r="G1740" s="17" t="n">
        <v>100000</v>
      </c>
      <c r="H1740" s="17" t="n">
        <v>8000</v>
      </c>
      <c r="I1740" s="17" t="n">
        <v>12160363.15</v>
      </c>
      <c r="J1740" s="13" t="inlineStr">
        <is>
          <t>10 % × 100,000 × split 80%</t>
        </is>
      </c>
    </row>
    <row r="1741">
      <c r="A1741" s="19" t="n">
        <v>1740</v>
      </c>
      <c r="B1741" s="20" t="n">
        <v>46576</v>
      </c>
      <c r="C1741" s="21" t="n">
        <v>10</v>
      </c>
      <c r="D1741" s="25" t="inlineStr">
        <is>
          <t>Payout</t>
        </is>
      </c>
      <c r="E1741" s="19" t="inlineStr">
        <is>
          <t>Moneta Funded</t>
        </is>
      </c>
      <c r="F1741" s="19" t="inlineStr">
        <is>
          <t>#8 Instant-Direct 100k</t>
        </is>
      </c>
      <c r="G1741" s="22" t="n">
        <v>100000</v>
      </c>
      <c r="H1741" s="22" t="n">
        <v>8000</v>
      </c>
      <c r="I1741" s="22" t="n">
        <v>12168363.15</v>
      </c>
      <c r="J1741" s="19" t="inlineStr">
        <is>
          <t>10 % × 100,000 × split 80%</t>
        </is>
      </c>
    </row>
    <row r="1742">
      <c r="A1742" s="13" t="n">
        <v>1741</v>
      </c>
      <c r="B1742" s="14" t="n">
        <v>46576</v>
      </c>
      <c r="C1742" s="15" t="n">
        <v>10</v>
      </c>
      <c r="D1742" s="25" t="inlineStr">
        <is>
          <t>Payout</t>
        </is>
      </c>
      <c r="E1742" s="13" t="inlineStr">
        <is>
          <t>Moneta Funded</t>
        </is>
      </c>
      <c r="F1742" s="13" t="inlineStr">
        <is>
          <t>#9 Instant-Direct 100k</t>
        </is>
      </c>
      <c r="G1742" s="17" t="n">
        <v>100000</v>
      </c>
      <c r="H1742" s="17" t="n">
        <v>8000</v>
      </c>
      <c r="I1742" s="17" t="n">
        <v>12176363.15</v>
      </c>
      <c r="J1742" s="13" t="inlineStr">
        <is>
          <t>10 % × 100,000 × split 80%</t>
        </is>
      </c>
    </row>
    <row r="1743">
      <c r="A1743" s="19" t="n">
        <v>1742</v>
      </c>
      <c r="B1743" s="20" t="n">
        <v>46576</v>
      </c>
      <c r="C1743" s="21" t="n">
        <v>10</v>
      </c>
      <c r="D1743" s="25" t="inlineStr">
        <is>
          <t>Payout</t>
        </is>
      </c>
      <c r="E1743" s="19" t="inlineStr">
        <is>
          <t>Moneta Funded</t>
        </is>
      </c>
      <c r="F1743" s="19" t="inlineStr">
        <is>
          <t>#10 Instant-Direct 100k</t>
        </is>
      </c>
      <c r="G1743" s="22" t="n">
        <v>100000</v>
      </c>
      <c r="H1743" s="22" t="n">
        <v>8000</v>
      </c>
      <c r="I1743" s="22" t="n">
        <v>12184363.15</v>
      </c>
      <c r="J1743" s="19" t="inlineStr">
        <is>
          <t>10 % × 100,000 × split 80%</t>
        </is>
      </c>
    </row>
    <row r="1744">
      <c r="A1744" s="13" t="n">
        <v>1743</v>
      </c>
      <c r="B1744" s="14" t="n">
        <v>46576</v>
      </c>
      <c r="C1744" s="15" t="n">
        <v>10</v>
      </c>
      <c r="D1744" s="25" t="inlineStr">
        <is>
          <t>Payout</t>
        </is>
      </c>
      <c r="E1744" s="13" t="inlineStr">
        <is>
          <t>Moneta Funded</t>
        </is>
      </c>
      <c r="F1744" s="13" t="inlineStr">
        <is>
          <t>#11 Instant-Direct 100k</t>
        </is>
      </c>
      <c r="G1744" s="17" t="n">
        <v>100000</v>
      </c>
      <c r="H1744" s="17" t="n">
        <v>8000</v>
      </c>
      <c r="I1744" s="17" t="n">
        <v>12192363.15</v>
      </c>
      <c r="J1744" s="13" t="inlineStr">
        <is>
          <t>10 % × 100,000 × split 80%</t>
        </is>
      </c>
    </row>
    <row r="1745">
      <c r="A1745" s="19" t="n">
        <v>1744</v>
      </c>
      <c r="B1745" s="20" t="n">
        <v>46576</v>
      </c>
      <c r="C1745" s="21" t="n">
        <v>10</v>
      </c>
      <c r="D1745" s="25" t="inlineStr">
        <is>
          <t>Payout</t>
        </is>
      </c>
      <c r="E1745" s="19" t="inlineStr">
        <is>
          <t>Moneta Funded</t>
        </is>
      </c>
      <c r="F1745" s="19" t="inlineStr">
        <is>
          <t>#12 Instant-Direct 100k</t>
        </is>
      </c>
      <c r="G1745" s="22" t="n">
        <v>100000</v>
      </c>
      <c r="H1745" s="22" t="n">
        <v>8000</v>
      </c>
      <c r="I1745" s="22" t="n">
        <v>12200363.15</v>
      </c>
      <c r="J1745" s="19" t="inlineStr">
        <is>
          <t>10 % × 100,000 × split 80%</t>
        </is>
      </c>
    </row>
    <row r="1746">
      <c r="A1746" s="13" t="n">
        <v>1745</v>
      </c>
      <c r="B1746" s="14" t="n">
        <v>46576</v>
      </c>
      <c r="C1746" s="15" t="n">
        <v>10</v>
      </c>
      <c r="D1746" s="25" t="inlineStr">
        <is>
          <t>Payout</t>
        </is>
      </c>
      <c r="E1746" s="13" t="inlineStr">
        <is>
          <t>Moneta Funded</t>
        </is>
      </c>
      <c r="F1746" s="13" t="inlineStr">
        <is>
          <t>#13 Instant-Direct 100k</t>
        </is>
      </c>
      <c r="G1746" s="17" t="n">
        <v>100000</v>
      </c>
      <c r="H1746" s="17" t="n">
        <v>8000</v>
      </c>
      <c r="I1746" s="17" t="n">
        <v>12208363.15</v>
      </c>
      <c r="J1746" s="13" t="inlineStr">
        <is>
          <t>10 % × 100,000 × split 80%</t>
        </is>
      </c>
    </row>
    <row r="1747">
      <c r="A1747" s="19" t="n">
        <v>1746</v>
      </c>
      <c r="B1747" s="20" t="n">
        <v>46576</v>
      </c>
      <c r="C1747" s="21" t="n">
        <v>10</v>
      </c>
      <c r="D1747" s="25" t="inlineStr">
        <is>
          <t>Payout</t>
        </is>
      </c>
      <c r="E1747" s="19" t="inlineStr">
        <is>
          <t>FunderPro Futures</t>
        </is>
      </c>
      <c r="F1747" s="19" t="inlineStr">
        <is>
          <t>#14 1 Step 150k</t>
        </is>
      </c>
      <c r="G1747" s="22" t="n">
        <v>150000</v>
      </c>
      <c r="H1747" s="22" t="n">
        <v>9000</v>
      </c>
      <c r="I1747" s="22" t="n">
        <v>12217363.15</v>
      </c>
      <c r="J1747" s="19" t="inlineStr">
        <is>
          <t>10 % × 150,000 × split 60%</t>
        </is>
      </c>
    </row>
    <row r="1748">
      <c r="A1748" s="13" t="n">
        <v>1747</v>
      </c>
      <c r="B1748" s="14" t="n">
        <v>46576</v>
      </c>
      <c r="C1748" s="15" t="n">
        <v>10</v>
      </c>
      <c r="D1748" s="25" t="inlineStr">
        <is>
          <t>Payout</t>
        </is>
      </c>
      <c r="E1748" s="13" t="inlineStr">
        <is>
          <t>Moneta Funded</t>
        </is>
      </c>
      <c r="F1748" s="13" t="inlineStr">
        <is>
          <t>#15 Instant-Direct 100k</t>
        </is>
      </c>
      <c r="G1748" s="17" t="n">
        <v>100000</v>
      </c>
      <c r="H1748" s="17" t="n">
        <v>8000</v>
      </c>
      <c r="I1748" s="17" t="n">
        <v>12225363.15</v>
      </c>
      <c r="J1748" s="13" t="inlineStr">
        <is>
          <t>10 % × 100,000 × split 80%</t>
        </is>
      </c>
    </row>
    <row r="1749">
      <c r="A1749" s="19" t="n">
        <v>1748</v>
      </c>
      <c r="B1749" s="20" t="n">
        <v>46576</v>
      </c>
      <c r="C1749" s="21" t="n">
        <v>10</v>
      </c>
      <c r="D1749" s="25" t="inlineStr">
        <is>
          <t>Payout</t>
        </is>
      </c>
      <c r="E1749" s="19" t="inlineStr">
        <is>
          <t>Moneta Funded</t>
        </is>
      </c>
      <c r="F1749" s="19" t="inlineStr">
        <is>
          <t>#16 Instant-Direct 100k</t>
        </is>
      </c>
      <c r="G1749" s="22" t="n">
        <v>100000</v>
      </c>
      <c r="H1749" s="22" t="n">
        <v>8000</v>
      </c>
      <c r="I1749" s="22" t="n">
        <v>12233363.15</v>
      </c>
      <c r="J1749" s="19" t="inlineStr">
        <is>
          <t>10 % × 100,000 × split 80%</t>
        </is>
      </c>
    </row>
    <row r="1750">
      <c r="A1750" s="13" t="n">
        <v>1749</v>
      </c>
      <c r="B1750" s="14" t="n">
        <v>46576</v>
      </c>
      <c r="C1750" s="15" t="n">
        <v>10</v>
      </c>
      <c r="D1750" s="25" t="inlineStr">
        <is>
          <t>Payout</t>
        </is>
      </c>
      <c r="E1750" s="13" t="inlineStr">
        <is>
          <t>Moneta Funded</t>
        </is>
      </c>
      <c r="F1750" s="13" t="inlineStr">
        <is>
          <t>#17 Instant-Direct 100k</t>
        </is>
      </c>
      <c r="G1750" s="17" t="n">
        <v>100000</v>
      </c>
      <c r="H1750" s="17" t="n">
        <v>8000</v>
      </c>
      <c r="I1750" s="17" t="n">
        <v>12241363.15</v>
      </c>
      <c r="J1750" s="13" t="inlineStr">
        <is>
          <t>10 % × 100,000 × split 80%</t>
        </is>
      </c>
    </row>
    <row r="1751">
      <c r="A1751" s="19" t="n">
        <v>1750</v>
      </c>
      <c r="B1751" s="20" t="n">
        <v>46576</v>
      </c>
      <c r="C1751" s="21" t="n">
        <v>10</v>
      </c>
      <c r="D1751" s="25" t="inlineStr">
        <is>
          <t>Payout</t>
        </is>
      </c>
      <c r="E1751" s="19" t="inlineStr">
        <is>
          <t>Moneta Funded</t>
        </is>
      </c>
      <c r="F1751" s="19" t="inlineStr">
        <is>
          <t>#18 Instant-Direct 100k</t>
        </is>
      </c>
      <c r="G1751" s="22" t="n">
        <v>100000</v>
      </c>
      <c r="H1751" s="22" t="n">
        <v>8000</v>
      </c>
      <c r="I1751" s="22" t="n">
        <v>12249363.15</v>
      </c>
      <c r="J1751" s="19" t="inlineStr">
        <is>
          <t>10 % × 100,000 × split 80%</t>
        </is>
      </c>
    </row>
    <row r="1752">
      <c r="A1752" s="13" t="n">
        <v>1751</v>
      </c>
      <c r="B1752" s="14" t="n">
        <v>46576</v>
      </c>
      <c r="C1752" s="15" t="n">
        <v>10</v>
      </c>
      <c r="D1752" s="25" t="inlineStr">
        <is>
          <t>Payout</t>
        </is>
      </c>
      <c r="E1752" s="13" t="inlineStr">
        <is>
          <t>Moneta Funded</t>
        </is>
      </c>
      <c r="F1752" s="13" t="inlineStr">
        <is>
          <t>#19 Instant-Direct 100k</t>
        </is>
      </c>
      <c r="G1752" s="17" t="n">
        <v>100000</v>
      </c>
      <c r="H1752" s="17" t="n">
        <v>8000</v>
      </c>
      <c r="I1752" s="17" t="n">
        <v>12257363.15</v>
      </c>
      <c r="J1752" s="13" t="inlineStr">
        <is>
          <t>10 % × 100,000 × split 80%</t>
        </is>
      </c>
    </row>
    <row r="1753">
      <c r="A1753" s="19" t="n">
        <v>1752</v>
      </c>
      <c r="B1753" s="20" t="n">
        <v>46576</v>
      </c>
      <c r="C1753" s="21" t="n">
        <v>10</v>
      </c>
      <c r="D1753" s="25" t="inlineStr">
        <is>
          <t>Payout</t>
        </is>
      </c>
      <c r="E1753" s="19" t="inlineStr">
        <is>
          <t>Moneta Funded</t>
        </is>
      </c>
      <c r="F1753" s="19" t="inlineStr">
        <is>
          <t>#20 Instant-Direct 100k</t>
        </is>
      </c>
      <c r="G1753" s="22" t="n">
        <v>100000</v>
      </c>
      <c r="H1753" s="22" t="n">
        <v>8000</v>
      </c>
      <c r="I1753" s="22" t="n">
        <v>12265363.15</v>
      </c>
      <c r="J1753" s="19" t="inlineStr">
        <is>
          <t>10 % × 100,000 × split 80%</t>
        </is>
      </c>
    </row>
    <row r="1754">
      <c r="A1754" s="13" t="n">
        <v>1753</v>
      </c>
      <c r="B1754" s="14" t="n">
        <v>46576</v>
      </c>
      <c r="C1754" s="15" t="n">
        <v>10</v>
      </c>
      <c r="D1754" s="25" t="inlineStr">
        <is>
          <t>Payout</t>
        </is>
      </c>
      <c r="E1754" s="13" t="inlineStr">
        <is>
          <t>Moneta Funded</t>
        </is>
      </c>
      <c r="F1754" s="13" t="inlineStr">
        <is>
          <t>#21 Instant-Direct 100k</t>
        </is>
      </c>
      <c r="G1754" s="17" t="n">
        <v>100000</v>
      </c>
      <c r="H1754" s="17" t="n">
        <v>8000</v>
      </c>
      <c r="I1754" s="17" t="n">
        <v>12273363.15</v>
      </c>
      <c r="J1754" s="13" t="inlineStr">
        <is>
          <t>10 % × 100,000 × split 80%</t>
        </is>
      </c>
    </row>
    <row r="1755">
      <c r="A1755" s="19" t="n">
        <v>1754</v>
      </c>
      <c r="B1755" s="20" t="n">
        <v>46576</v>
      </c>
      <c r="C1755" s="21" t="n">
        <v>10</v>
      </c>
      <c r="D1755" s="25" t="inlineStr">
        <is>
          <t>Payout</t>
        </is>
      </c>
      <c r="E1755" s="19" t="inlineStr">
        <is>
          <t>Moneta Funded</t>
        </is>
      </c>
      <c r="F1755" s="19" t="inlineStr">
        <is>
          <t>#22 Instant-Direct 100k</t>
        </is>
      </c>
      <c r="G1755" s="22" t="n">
        <v>100000</v>
      </c>
      <c r="H1755" s="22" t="n">
        <v>8000</v>
      </c>
      <c r="I1755" s="22" t="n">
        <v>12281363.15</v>
      </c>
      <c r="J1755" s="19" t="inlineStr">
        <is>
          <t>10 % × 100,000 × split 80%</t>
        </is>
      </c>
    </row>
    <row r="1756">
      <c r="A1756" s="13" t="n">
        <v>1755</v>
      </c>
      <c r="B1756" s="14" t="n">
        <v>46576</v>
      </c>
      <c r="C1756" s="15" t="n">
        <v>10</v>
      </c>
      <c r="D1756" s="25" t="inlineStr">
        <is>
          <t>Payout</t>
        </is>
      </c>
      <c r="E1756" s="13" t="inlineStr">
        <is>
          <t>Moneta Funded</t>
        </is>
      </c>
      <c r="F1756" s="13" t="inlineStr">
        <is>
          <t>#23 Instant-Direct 100k</t>
        </is>
      </c>
      <c r="G1756" s="17" t="n">
        <v>100000</v>
      </c>
      <c r="H1756" s="17" t="n">
        <v>8000</v>
      </c>
      <c r="I1756" s="17" t="n">
        <v>12289363.15</v>
      </c>
      <c r="J1756" s="13" t="inlineStr">
        <is>
          <t>10 % × 100,000 × split 80%</t>
        </is>
      </c>
    </row>
    <row r="1757">
      <c r="A1757" s="19" t="n">
        <v>1756</v>
      </c>
      <c r="B1757" s="20" t="n">
        <v>46576</v>
      </c>
      <c r="C1757" s="21" t="n">
        <v>10</v>
      </c>
      <c r="D1757" s="25" t="inlineStr">
        <is>
          <t>Payout</t>
        </is>
      </c>
      <c r="E1757" s="19" t="inlineStr">
        <is>
          <t>Moneta Funded</t>
        </is>
      </c>
      <c r="F1757" s="19" t="inlineStr">
        <is>
          <t>#24 Instant-Direct 100k</t>
        </is>
      </c>
      <c r="G1757" s="22" t="n">
        <v>100000</v>
      </c>
      <c r="H1757" s="22" t="n">
        <v>8000</v>
      </c>
      <c r="I1757" s="22" t="n">
        <v>12297363.15</v>
      </c>
      <c r="J1757" s="19" t="inlineStr">
        <is>
          <t>10 % × 100,000 × split 80%</t>
        </is>
      </c>
    </row>
    <row r="1758">
      <c r="A1758" s="13" t="n">
        <v>1757</v>
      </c>
      <c r="B1758" s="14" t="n">
        <v>46576</v>
      </c>
      <c r="C1758" s="15" t="n">
        <v>10</v>
      </c>
      <c r="D1758" s="25" t="inlineStr">
        <is>
          <t>Payout</t>
        </is>
      </c>
      <c r="E1758" s="13" t="inlineStr">
        <is>
          <t>Moneta Funded</t>
        </is>
      </c>
      <c r="F1758" s="13" t="inlineStr">
        <is>
          <t>#25 Instant-Direct 100k</t>
        </is>
      </c>
      <c r="G1758" s="17" t="n">
        <v>100000</v>
      </c>
      <c r="H1758" s="17" t="n">
        <v>8000</v>
      </c>
      <c r="I1758" s="17" t="n">
        <v>12305363.15</v>
      </c>
      <c r="J1758" s="13" t="inlineStr">
        <is>
          <t>10 % × 100,000 × split 80%</t>
        </is>
      </c>
    </row>
    <row r="1759">
      <c r="A1759" s="19" t="n">
        <v>1758</v>
      </c>
      <c r="B1759" s="20" t="n">
        <v>46576</v>
      </c>
      <c r="C1759" s="21" t="n">
        <v>10</v>
      </c>
      <c r="D1759" s="25" t="inlineStr">
        <is>
          <t>Payout</t>
        </is>
      </c>
      <c r="E1759" s="19" t="inlineStr">
        <is>
          <t>IQ Capital</t>
        </is>
      </c>
      <c r="F1759" s="19" t="inlineStr">
        <is>
          <t>#26 Instant-Direct 100k</t>
        </is>
      </c>
      <c r="G1759" s="22" t="n">
        <v>100000</v>
      </c>
      <c r="H1759" s="22" t="n">
        <v>8000</v>
      </c>
      <c r="I1759" s="22" t="n">
        <v>12313363.15</v>
      </c>
      <c r="J1759" s="19" t="inlineStr">
        <is>
          <t>10 % × 100,000 × split 80%</t>
        </is>
      </c>
    </row>
    <row r="1760">
      <c r="A1760" s="13" t="n">
        <v>1759</v>
      </c>
      <c r="B1760" s="14" t="n">
        <v>46576</v>
      </c>
      <c r="C1760" s="15" t="n">
        <v>10</v>
      </c>
      <c r="D1760" s="25" t="inlineStr">
        <is>
          <t>Payout</t>
        </is>
      </c>
      <c r="E1760" s="13" t="inlineStr">
        <is>
          <t>IQ Capital</t>
        </is>
      </c>
      <c r="F1760" s="13" t="inlineStr">
        <is>
          <t>#27 Instant-Direct 100k</t>
        </is>
      </c>
      <c r="G1760" s="17" t="n">
        <v>100000</v>
      </c>
      <c r="H1760" s="17" t="n">
        <v>8000</v>
      </c>
      <c r="I1760" s="17" t="n">
        <v>12321363.15</v>
      </c>
      <c r="J1760" s="13" t="inlineStr">
        <is>
          <t>10 % × 100,000 × split 80%</t>
        </is>
      </c>
    </row>
    <row r="1761">
      <c r="A1761" s="19" t="n">
        <v>1760</v>
      </c>
      <c r="B1761" s="20" t="n">
        <v>46576</v>
      </c>
      <c r="C1761" s="21" t="n">
        <v>10</v>
      </c>
      <c r="D1761" s="25" t="inlineStr">
        <is>
          <t>Payout</t>
        </is>
      </c>
      <c r="E1761" s="19" t="inlineStr">
        <is>
          <t>IQ Capital</t>
        </is>
      </c>
      <c r="F1761" s="19" t="inlineStr">
        <is>
          <t>#28 Instant-Direct 100k</t>
        </is>
      </c>
      <c r="G1761" s="22" t="n">
        <v>100000</v>
      </c>
      <c r="H1761" s="22" t="n">
        <v>8000</v>
      </c>
      <c r="I1761" s="22" t="n">
        <v>12329363.15</v>
      </c>
      <c r="J1761" s="19" t="inlineStr">
        <is>
          <t>10 % × 100,000 × split 80%</t>
        </is>
      </c>
    </row>
    <row r="1762">
      <c r="A1762" s="13" t="n">
        <v>1761</v>
      </c>
      <c r="B1762" s="14" t="n">
        <v>46576</v>
      </c>
      <c r="C1762" s="15" t="n">
        <v>10</v>
      </c>
      <c r="D1762" s="25" t="inlineStr">
        <is>
          <t>Payout</t>
        </is>
      </c>
      <c r="E1762" s="13" t="inlineStr">
        <is>
          <t>IQ Capital</t>
        </is>
      </c>
      <c r="F1762" s="13" t="inlineStr">
        <is>
          <t>#29 Instant-Direct 100k</t>
        </is>
      </c>
      <c r="G1762" s="17" t="n">
        <v>100000</v>
      </c>
      <c r="H1762" s="17" t="n">
        <v>8000</v>
      </c>
      <c r="I1762" s="17" t="n">
        <v>12337363.15</v>
      </c>
      <c r="J1762" s="13" t="inlineStr">
        <is>
          <t>10 % × 100,000 × split 80%</t>
        </is>
      </c>
    </row>
    <row r="1763">
      <c r="A1763" s="19" t="n">
        <v>1762</v>
      </c>
      <c r="B1763" s="20" t="n">
        <v>46576</v>
      </c>
      <c r="C1763" s="21" t="n">
        <v>10</v>
      </c>
      <c r="D1763" s="25" t="inlineStr">
        <is>
          <t>Payout</t>
        </is>
      </c>
      <c r="E1763" s="19" t="inlineStr">
        <is>
          <t>IQ Capital</t>
        </is>
      </c>
      <c r="F1763" s="19" t="inlineStr">
        <is>
          <t>#30 Instant-Direct 100k</t>
        </is>
      </c>
      <c r="G1763" s="22" t="n">
        <v>100000</v>
      </c>
      <c r="H1763" s="22" t="n">
        <v>8000</v>
      </c>
      <c r="I1763" s="22" t="n">
        <v>12345363.15</v>
      </c>
      <c r="J1763" s="19" t="inlineStr">
        <is>
          <t>10 % × 100,000 × split 80%</t>
        </is>
      </c>
    </row>
    <row r="1764">
      <c r="A1764" s="13" t="n">
        <v>1763</v>
      </c>
      <c r="B1764" s="14" t="n">
        <v>46576</v>
      </c>
      <c r="C1764" s="15" t="n">
        <v>10</v>
      </c>
      <c r="D1764" s="25" t="inlineStr">
        <is>
          <t>Payout</t>
        </is>
      </c>
      <c r="E1764" s="13" t="inlineStr">
        <is>
          <t>IQ Capital</t>
        </is>
      </c>
      <c r="F1764" s="13" t="inlineStr">
        <is>
          <t>#31 Instant-Direct 100k</t>
        </is>
      </c>
      <c r="G1764" s="17" t="n">
        <v>100000</v>
      </c>
      <c r="H1764" s="17" t="n">
        <v>8000</v>
      </c>
      <c r="I1764" s="17" t="n">
        <v>12353363.15</v>
      </c>
      <c r="J1764" s="13" t="inlineStr">
        <is>
          <t>10 % × 100,000 × split 80%</t>
        </is>
      </c>
    </row>
    <row r="1765">
      <c r="A1765" s="19" t="n">
        <v>1764</v>
      </c>
      <c r="B1765" s="20" t="n">
        <v>46576</v>
      </c>
      <c r="C1765" s="21" t="n">
        <v>10</v>
      </c>
      <c r="D1765" s="25" t="inlineStr">
        <is>
          <t>Payout</t>
        </is>
      </c>
      <c r="E1765" s="19" t="inlineStr">
        <is>
          <t>IQ Capital</t>
        </is>
      </c>
      <c r="F1765" s="19" t="inlineStr">
        <is>
          <t>#32 Instant-Direct 100k</t>
        </is>
      </c>
      <c r="G1765" s="22" t="n">
        <v>100000</v>
      </c>
      <c r="H1765" s="22" t="n">
        <v>8000</v>
      </c>
      <c r="I1765" s="22" t="n">
        <v>12361363.15</v>
      </c>
      <c r="J1765" s="19" t="inlineStr">
        <is>
          <t>10 % × 100,000 × split 80%</t>
        </is>
      </c>
    </row>
    <row r="1766">
      <c r="A1766" s="13" t="n">
        <v>1765</v>
      </c>
      <c r="B1766" s="14" t="n">
        <v>46576</v>
      </c>
      <c r="C1766" s="15" t="n">
        <v>10</v>
      </c>
      <c r="D1766" s="25" t="inlineStr">
        <is>
          <t>Payout</t>
        </is>
      </c>
      <c r="E1766" s="13" t="inlineStr">
        <is>
          <t>IQ Capital</t>
        </is>
      </c>
      <c r="F1766" s="13" t="inlineStr">
        <is>
          <t>#33 Instant-Direct 100k</t>
        </is>
      </c>
      <c r="G1766" s="17" t="n">
        <v>100000</v>
      </c>
      <c r="H1766" s="17" t="n">
        <v>8000</v>
      </c>
      <c r="I1766" s="17" t="n">
        <v>12369363.15</v>
      </c>
      <c r="J1766" s="13" t="inlineStr">
        <is>
          <t>10 % × 100,000 × split 80%</t>
        </is>
      </c>
    </row>
    <row r="1767">
      <c r="A1767" s="19" t="n">
        <v>1766</v>
      </c>
      <c r="B1767" s="20" t="n">
        <v>46576</v>
      </c>
      <c r="C1767" s="21" t="n">
        <v>10</v>
      </c>
      <c r="D1767" s="25" t="inlineStr">
        <is>
          <t>Payout</t>
        </is>
      </c>
      <c r="E1767" s="19" t="inlineStr">
        <is>
          <t>IQ Capital</t>
        </is>
      </c>
      <c r="F1767" s="19" t="inlineStr">
        <is>
          <t>#34 Instant-Direct 100k</t>
        </is>
      </c>
      <c r="G1767" s="22" t="n">
        <v>100000</v>
      </c>
      <c r="H1767" s="22" t="n">
        <v>8000</v>
      </c>
      <c r="I1767" s="22" t="n">
        <v>12377363.15</v>
      </c>
      <c r="J1767" s="19" t="inlineStr">
        <is>
          <t>10 % × 100,000 × split 80%</t>
        </is>
      </c>
    </row>
    <row r="1768">
      <c r="A1768" s="13" t="n">
        <v>1767</v>
      </c>
      <c r="B1768" s="14" t="n">
        <v>46576</v>
      </c>
      <c r="C1768" s="15" t="n">
        <v>10</v>
      </c>
      <c r="D1768" s="25" t="inlineStr">
        <is>
          <t>Payout</t>
        </is>
      </c>
      <c r="E1768" s="13" t="inlineStr">
        <is>
          <t>IQ Capital</t>
        </is>
      </c>
      <c r="F1768" s="13" t="inlineStr">
        <is>
          <t>#35 Instant-Direct 100k</t>
        </is>
      </c>
      <c r="G1768" s="17" t="n">
        <v>100000</v>
      </c>
      <c r="H1768" s="17" t="n">
        <v>8000</v>
      </c>
      <c r="I1768" s="17" t="n">
        <v>12385363.15</v>
      </c>
      <c r="J1768" s="13" t="inlineStr">
        <is>
          <t>10 % × 100,000 × split 80%</t>
        </is>
      </c>
    </row>
    <row r="1769">
      <c r="A1769" s="19" t="n">
        <v>1768</v>
      </c>
      <c r="B1769" s="20" t="n">
        <v>46576</v>
      </c>
      <c r="C1769" s="21" t="n">
        <v>10</v>
      </c>
      <c r="D1769" s="25" t="inlineStr">
        <is>
          <t>Payout</t>
        </is>
      </c>
      <c r="E1769" s="19" t="inlineStr">
        <is>
          <t>IQ Capital</t>
        </is>
      </c>
      <c r="F1769" s="19" t="inlineStr">
        <is>
          <t>#36 Instant-Direct 100k</t>
        </is>
      </c>
      <c r="G1769" s="22" t="n">
        <v>100000</v>
      </c>
      <c r="H1769" s="22" t="n">
        <v>8000</v>
      </c>
      <c r="I1769" s="22" t="n">
        <v>12393363.15</v>
      </c>
      <c r="J1769" s="19" t="inlineStr">
        <is>
          <t>10 % × 100,000 × split 80%</t>
        </is>
      </c>
    </row>
    <row r="1770">
      <c r="A1770" s="13" t="n">
        <v>1769</v>
      </c>
      <c r="B1770" s="14" t="n">
        <v>46576</v>
      </c>
      <c r="C1770" s="15" t="n">
        <v>10</v>
      </c>
      <c r="D1770" s="25" t="inlineStr">
        <is>
          <t>Payout</t>
        </is>
      </c>
      <c r="E1770" s="13" t="inlineStr">
        <is>
          <t>IQ Capital</t>
        </is>
      </c>
      <c r="F1770" s="13" t="inlineStr">
        <is>
          <t>#37 Instant-Direct 100k</t>
        </is>
      </c>
      <c r="G1770" s="17" t="n">
        <v>100000</v>
      </c>
      <c r="H1770" s="17" t="n">
        <v>8000</v>
      </c>
      <c r="I1770" s="17" t="n">
        <v>12401363.15</v>
      </c>
      <c r="J1770" s="13" t="inlineStr">
        <is>
          <t>10 % × 100,000 × split 80%</t>
        </is>
      </c>
    </row>
    <row r="1771">
      <c r="A1771" s="19" t="n">
        <v>1770</v>
      </c>
      <c r="B1771" s="20" t="n">
        <v>46576</v>
      </c>
      <c r="C1771" s="21" t="n">
        <v>10</v>
      </c>
      <c r="D1771" s="25" t="inlineStr">
        <is>
          <t>Payout</t>
        </is>
      </c>
      <c r="E1771" s="19" t="inlineStr">
        <is>
          <t>IQ Capital</t>
        </is>
      </c>
      <c r="F1771" s="19" t="inlineStr">
        <is>
          <t>#38 Instant-Direct 100k</t>
        </is>
      </c>
      <c r="G1771" s="22" t="n">
        <v>100000</v>
      </c>
      <c r="H1771" s="22" t="n">
        <v>8000</v>
      </c>
      <c r="I1771" s="22" t="n">
        <v>12409363.15</v>
      </c>
      <c r="J1771" s="19" t="inlineStr">
        <is>
          <t>10 % × 100,000 × split 80%</t>
        </is>
      </c>
    </row>
    <row r="1772">
      <c r="A1772" s="13" t="n">
        <v>1771</v>
      </c>
      <c r="B1772" s="14" t="n">
        <v>46576</v>
      </c>
      <c r="C1772" s="15" t="n">
        <v>10</v>
      </c>
      <c r="D1772" s="25" t="inlineStr">
        <is>
          <t>Payout</t>
        </is>
      </c>
      <c r="E1772" s="13" t="inlineStr">
        <is>
          <t>IQ Capital</t>
        </is>
      </c>
      <c r="F1772" s="13" t="inlineStr">
        <is>
          <t>#39 Instant-Direct 100k</t>
        </is>
      </c>
      <c r="G1772" s="17" t="n">
        <v>100000</v>
      </c>
      <c r="H1772" s="17" t="n">
        <v>8000</v>
      </c>
      <c r="I1772" s="17" t="n">
        <v>12417363.15</v>
      </c>
      <c r="J1772" s="13" t="inlineStr">
        <is>
          <t>10 % × 100,000 × split 80%</t>
        </is>
      </c>
    </row>
    <row r="1773">
      <c r="A1773" s="19" t="n">
        <v>1772</v>
      </c>
      <c r="B1773" s="20" t="n">
        <v>46576</v>
      </c>
      <c r="C1773" s="21" t="n">
        <v>10</v>
      </c>
      <c r="D1773" s="25" t="inlineStr">
        <is>
          <t>Payout</t>
        </is>
      </c>
      <c r="E1773" s="19" t="inlineStr">
        <is>
          <t>IQ Capital</t>
        </is>
      </c>
      <c r="F1773" s="19" t="inlineStr">
        <is>
          <t>#40 Instant-Direct 100k</t>
        </is>
      </c>
      <c r="G1773" s="22" t="n">
        <v>100000</v>
      </c>
      <c r="H1773" s="22" t="n">
        <v>8000</v>
      </c>
      <c r="I1773" s="22" t="n">
        <v>12425363.15</v>
      </c>
      <c r="J1773" s="19" t="inlineStr">
        <is>
          <t>10 % × 100,000 × split 80%</t>
        </is>
      </c>
    </row>
    <row r="1774">
      <c r="A1774" s="13" t="n">
        <v>1773</v>
      </c>
      <c r="B1774" s="14" t="n">
        <v>46576</v>
      </c>
      <c r="C1774" s="15" t="n">
        <v>10</v>
      </c>
      <c r="D1774" s="25" t="inlineStr">
        <is>
          <t>Payout</t>
        </is>
      </c>
      <c r="E1774" s="13" t="inlineStr">
        <is>
          <t>IQ Capital</t>
        </is>
      </c>
      <c r="F1774" s="13" t="inlineStr">
        <is>
          <t>#41 Instant-Direct 100k</t>
        </is>
      </c>
      <c r="G1774" s="17" t="n">
        <v>100000</v>
      </c>
      <c r="H1774" s="17" t="n">
        <v>8000</v>
      </c>
      <c r="I1774" s="17" t="n">
        <v>12433363.15</v>
      </c>
      <c r="J1774" s="13" t="inlineStr">
        <is>
          <t>10 % × 100,000 × split 80%</t>
        </is>
      </c>
    </row>
    <row r="1775">
      <c r="A1775" s="19" t="n">
        <v>1774</v>
      </c>
      <c r="B1775" s="20" t="n">
        <v>46576</v>
      </c>
      <c r="C1775" s="21" t="n">
        <v>10</v>
      </c>
      <c r="D1775" s="25" t="inlineStr">
        <is>
          <t>Payout</t>
        </is>
      </c>
      <c r="E1775" s="19" t="inlineStr">
        <is>
          <t>IQ Capital</t>
        </is>
      </c>
      <c r="F1775" s="19" t="inlineStr">
        <is>
          <t>#42 Instant-Direct 100k</t>
        </is>
      </c>
      <c r="G1775" s="22" t="n">
        <v>100000</v>
      </c>
      <c r="H1775" s="22" t="n">
        <v>8000</v>
      </c>
      <c r="I1775" s="22" t="n">
        <v>12441363.15</v>
      </c>
      <c r="J1775" s="19" t="inlineStr">
        <is>
          <t>10 % × 100,000 × split 80%</t>
        </is>
      </c>
    </row>
    <row r="1776">
      <c r="A1776" s="13" t="n">
        <v>1775</v>
      </c>
      <c r="B1776" s="14" t="n">
        <v>46576</v>
      </c>
      <c r="C1776" s="15" t="n">
        <v>10</v>
      </c>
      <c r="D1776" s="25" t="inlineStr">
        <is>
          <t>Payout</t>
        </is>
      </c>
      <c r="E1776" s="13" t="inlineStr">
        <is>
          <t>IQ Capital</t>
        </is>
      </c>
      <c r="F1776" s="13" t="inlineStr">
        <is>
          <t>#43 Instant-Direct 100k</t>
        </is>
      </c>
      <c r="G1776" s="17" t="n">
        <v>100000</v>
      </c>
      <c r="H1776" s="17" t="n">
        <v>8000</v>
      </c>
      <c r="I1776" s="17" t="n">
        <v>12449363.15</v>
      </c>
      <c r="J1776" s="13" t="inlineStr">
        <is>
          <t>10 % × 100,000 × split 80%</t>
        </is>
      </c>
    </row>
    <row r="1777">
      <c r="A1777" s="19" t="n">
        <v>1776</v>
      </c>
      <c r="B1777" s="20" t="n">
        <v>46576</v>
      </c>
      <c r="C1777" s="21" t="n">
        <v>10</v>
      </c>
      <c r="D1777" s="25" t="inlineStr">
        <is>
          <t>Payout</t>
        </is>
      </c>
      <c r="E1777" s="19" t="inlineStr">
        <is>
          <t>IQ Capital</t>
        </is>
      </c>
      <c r="F1777" s="19" t="inlineStr">
        <is>
          <t>#44 Instant-Direct 100k</t>
        </is>
      </c>
      <c r="G1777" s="22" t="n">
        <v>100000</v>
      </c>
      <c r="H1777" s="22" t="n">
        <v>8000</v>
      </c>
      <c r="I1777" s="22" t="n">
        <v>12457363.15</v>
      </c>
      <c r="J1777" s="19" t="inlineStr">
        <is>
          <t>10 % × 100,000 × split 80%</t>
        </is>
      </c>
    </row>
    <row r="1778">
      <c r="A1778" s="13" t="n">
        <v>1777</v>
      </c>
      <c r="B1778" s="14" t="n">
        <v>46576</v>
      </c>
      <c r="C1778" s="15" t="n">
        <v>10</v>
      </c>
      <c r="D1778" s="25" t="inlineStr">
        <is>
          <t>Payout</t>
        </is>
      </c>
      <c r="E1778" s="13" t="inlineStr">
        <is>
          <t>IQ Capital</t>
        </is>
      </c>
      <c r="F1778" s="13" t="inlineStr">
        <is>
          <t>#45 Instant-Direct 100k</t>
        </is>
      </c>
      <c r="G1778" s="17" t="n">
        <v>100000</v>
      </c>
      <c r="H1778" s="17" t="n">
        <v>8000</v>
      </c>
      <c r="I1778" s="17" t="n">
        <v>12465363.15</v>
      </c>
      <c r="J1778" s="13" t="inlineStr">
        <is>
          <t>10 % × 100,000 × split 80%</t>
        </is>
      </c>
    </row>
    <row r="1779">
      <c r="A1779" s="19" t="n">
        <v>1778</v>
      </c>
      <c r="B1779" s="20" t="n">
        <v>46576</v>
      </c>
      <c r="C1779" s="21" t="n">
        <v>10</v>
      </c>
      <c r="D1779" s="25" t="inlineStr">
        <is>
          <t>Payout</t>
        </is>
      </c>
      <c r="E1779" s="19" t="inlineStr">
        <is>
          <t>Instant Funding</t>
        </is>
      </c>
      <c r="F1779" s="19" t="inlineStr">
        <is>
          <t>#46 Instant-Direct 120k</t>
        </is>
      </c>
      <c r="G1779" s="22" t="n">
        <v>120000</v>
      </c>
      <c r="H1779" s="22" t="n">
        <v>9600</v>
      </c>
      <c r="I1779" s="22" t="n">
        <v>12474963.15</v>
      </c>
      <c r="J1779" s="19" t="inlineStr">
        <is>
          <t>10 % × 120,000 × split 80%</t>
        </is>
      </c>
    </row>
    <row r="1780">
      <c r="A1780" s="13" t="n">
        <v>1779</v>
      </c>
      <c r="B1780" s="14" t="n">
        <v>46576</v>
      </c>
      <c r="C1780" s="15" t="n">
        <v>10</v>
      </c>
      <c r="D1780" s="25" t="inlineStr">
        <is>
          <t>Payout</t>
        </is>
      </c>
      <c r="E1780" s="13" t="inlineStr">
        <is>
          <t>Instant Funding</t>
        </is>
      </c>
      <c r="F1780" s="13" t="inlineStr">
        <is>
          <t>#47 Instant-Direct 120k</t>
        </is>
      </c>
      <c r="G1780" s="17" t="n">
        <v>120000</v>
      </c>
      <c r="H1780" s="17" t="n">
        <v>9600</v>
      </c>
      <c r="I1780" s="17" t="n">
        <v>12484563.15</v>
      </c>
      <c r="J1780" s="13" t="inlineStr">
        <is>
          <t>10 % × 120,000 × split 80%</t>
        </is>
      </c>
    </row>
    <row r="1781">
      <c r="A1781" s="19" t="n">
        <v>1780</v>
      </c>
      <c r="B1781" s="20" t="n">
        <v>46576</v>
      </c>
      <c r="C1781" s="21" t="n">
        <v>10</v>
      </c>
      <c r="D1781" s="25" t="inlineStr">
        <is>
          <t>Payout</t>
        </is>
      </c>
      <c r="E1781" s="19" t="inlineStr">
        <is>
          <t>Instant Funding</t>
        </is>
      </c>
      <c r="F1781" s="19" t="inlineStr">
        <is>
          <t>#48 Instant-Direct 120k</t>
        </is>
      </c>
      <c r="G1781" s="22" t="n">
        <v>120000</v>
      </c>
      <c r="H1781" s="22" t="n">
        <v>9600</v>
      </c>
      <c r="I1781" s="22" t="n">
        <v>12494163.15</v>
      </c>
      <c r="J1781" s="19" t="inlineStr">
        <is>
          <t>10 % × 120,000 × split 80%</t>
        </is>
      </c>
    </row>
    <row r="1782">
      <c r="A1782" s="13" t="n">
        <v>1781</v>
      </c>
      <c r="B1782" s="14" t="n">
        <v>46576</v>
      </c>
      <c r="C1782" s="15" t="n">
        <v>10</v>
      </c>
      <c r="D1782" s="25" t="inlineStr">
        <is>
          <t>Payout</t>
        </is>
      </c>
      <c r="E1782" s="13" t="inlineStr">
        <is>
          <t>Audacity Capital</t>
        </is>
      </c>
      <c r="F1782" s="13" t="inlineStr">
        <is>
          <t>#49 Instant-Direct 50k</t>
        </is>
      </c>
      <c r="G1782" s="17" t="n">
        <v>50000</v>
      </c>
      <c r="H1782" s="17" t="n">
        <v>4500</v>
      </c>
      <c r="I1782" s="17" t="n">
        <v>12498663.15</v>
      </c>
      <c r="J1782" s="13" t="inlineStr">
        <is>
          <t>10 % × 50,000 × split 90%</t>
        </is>
      </c>
    </row>
    <row r="1783">
      <c r="A1783" s="19" t="n">
        <v>1782</v>
      </c>
      <c r="B1783" s="20" t="n">
        <v>46576</v>
      </c>
      <c r="C1783" s="21" t="n">
        <v>10</v>
      </c>
      <c r="D1783" s="25" t="inlineStr">
        <is>
          <t>Payout</t>
        </is>
      </c>
      <c r="E1783" s="19" t="inlineStr">
        <is>
          <t>Crypto Fund Trader</t>
        </is>
      </c>
      <c r="F1783" s="19" t="inlineStr">
        <is>
          <t>#50 Instant-Direct 10k</t>
        </is>
      </c>
      <c r="G1783" s="22" t="n">
        <v>10000</v>
      </c>
      <c r="H1783" s="22" t="n">
        <v>800</v>
      </c>
      <c r="I1783" s="22" t="n">
        <v>12499463.15</v>
      </c>
      <c r="J1783" s="19" t="inlineStr">
        <is>
          <t>10 % × 10,000 × split 80%</t>
        </is>
      </c>
    </row>
    <row r="1784">
      <c r="A1784" s="13" t="n">
        <v>1783</v>
      </c>
      <c r="B1784" s="14" t="n">
        <v>46576</v>
      </c>
      <c r="C1784" s="15" t="n">
        <v>10</v>
      </c>
      <c r="D1784" s="25" t="inlineStr">
        <is>
          <t>Payout</t>
        </is>
      </c>
      <c r="E1784" s="13" t="inlineStr">
        <is>
          <t>Instant Funding</t>
        </is>
      </c>
      <c r="F1784" s="13" t="inlineStr">
        <is>
          <t>#51 Instant-Direct 120k</t>
        </is>
      </c>
      <c r="G1784" s="17" t="n">
        <v>120000</v>
      </c>
      <c r="H1784" s="17" t="n">
        <v>9600</v>
      </c>
      <c r="I1784" s="17" t="n">
        <v>12509063.15</v>
      </c>
      <c r="J1784" s="13" t="inlineStr">
        <is>
          <t>10 % × 120,000 × split 80%</t>
        </is>
      </c>
    </row>
    <row r="1785">
      <c r="A1785" s="19" t="n">
        <v>1784</v>
      </c>
      <c r="B1785" s="20" t="n">
        <v>46576</v>
      </c>
      <c r="C1785" s="21" t="n">
        <v>10</v>
      </c>
      <c r="D1785" s="25" t="inlineStr">
        <is>
          <t>Payout</t>
        </is>
      </c>
      <c r="E1785" s="19" t="inlineStr">
        <is>
          <t>Instant Funding</t>
        </is>
      </c>
      <c r="F1785" s="19" t="inlineStr">
        <is>
          <t>#52 Instant-Direct 120k</t>
        </is>
      </c>
      <c r="G1785" s="22" t="n">
        <v>120000</v>
      </c>
      <c r="H1785" s="22" t="n">
        <v>9600</v>
      </c>
      <c r="I1785" s="22" t="n">
        <v>12518663.15</v>
      </c>
      <c r="J1785" s="19" t="inlineStr">
        <is>
          <t>10 % × 120,000 × split 80%</t>
        </is>
      </c>
    </row>
    <row r="1786">
      <c r="A1786" s="13" t="n">
        <v>1785</v>
      </c>
      <c r="B1786" s="14" t="n">
        <v>46576</v>
      </c>
      <c r="C1786" s="15" t="n">
        <v>10</v>
      </c>
      <c r="D1786" s="25" t="inlineStr">
        <is>
          <t>Payout</t>
        </is>
      </c>
      <c r="E1786" s="13" t="inlineStr">
        <is>
          <t>Instant Funding</t>
        </is>
      </c>
      <c r="F1786" s="13" t="inlineStr">
        <is>
          <t>#53 Instant-Direct 120k</t>
        </is>
      </c>
      <c r="G1786" s="17" t="n">
        <v>120000</v>
      </c>
      <c r="H1786" s="17" t="n">
        <v>9600</v>
      </c>
      <c r="I1786" s="17" t="n">
        <v>12528263.15</v>
      </c>
      <c r="J1786" s="13" t="inlineStr">
        <is>
          <t>10 % × 120,000 × split 80%</t>
        </is>
      </c>
    </row>
    <row r="1787">
      <c r="A1787" s="19" t="n">
        <v>1786</v>
      </c>
      <c r="B1787" s="20" t="n">
        <v>46576</v>
      </c>
      <c r="C1787" s="21" t="n">
        <v>10</v>
      </c>
      <c r="D1787" s="25" t="inlineStr">
        <is>
          <t>Payout</t>
        </is>
      </c>
      <c r="E1787" s="19" t="inlineStr">
        <is>
          <t>Instant Funding</t>
        </is>
      </c>
      <c r="F1787" s="19" t="inlineStr">
        <is>
          <t>#54 Instant-Direct 120k</t>
        </is>
      </c>
      <c r="G1787" s="22" t="n">
        <v>120000</v>
      </c>
      <c r="H1787" s="22" t="n">
        <v>9600</v>
      </c>
      <c r="I1787" s="22" t="n">
        <v>12537863.15</v>
      </c>
      <c r="J1787" s="19" t="inlineStr">
        <is>
          <t>10 % × 120,000 × split 80%</t>
        </is>
      </c>
    </row>
    <row r="1788">
      <c r="A1788" s="13" t="n">
        <v>1787</v>
      </c>
      <c r="B1788" s="14" t="n">
        <v>46576</v>
      </c>
      <c r="C1788" s="15" t="n">
        <v>10</v>
      </c>
      <c r="D1788" s="25" t="inlineStr">
        <is>
          <t>Payout</t>
        </is>
      </c>
      <c r="E1788" s="13" t="inlineStr">
        <is>
          <t>Instant Funding</t>
        </is>
      </c>
      <c r="F1788" s="13" t="inlineStr">
        <is>
          <t>#55 Instant-Direct 120k</t>
        </is>
      </c>
      <c r="G1788" s="17" t="n">
        <v>120000</v>
      </c>
      <c r="H1788" s="17" t="n">
        <v>9600</v>
      </c>
      <c r="I1788" s="17" t="n">
        <v>12547463.15</v>
      </c>
      <c r="J1788" s="13" t="inlineStr">
        <is>
          <t>10 % × 120,000 × split 80%</t>
        </is>
      </c>
    </row>
    <row r="1789">
      <c r="A1789" s="19" t="n">
        <v>1788</v>
      </c>
      <c r="B1789" s="20" t="n">
        <v>46576</v>
      </c>
      <c r="C1789" s="21" t="n">
        <v>10</v>
      </c>
      <c r="D1789" s="25" t="inlineStr">
        <is>
          <t>Payout</t>
        </is>
      </c>
      <c r="E1789" s="19" t="inlineStr">
        <is>
          <t>Kickstart Trading</t>
        </is>
      </c>
      <c r="F1789" s="19" t="inlineStr">
        <is>
          <t>#56 Instant-Direct 100k</t>
        </is>
      </c>
      <c r="G1789" s="22" t="n">
        <v>100000</v>
      </c>
      <c r="H1789" s="22" t="n">
        <v>8000</v>
      </c>
      <c r="I1789" s="22" t="n">
        <v>12555463.15</v>
      </c>
      <c r="J1789" s="19" t="inlineStr">
        <is>
          <t>10 % × 100,000 × split 80%</t>
        </is>
      </c>
    </row>
    <row r="1790">
      <c r="A1790" s="13" t="n">
        <v>1789</v>
      </c>
      <c r="B1790" s="14" t="n">
        <v>46576</v>
      </c>
      <c r="C1790" s="15" t="n">
        <v>10</v>
      </c>
      <c r="D1790" s="25" t="inlineStr">
        <is>
          <t>Payout</t>
        </is>
      </c>
      <c r="E1790" s="13" t="inlineStr">
        <is>
          <t>Kickstart Trading</t>
        </is>
      </c>
      <c r="F1790" s="13" t="inlineStr">
        <is>
          <t>#57 Instant-Direct 100k</t>
        </is>
      </c>
      <c r="G1790" s="17" t="n">
        <v>100000</v>
      </c>
      <c r="H1790" s="17" t="n">
        <v>8000</v>
      </c>
      <c r="I1790" s="17" t="n">
        <v>12563463.15</v>
      </c>
      <c r="J1790" s="13" t="inlineStr">
        <is>
          <t>10 % × 100,000 × split 80%</t>
        </is>
      </c>
    </row>
    <row r="1791">
      <c r="A1791" s="19" t="n">
        <v>1790</v>
      </c>
      <c r="B1791" s="20" t="n">
        <v>46576</v>
      </c>
      <c r="C1791" s="21" t="n">
        <v>10</v>
      </c>
      <c r="D1791" s="25" t="inlineStr">
        <is>
          <t>Payout</t>
        </is>
      </c>
      <c r="E1791" s="19" t="inlineStr">
        <is>
          <t>Kickstart Trading</t>
        </is>
      </c>
      <c r="F1791" s="19" t="inlineStr">
        <is>
          <t>#58 Instant-Direct 100k</t>
        </is>
      </c>
      <c r="G1791" s="22" t="n">
        <v>100000</v>
      </c>
      <c r="H1791" s="22" t="n">
        <v>8000</v>
      </c>
      <c r="I1791" s="22" t="n">
        <v>12571463.15</v>
      </c>
      <c r="J1791" s="19" t="inlineStr">
        <is>
          <t>10 % × 100,000 × split 80%</t>
        </is>
      </c>
    </row>
    <row r="1792">
      <c r="A1792" s="13" t="n">
        <v>1791</v>
      </c>
      <c r="B1792" s="14" t="n">
        <v>46576</v>
      </c>
      <c r="C1792" s="15" t="n">
        <v>10</v>
      </c>
      <c r="D1792" s="25" t="inlineStr">
        <is>
          <t>Payout</t>
        </is>
      </c>
      <c r="E1792" s="13" t="inlineStr">
        <is>
          <t>Kickstart Trading</t>
        </is>
      </c>
      <c r="F1792" s="13" t="inlineStr">
        <is>
          <t>#59 Instant-Direct 100k</t>
        </is>
      </c>
      <c r="G1792" s="17" t="n">
        <v>100000</v>
      </c>
      <c r="H1792" s="17" t="n">
        <v>8000</v>
      </c>
      <c r="I1792" s="17" t="n">
        <v>12579463.15</v>
      </c>
      <c r="J1792" s="13" t="inlineStr">
        <is>
          <t>10 % × 100,000 × split 80%</t>
        </is>
      </c>
    </row>
    <row r="1793">
      <c r="A1793" s="19" t="n">
        <v>1792</v>
      </c>
      <c r="B1793" s="20" t="n">
        <v>46576</v>
      </c>
      <c r="C1793" s="21" t="n">
        <v>10</v>
      </c>
      <c r="D1793" s="25" t="inlineStr">
        <is>
          <t>Payout</t>
        </is>
      </c>
      <c r="E1793" s="19" t="inlineStr">
        <is>
          <t>Kickstart Trading</t>
        </is>
      </c>
      <c r="F1793" s="19" t="inlineStr">
        <is>
          <t>#60 Instant-Direct 100k</t>
        </is>
      </c>
      <c r="G1793" s="22" t="n">
        <v>100000</v>
      </c>
      <c r="H1793" s="22" t="n">
        <v>8000</v>
      </c>
      <c r="I1793" s="22" t="n">
        <v>12587463.15</v>
      </c>
      <c r="J1793" s="19" t="inlineStr">
        <is>
          <t>10 % × 100,000 × split 80%</t>
        </is>
      </c>
    </row>
    <row r="1794">
      <c r="A1794" s="13" t="n">
        <v>1793</v>
      </c>
      <c r="B1794" s="14" t="n">
        <v>46576</v>
      </c>
      <c r="C1794" s="15" t="n">
        <v>10</v>
      </c>
      <c r="D1794" s="25" t="inlineStr">
        <is>
          <t>Payout</t>
        </is>
      </c>
      <c r="E1794" s="13" t="inlineStr">
        <is>
          <t>Kickstart Trading</t>
        </is>
      </c>
      <c r="F1794" s="13" t="inlineStr">
        <is>
          <t>#61 Instant-Direct 100k</t>
        </is>
      </c>
      <c r="G1794" s="17" t="n">
        <v>100000</v>
      </c>
      <c r="H1794" s="17" t="n">
        <v>8000</v>
      </c>
      <c r="I1794" s="17" t="n">
        <v>12595463.15</v>
      </c>
      <c r="J1794" s="13" t="inlineStr">
        <is>
          <t>10 % × 100,000 × split 80%</t>
        </is>
      </c>
    </row>
    <row r="1795">
      <c r="A1795" s="19" t="n">
        <v>1794</v>
      </c>
      <c r="B1795" s="20" t="n">
        <v>46576</v>
      </c>
      <c r="C1795" s="21" t="n">
        <v>10</v>
      </c>
      <c r="D1795" s="25" t="inlineStr">
        <is>
          <t>Payout</t>
        </is>
      </c>
      <c r="E1795" s="19" t="inlineStr">
        <is>
          <t>Kickstart Trading</t>
        </is>
      </c>
      <c r="F1795" s="19" t="inlineStr">
        <is>
          <t>#62 Instant-Direct 100k</t>
        </is>
      </c>
      <c r="G1795" s="22" t="n">
        <v>100000</v>
      </c>
      <c r="H1795" s="22" t="n">
        <v>8000</v>
      </c>
      <c r="I1795" s="22" t="n">
        <v>12603463.15</v>
      </c>
      <c r="J1795" s="19" t="inlineStr">
        <is>
          <t>10 % × 100,000 × split 80%</t>
        </is>
      </c>
    </row>
    <row r="1796">
      <c r="A1796" s="13" t="n">
        <v>1795</v>
      </c>
      <c r="B1796" s="14" t="n">
        <v>46576</v>
      </c>
      <c r="C1796" s="15" t="n">
        <v>10</v>
      </c>
      <c r="D1796" s="25" t="inlineStr">
        <is>
          <t>Payout</t>
        </is>
      </c>
      <c r="E1796" s="13" t="inlineStr">
        <is>
          <t>Kickstart Trading</t>
        </is>
      </c>
      <c r="F1796" s="13" t="inlineStr">
        <is>
          <t>#63 Instant-Direct 100k</t>
        </is>
      </c>
      <c r="G1796" s="17" t="n">
        <v>100000</v>
      </c>
      <c r="H1796" s="17" t="n">
        <v>8000</v>
      </c>
      <c r="I1796" s="17" t="n">
        <v>12611463.15</v>
      </c>
      <c r="J1796" s="13" t="inlineStr">
        <is>
          <t>10 % × 100,000 × split 80%</t>
        </is>
      </c>
    </row>
    <row r="1797">
      <c r="A1797" s="19" t="n">
        <v>1796</v>
      </c>
      <c r="B1797" s="20" t="n">
        <v>46576</v>
      </c>
      <c r="C1797" s="21" t="n">
        <v>10</v>
      </c>
      <c r="D1797" s="25" t="inlineStr">
        <is>
          <t>Payout</t>
        </is>
      </c>
      <c r="E1797" s="19" t="inlineStr">
        <is>
          <t>Kickstart Trading</t>
        </is>
      </c>
      <c r="F1797" s="19" t="inlineStr">
        <is>
          <t>#64 Instant-Direct 100k</t>
        </is>
      </c>
      <c r="G1797" s="22" t="n">
        <v>100000</v>
      </c>
      <c r="H1797" s="22" t="n">
        <v>8000</v>
      </c>
      <c r="I1797" s="22" t="n">
        <v>12619463.15</v>
      </c>
      <c r="J1797" s="19" t="inlineStr">
        <is>
          <t>10 % × 100,000 × split 80%</t>
        </is>
      </c>
    </row>
    <row r="1798">
      <c r="A1798" s="13" t="n">
        <v>1797</v>
      </c>
      <c r="B1798" s="14" t="n">
        <v>46576</v>
      </c>
      <c r="C1798" s="15" t="n">
        <v>10</v>
      </c>
      <c r="D1798" s="25" t="inlineStr">
        <is>
          <t>Payout</t>
        </is>
      </c>
      <c r="E1798" s="13" t="inlineStr">
        <is>
          <t>Kickstart Trading</t>
        </is>
      </c>
      <c r="F1798" s="13" t="inlineStr">
        <is>
          <t>#65 Instant-Direct 100k</t>
        </is>
      </c>
      <c r="G1798" s="17" t="n">
        <v>100000</v>
      </c>
      <c r="H1798" s="17" t="n">
        <v>8000</v>
      </c>
      <c r="I1798" s="17" t="n">
        <v>12627463.15</v>
      </c>
      <c r="J1798" s="13" t="inlineStr">
        <is>
          <t>10 % × 100,000 × split 80%</t>
        </is>
      </c>
    </row>
    <row r="1799">
      <c r="A1799" s="19" t="n">
        <v>1798</v>
      </c>
      <c r="B1799" s="20" t="n">
        <v>46576</v>
      </c>
      <c r="C1799" s="21" t="n">
        <v>10</v>
      </c>
      <c r="D1799" s="25" t="inlineStr">
        <is>
          <t>Payout</t>
        </is>
      </c>
      <c r="E1799" s="19" t="inlineStr">
        <is>
          <t>Audacity Capital</t>
        </is>
      </c>
      <c r="F1799" s="19" t="inlineStr">
        <is>
          <t>#66 Instant-Direct 50k</t>
        </is>
      </c>
      <c r="G1799" s="22" t="n">
        <v>50000</v>
      </c>
      <c r="H1799" s="22" t="n">
        <v>4500</v>
      </c>
      <c r="I1799" s="22" t="n">
        <v>12631963.15</v>
      </c>
      <c r="J1799" s="19" t="inlineStr">
        <is>
          <t>10 % × 50,000 × split 90%</t>
        </is>
      </c>
    </row>
    <row r="1800">
      <c r="A1800" s="13" t="n">
        <v>1799</v>
      </c>
      <c r="B1800" s="14" t="n">
        <v>46576</v>
      </c>
      <c r="C1800" s="15" t="n">
        <v>10</v>
      </c>
      <c r="D1800" s="25" t="inlineStr">
        <is>
          <t>Payout</t>
        </is>
      </c>
      <c r="E1800" s="13" t="inlineStr">
        <is>
          <t>Audacity Capital</t>
        </is>
      </c>
      <c r="F1800" s="13" t="inlineStr">
        <is>
          <t>#67 Instant-Direct 50k</t>
        </is>
      </c>
      <c r="G1800" s="17" t="n">
        <v>50000</v>
      </c>
      <c r="H1800" s="17" t="n">
        <v>4500</v>
      </c>
      <c r="I1800" s="17" t="n">
        <v>12636463.15</v>
      </c>
      <c r="J1800" s="13" t="inlineStr">
        <is>
          <t>10 % × 50,000 × split 90%</t>
        </is>
      </c>
    </row>
    <row r="1801">
      <c r="A1801" s="19" t="n">
        <v>1800</v>
      </c>
      <c r="B1801" s="20" t="n">
        <v>46576</v>
      </c>
      <c r="C1801" s="21" t="n">
        <v>10</v>
      </c>
      <c r="D1801" s="25" t="inlineStr">
        <is>
          <t>Payout</t>
        </is>
      </c>
      <c r="E1801" s="19" t="inlineStr">
        <is>
          <t>Audacity Capital</t>
        </is>
      </c>
      <c r="F1801" s="19" t="inlineStr">
        <is>
          <t>#68 Instant-Direct 50k</t>
        </is>
      </c>
      <c r="G1801" s="22" t="n">
        <v>50000</v>
      </c>
      <c r="H1801" s="22" t="n">
        <v>4500</v>
      </c>
      <c r="I1801" s="22" t="n">
        <v>12640963.15</v>
      </c>
      <c r="J1801" s="19" t="inlineStr">
        <is>
          <t>10 % × 50,000 × split 90%</t>
        </is>
      </c>
    </row>
    <row r="1802">
      <c r="A1802" s="13" t="n">
        <v>1801</v>
      </c>
      <c r="B1802" s="14" t="n">
        <v>46576</v>
      </c>
      <c r="C1802" s="15" t="n">
        <v>10</v>
      </c>
      <c r="D1802" s="25" t="inlineStr">
        <is>
          <t>Payout</t>
        </is>
      </c>
      <c r="E1802" s="13" t="inlineStr">
        <is>
          <t>Audacity Capital</t>
        </is>
      </c>
      <c r="F1802" s="13" t="inlineStr">
        <is>
          <t>#69 Instant-Direct 50k</t>
        </is>
      </c>
      <c r="G1802" s="17" t="n">
        <v>50000</v>
      </c>
      <c r="H1802" s="17" t="n">
        <v>4500</v>
      </c>
      <c r="I1802" s="17" t="n">
        <v>12645463.15</v>
      </c>
      <c r="J1802" s="13" t="inlineStr">
        <is>
          <t>10 % × 50,000 × split 90%</t>
        </is>
      </c>
    </row>
    <row r="1803">
      <c r="A1803" s="19" t="n">
        <v>1802</v>
      </c>
      <c r="B1803" s="20" t="n">
        <v>46576</v>
      </c>
      <c r="C1803" s="21" t="n">
        <v>10</v>
      </c>
      <c r="D1803" s="25" t="inlineStr">
        <is>
          <t>Payout</t>
        </is>
      </c>
      <c r="E1803" s="19" t="inlineStr">
        <is>
          <t>Audacity Capital</t>
        </is>
      </c>
      <c r="F1803" s="19" t="inlineStr">
        <is>
          <t>#70 Instant-Direct 50k</t>
        </is>
      </c>
      <c r="G1803" s="22" t="n">
        <v>50000</v>
      </c>
      <c r="H1803" s="22" t="n">
        <v>4500</v>
      </c>
      <c r="I1803" s="22" t="n">
        <v>12649963.15</v>
      </c>
      <c r="J1803" s="19" t="inlineStr">
        <is>
          <t>10 % × 50,000 × split 90%</t>
        </is>
      </c>
    </row>
    <row r="1804">
      <c r="A1804" s="13" t="n">
        <v>1803</v>
      </c>
      <c r="B1804" s="14" t="n">
        <v>46576</v>
      </c>
      <c r="C1804" s="15" t="n">
        <v>10</v>
      </c>
      <c r="D1804" s="25" t="inlineStr">
        <is>
          <t>Payout</t>
        </is>
      </c>
      <c r="E1804" s="13" t="inlineStr">
        <is>
          <t>Audacity Capital</t>
        </is>
      </c>
      <c r="F1804" s="13" t="inlineStr">
        <is>
          <t>#71 Instant-Direct 50k</t>
        </is>
      </c>
      <c r="G1804" s="17" t="n">
        <v>50000</v>
      </c>
      <c r="H1804" s="17" t="n">
        <v>4500</v>
      </c>
      <c r="I1804" s="17" t="n">
        <v>12654463.15</v>
      </c>
      <c r="J1804" s="13" t="inlineStr">
        <is>
          <t>10 % × 50,000 × split 90%</t>
        </is>
      </c>
    </row>
    <row r="1805">
      <c r="A1805" s="19" t="n">
        <v>1804</v>
      </c>
      <c r="B1805" s="20" t="n">
        <v>46576</v>
      </c>
      <c r="C1805" s="21" t="n">
        <v>10</v>
      </c>
      <c r="D1805" s="25" t="inlineStr">
        <is>
          <t>Payout</t>
        </is>
      </c>
      <c r="E1805" s="19" t="inlineStr">
        <is>
          <t>Audacity Capital</t>
        </is>
      </c>
      <c r="F1805" s="19" t="inlineStr">
        <is>
          <t>#72 Instant-Direct 50k</t>
        </is>
      </c>
      <c r="G1805" s="22" t="n">
        <v>50000</v>
      </c>
      <c r="H1805" s="22" t="n">
        <v>4500</v>
      </c>
      <c r="I1805" s="22" t="n">
        <v>12658963.15</v>
      </c>
      <c r="J1805" s="19" t="inlineStr">
        <is>
          <t>10 % × 50,000 × split 90%</t>
        </is>
      </c>
    </row>
    <row r="1806">
      <c r="A1806" s="13" t="n">
        <v>1805</v>
      </c>
      <c r="B1806" s="14" t="n">
        <v>46576</v>
      </c>
      <c r="C1806" s="15" t="n">
        <v>10</v>
      </c>
      <c r="D1806" s="25" t="inlineStr">
        <is>
          <t>Payout</t>
        </is>
      </c>
      <c r="E1806" s="13" t="inlineStr">
        <is>
          <t>Audacity Capital</t>
        </is>
      </c>
      <c r="F1806" s="13" t="inlineStr">
        <is>
          <t>#73 Instant-Direct 50k</t>
        </is>
      </c>
      <c r="G1806" s="17" t="n">
        <v>50000</v>
      </c>
      <c r="H1806" s="17" t="n">
        <v>4500</v>
      </c>
      <c r="I1806" s="17" t="n">
        <v>12663463.15</v>
      </c>
      <c r="J1806" s="13" t="inlineStr">
        <is>
          <t>10 % × 50,000 × split 90%</t>
        </is>
      </c>
    </row>
    <row r="1807">
      <c r="A1807" s="19" t="n">
        <v>1806</v>
      </c>
      <c r="B1807" s="20" t="n">
        <v>46576</v>
      </c>
      <c r="C1807" s="21" t="n">
        <v>10</v>
      </c>
      <c r="D1807" s="25" t="inlineStr">
        <is>
          <t>Payout</t>
        </is>
      </c>
      <c r="E1807" s="19" t="inlineStr">
        <is>
          <t>Audacity Capital</t>
        </is>
      </c>
      <c r="F1807" s="19" t="inlineStr">
        <is>
          <t>#74 Instant-Direct 50k</t>
        </is>
      </c>
      <c r="G1807" s="22" t="n">
        <v>50000</v>
      </c>
      <c r="H1807" s="22" t="n">
        <v>4500</v>
      </c>
      <c r="I1807" s="22" t="n">
        <v>12667963.15</v>
      </c>
      <c r="J1807" s="19" t="inlineStr">
        <is>
          <t>10 % × 50,000 × split 90%</t>
        </is>
      </c>
    </row>
    <row r="1808">
      <c r="A1808" s="13" t="n">
        <v>1807</v>
      </c>
      <c r="B1808" s="14" t="n">
        <v>46576</v>
      </c>
      <c r="C1808" s="15" t="n">
        <v>10</v>
      </c>
      <c r="D1808" s="25" t="inlineStr">
        <is>
          <t>Payout</t>
        </is>
      </c>
      <c r="E1808" s="13" t="inlineStr">
        <is>
          <t>Audacity Capital</t>
        </is>
      </c>
      <c r="F1808" s="13" t="inlineStr">
        <is>
          <t>#75 Instant-Direct 50k</t>
        </is>
      </c>
      <c r="G1808" s="17" t="n">
        <v>50000</v>
      </c>
      <c r="H1808" s="17" t="n">
        <v>4500</v>
      </c>
      <c r="I1808" s="17" t="n">
        <v>12672463.15</v>
      </c>
      <c r="J1808" s="13" t="inlineStr">
        <is>
          <t>10 % × 50,000 × split 90%</t>
        </is>
      </c>
    </row>
    <row r="1809">
      <c r="A1809" s="19" t="n">
        <v>1808</v>
      </c>
      <c r="B1809" s="20" t="n">
        <v>46576</v>
      </c>
      <c r="C1809" s="21" t="n">
        <v>10</v>
      </c>
      <c r="D1809" s="25" t="inlineStr">
        <is>
          <t>Payout</t>
        </is>
      </c>
      <c r="E1809" s="19" t="inlineStr">
        <is>
          <t>Audacity Capital</t>
        </is>
      </c>
      <c r="F1809" s="19" t="inlineStr">
        <is>
          <t>#76 Instant-Direct 50k</t>
        </is>
      </c>
      <c r="G1809" s="22" t="n">
        <v>50000</v>
      </c>
      <c r="H1809" s="22" t="n">
        <v>4500</v>
      </c>
      <c r="I1809" s="22" t="n">
        <v>12676963.15</v>
      </c>
      <c r="J1809" s="19" t="inlineStr">
        <is>
          <t>10 % × 50,000 × split 90%</t>
        </is>
      </c>
    </row>
    <row r="1810">
      <c r="A1810" s="13" t="n">
        <v>1809</v>
      </c>
      <c r="B1810" s="14" t="n">
        <v>46576</v>
      </c>
      <c r="C1810" s="15" t="n">
        <v>10</v>
      </c>
      <c r="D1810" s="25" t="inlineStr">
        <is>
          <t>Payout</t>
        </is>
      </c>
      <c r="E1810" s="13" t="inlineStr">
        <is>
          <t>Audacity Capital</t>
        </is>
      </c>
      <c r="F1810" s="13" t="inlineStr">
        <is>
          <t>#77 Instant-Direct 50k</t>
        </is>
      </c>
      <c r="G1810" s="17" t="n">
        <v>50000</v>
      </c>
      <c r="H1810" s="17" t="n">
        <v>4500</v>
      </c>
      <c r="I1810" s="17" t="n">
        <v>12681463.15</v>
      </c>
      <c r="J1810" s="13" t="inlineStr">
        <is>
          <t>10 % × 50,000 × split 90%</t>
        </is>
      </c>
    </row>
    <row r="1811">
      <c r="A1811" s="19" t="n">
        <v>1810</v>
      </c>
      <c r="B1811" s="20" t="n">
        <v>46576</v>
      </c>
      <c r="C1811" s="21" t="n">
        <v>10</v>
      </c>
      <c r="D1811" s="25" t="inlineStr">
        <is>
          <t>Payout</t>
        </is>
      </c>
      <c r="E1811" s="19" t="inlineStr">
        <is>
          <t>Audacity Capital</t>
        </is>
      </c>
      <c r="F1811" s="19" t="inlineStr">
        <is>
          <t>#78 Instant-Direct 50k</t>
        </is>
      </c>
      <c r="G1811" s="22" t="n">
        <v>50000</v>
      </c>
      <c r="H1811" s="22" t="n">
        <v>4500</v>
      </c>
      <c r="I1811" s="22" t="n">
        <v>12685963.15</v>
      </c>
      <c r="J1811" s="19" t="inlineStr">
        <is>
          <t>10 % × 50,000 × split 90%</t>
        </is>
      </c>
    </row>
    <row r="1812">
      <c r="A1812" s="13" t="n">
        <v>1811</v>
      </c>
      <c r="B1812" s="14" t="n">
        <v>46576</v>
      </c>
      <c r="C1812" s="15" t="n">
        <v>10</v>
      </c>
      <c r="D1812" s="25" t="inlineStr">
        <is>
          <t>Payout</t>
        </is>
      </c>
      <c r="E1812" s="13" t="inlineStr">
        <is>
          <t>Fill88</t>
        </is>
      </c>
      <c r="F1812" s="13" t="inlineStr">
        <is>
          <t>#79 Instant-Direct 100k</t>
        </is>
      </c>
      <c r="G1812" s="17" t="n">
        <v>100000</v>
      </c>
      <c r="H1812" s="17" t="n">
        <v>8000</v>
      </c>
      <c r="I1812" s="17" t="n">
        <v>12693963.15</v>
      </c>
      <c r="J1812" s="13" t="inlineStr">
        <is>
          <t>10 % × 100,000 × split 80%</t>
        </is>
      </c>
    </row>
    <row r="1813">
      <c r="A1813" s="19" t="n">
        <v>1812</v>
      </c>
      <c r="B1813" s="20" t="n">
        <v>46576</v>
      </c>
      <c r="C1813" s="21" t="n">
        <v>10</v>
      </c>
      <c r="D1813" s="25" t="inlineStr">
        <is>
          <t>Payout</t>
        </is>
      </c>
      <c r="E1813" s="19" t="inlineStr">
        <is>
          <t>Fill88</t>
        </is>
      </c>
      <c r="F1813" s="19" t="inlineStr">
        <is>
          <t>#80 Instant-Direct 100k</t>
        </is>
      </c>
      <c r="G1813" s="22" t="n">
        <v>100000</v>
      </c>
      <c r="H1813" s="22" t="n">
        <v>8000</v>
      </c>
      <c r="I1813" s="22" t="n">
        <v>12701963.15</v>
      </c>
      <c r="J1813" s="19" t="inlineStr">
        <is>
          <t>10 % × 100,000 × split 80%</t>
        </is>
      </c>
    </row>
    <row r="1814">
      <c r="A1814" s="13" t="n">
        <v>1813</v>
      </c>
      <c r="B1814" s="14" t="n">
        <v>46576</v>
      </c>
      <c r="C1814" s="15" t="n">
        <v>10</v>
      </c>
      <c r="D1814" s="25" t="inlineStr">
        <is>
          <t>Payout</t>
        </is>
      </c>
      <c r="E1814" s="13" t="inlineStr">
        <is>
          <t>Fill88</t>
        </is>
      </c>
      <c r="F1814" s="13" t="inlineStr">
        <is>
          <t>#81 Instant-Direct 100k</t>
        </is>
      </c>
      <c r="G1814" s="17" t="n">
        <v>100000</v>
      </c>
      <c r="H1814" s="17" t="n">
        <v>8000</v>
      </c>
      <c r="I1814" s="17" t="n">
        <v>12709963.15</v>
      </c>
      <c r="J1814" s="13" t="inlineStr">
        <is>
          <t>10 % × 100,000 × split 80%</t>
        </is>
      </c>
    </row>
    <row r="1815">
      <c r="A1815" s="19" t="n">
        <v>1814</v>
      </c>
      <c r="B1815" s="20" t="n">
        <v>46576</v>
      </c>
      <c r="C1815" s="21" t="n">
        <v>10</v>
      </c>
      <c r="D1815" s="25" t="inlineStr">
        <is>
          <t>Payout</t>
        </is>
      </c>
      <c r="E1815" s="19" t="inlineStr">
        <is>
          <t>Fill88</t>
        </is>
      </c>
      <c r="F1815" s="19" t="inlineStr">
        <is>
          <t>#82 Instant-Direct 100k</t>
        </is>
      </c>
      <c r="G1815" s="22" t="n">
        <v>100000</v>
      </c>
      <c r="H1815" s="22" t="n">
        <v>8000</v>
      </c>
      <c r="I1815" s="22" t="n">
        <v>12717963.15</v>
      </c>
      <c r="J1815" s="19" t="inlineStr">
        <is>
          <t>10 % × 100,000 × split 80%</t>
        </is>
      </c>
    </row>
    <row r="1816">
      <c r="A1816" s="13" t="n">
        <v>1815</v>
      </c>
      <c r="B1816" s="14" t="n">
        <v>46576</v>
      </c>
      <c r="C1816" s="15" t="n">
        <v>10</v>
      </c>
      <c r="D1816" s="25" t="inlineStr">
        <is>
          <t>Payout</t>
        </is>
      </c>
      <c r="E1816" s="13" t="inlineStr">
        <is>
          <t>Fill88</t>
        </is>
      </c>
      <c r="F1816" s="13" t="inlineStr">
        <is>
          <t>#83 Instant-Direct 100k</t>
        </is>
      </c>
      <c r="G1816" s="17" t="n">
        <v>100000</v>
      </c>
      <c r="H1816" s="17" t="n">
        <v>8000</v>
      </c>
      <c r="I1816" s="17" t="n">
        <v>12725963.15</v>
      </c>
      <c r="J1816" s="13" t="inlineStr">
        <is>
          <t>10 % × 100,000 × split 80%</t>
        </is>
      </c>
    </row>
    <row r="1817">
      <c r="A1817" s="19" t="n">
        <v>1816</v>
      </c>
      <c r="B1817" s="20" t="n">
        <v>46576</v>
      </c>
      <c r="C1817" s="21" t="n">
        <v>10</v>
      </c>
      <c r="D1817" s="25" t="inlineStr">
        <is>
          <t>Payout</t>
        </is>
      </c>
      <c r="E1817" s="19" t="inlineStr">
        <is>
          <t>Fill88</t>
        </is>
      </c>
      <c r="F1817" s="19" t="inlineStr">
        <is>
          <t>#84 Instant-Direct 100k</t>
        </is>
      </c>
      <c r="G1817" s="22" t="n">
        <v>100000</v>
      </c>
      <c r="H1817" s="22" t="n">
        <v>8000</v>
      </c>
      <c r="I1817" s="22" t="n">
        <v>12733963.15</v>
      </c>
      <c r="J1817" s="19" t="inlineStr">
        <is>
          <t>10 % × 100,000 × split 80%</t>
        </is>
      </c>
    </row>
    <row r="1818">
      <c r="A1818" s="13" t="n">
        <v>1817</v>
      </c>
      <c r="B1818" s="14" t="n">
        <v>46576</v>
      </c>
      <c r="C1818" s="15" t="n">
        <v>10</v>
      </c>
      <c r="D1818" s="25" t="inlineStr">
        <is>
          <t>Payout</t>
        </is>
      </c>
      <c r="E1818" s="13" t="inlineStr">
        <is>
          <t>Finotive Funding</t>
        </is>
      </c>
      <c r="F1818" s="13" t="inlineStr">
        <is>
          <t>#85 Instant-Direct 100k</t>
        </is>
      </c>
      <c r="G1818" s="17" t="n">
        <v>100000</v>
      </c>
      <c r="H1818" s="17" t="n">
        <v>7500</v>
      </c>
      <c r="I1818" s="17" t="n">
        <v>12741463.15</v>
      </c>
      <c r="J1818" s="13" t="inlineStr">
        <is>
          <t>10 % × 100,000 × split 75%</t>
        </is>
      </c>
    </row>
    <row r="1819">
      <c r="A1819" s="19" t="n">
        <v>1818</v>
      </c>
      <c r="B1819" s="20" t="n">
        <v>46576</v>
      </c>
      <c r="C1819" s="21" t="n">
        <v>10</v>
      </c>
      <c r="D1819" s="25" t="inlineStr">
        <is>
          <t>Payout</t>
        </is>
      </c>
      <c r="E1819" s="19" t="inlineStr">
        <is>
          <t>Finotive Funding</t>
        </is>
      </c>
      <c r="F1819" s="19" t="inlineStr">
        <is>
          <t>#86 Instant-Direct 100k</t>
        </is>
      </c>
      <c r="G1819" s="22" t="n">
        <v>100000</v>
      </c>
      <c r="H1819" s="22" t="n">
        <v>7500</v>
      </c>
      <c r="I1819" s="22" t="n">
        <v>12748963.15</v>
      </c>
      <c r="J1819" s="19" t="inlineStr">
        <is>
          <t>10 % × 100,000 × split 75%</t>
        </is>
      </c>
    </row>
    <row r="1820">
      <c r="A1820" s="13" t="n">
        <v>1819</v>
      </c>
      <c r="B1820" s="14" t="n">
        <v>46576</v>
      </c>
      <c r="C1820" s="15" t="n">
        <v>10</v>
      </c>
      <c r="D1820" s="25" t="inlineStr">
        <is>
          <t>Payout</t>
        </is>
      </c>
      <c r="E1820" s="13" t="inlineStr">
        <is>
          <t>Finotive Funding</t>
        </is>
      </c>
      <c r="F1820" s="13" t="inlineStr">
        <is>
          <t>#87 Instant-Direct 100k</t>
        </is>
      </c>
      <c r="G1820" s="17" t="n">
        <v>100000</v>
      </c>
      <c r="H1820" s="17" t="n">
        <v>7500</v>
      </c>
      <c r="I1820" s="17" t="n">
        <v>12756463.15</v>
      </c>
      <c r="J1820" s="13" t="inlineStr">
        <is>
          <t>10 % × 100,000 × split 75%</t>
        </is>
      </c>
    </row>
    <row r="1821">
      <c r="A1821" s="19" t="n">
        <v>1820</v>
      </c>
      <c r="B1821" s="20" t="n">
        <v>46576</v>
      </c>
      <c r="C1821" s="21" t="n">
        <v>10</v>
      </c>
      <c r="D1821" s="25" t="inlineStr">
        <is>
          <t>Payout</t>
        </is>
      </c>
      <c r="E1821" s="19" t="inlineStr">
        <is>
          <t>Finotive Funding</t>
        </is>
      </c>
      <c r="F1821" s="19" t="inlineStr">
        <is>
          <t>#88 Instant-Direct 100k</t>
        </is>
      </c>
      <c r="G1821" s="22" t="n">
        <v>100000</v>
      </c>
      <c r="H1821" s="22" t="n">
        <v>7500</v>
      </c>
      <c r="I1821" s="22" t="n">
        <v>12763963.15</v>
      </c>
      <c r="J1821" s="19" t="inlineStr">
        <is>
          <t>10 % × 100,000 × split 75%</t>
        </is>
      </c>
    </row>
    <row r="1822">
      <c r="A1822" s="13" t="n">
        <v>1821</v>
      </c>
      <c r="B1822" s="14" t="n">
        <v>46576</v>
      </c>
      <c r="C1822" s="15" t="n">
        <v>10</v>
      </c>
      <c r="D1822" s="25" t="inlineStr">
        <is>
          <t>Payout</t>
        </is>
      </c>
      <c r="E1822" s="13" t="inlineStr">
        <is>
          <t>Finotive Funding</t>
        </is>
      </c>
      <c r="F1822" s="13" t="inlineStr">
        <is>
          <t>#89 Instant-Direct 100k</t>
        </is>
      </c>
      <c r="G1822" s="17" t="n">
        <v>100000</v>
      </c>
      <c r="H1822" s="17" t="n">
        <v>7500</v>
      </c>
      <c r="I1822" s="17" t="n">
        <v>12771463.15</v>
      </c>
      <c r="J1822" s="13" t="inlineStr">
        <is>
          <t>10 % × 100,000 × split 75%</t>
        </is>
      </c>
    </row>
    <row r="1823">
      <c r="A1823" s="19" t="n">
        <v>1822</v>
      </c>
      <c r="B1823" s="20" t="n">
        <v>46576</v>
      </c>
      <c r="C1823" s="21" t="n">
        <v>10</v>
      </c>
      <c r="D1823" s="25" t="inlineStr">
        <is>
          <t>Payout</t>
        </is>
      </c>
      <c r="E1823" s="19" t="inlineStr">
        <is>
          <t>Finotive Funding</t>
        </is>
      </c>
      <c r="F1823" s="19" t="inlineStr">
        <is>
          <t>#90 Instant-Direct 100k</t>
        </is>
      </c>
      <c r="G1823" s="22" t="n">
        <v>100000</v>
      </c>
      <c r="H1823" s="22" t="n">
        <v>7500</v>
      </c>
      <c r="I1823" s="22" t="n">
        <v>12778963.15</v>
      </c>
      <c r="J1823" s="19" t="inlineStr">
        <is>
          <t>10 % × 100,000 × split 75%</t>
        </is>
      </c>
    </row>
    <row r="1824">
      <c r="A1824" s="13" t="n">
        <v>1823</v>
      </c>
      <c r="B1824" s="14" t="n">
        <v>46576</v>
      </c>
      <c r="C1824" s="15" t="n">
        <v>10</v>
      </c>
      <c r="D1824" s="25" t="inlineStr">
        <is>
          <t>Payout</t>
        </is>
      </c>
      <c r="E1824" s="13" t="inlineStr">
        <is>
          <t>FNC Funding</t>
        </is>
      </c>
      <c r="F1824" s="13" t="inlineStr">
        <is>
          <t>#91 Instant-Direct 100k</t>
        </is>
      </c>
      <c r="G1824" s="17" t="n">
        <v>100000</v>
      </c>
      <c r="H1824" s="17" t="n">
        <v>7500</v>
      </c>
      <c r="I1824" s="17" t="n">
        <v>12786463.15</v>
      </c>
      <c r="J1824" s="13" t="inlineStr">
        <is>
          <t>10 % × 100,000 × split 75%</t>
        </is>
      </c>
    </row>
    <row r="1825">
      <c r="A1825" s="19" t="n">
        <v>1824</v>
      </c>
      <c r="B1825" s="20" t="n">
        <v>46576</v>
      </c>
      <c r="C1825" s="21" t="n">
        <v>10</v>
      </c>
      <c r="D1825" s="25" t="inlineStr">
        <is>
          <t>Payout</t>
        </is>
      </c>
      <c r="E1825" s="19" t="inlineStr">
        <is>
          <t>FNC Funding</t>
        </is>
      </c>
      <c r="F1825" s="19" t="inlineStr">
        <is>
          <t>#92 Instant-Direct 100k</t>
        </is>
      </c>
      <c r="G1825" s="22" t="n">
        <v>100000</v>
      </c>
      <c r="H1825" s="22" t="n">
        <v>7500</v>
      </c>
      <c r="I1825" s="22" t="n">
        <v>12793963.15</v>
      </c>
      <c r="J1825" s="19" t="inlineStr">
        <is>
          <t>10 % × 100,000 × split 75%</t>
        </is>
      </c>
    </row>
    <row r="1826">
      <c r="A1826" s="13" t="n">
        <v>1825</v>
      </c>
      <c r="B1826" s="14" t="n">
        <v>46576</v>
      </c>
      <c r="C1826" s="15" t="n">
        <v>10</v>
      </c>
      <c r="D1826" s="25" t="inlineStr">
        <is>
          <t>Payout</t>
        </is>
      </c>
      <c r="E1826" s="13" t="inlineStr">
        <is>
          <t>FNC Funding</t>
        </is>
      </c>
      <c r="F1826" s="13" t="inlineStr">
        <is>
          <t>#93 Instant-Direct 100k</t>
        </is>
      </c>
      <c r="G1826" s="17" t="n">
        <v>100000</v>
      </c>
      <c r="H1826" s="17" t="n">
        <v>7500</v>
      </c>
      <c r="I1826" s="17" t="n">
        <v>12801463.15</v>
      </c>
      <c r="J1826" s="13" t="inlineStr">
        <is>
          <t>10 % × 100,000 × split 75%</t>
        </is>
      </c>
    </row>
    <row r="1827">
      <c r="A1827" s="19" t="n">
        <v>1826</v>
      </c>
      <c r="B1827" s="20" t="n">
        <v>46576</v>
      </c>
      <c r="C1827" s="21" t="n">
        <v>10</v>
      </c>
      <c r="D1827" s="25" t="inlineStr">
        <is>
          <t>Payout</t>
        </is>
      </c>
      <c r="E1827" s="19" t="inlineStr">
        <is>
          <t>FNC Funding</t>
        </is>
      </c>
      <c r="F1827" s="19" t="inlineStr">
        <is>
          <t>#94 Instant-Direct 100k</t>
        </is>
      </c>
      <c r="G1827" s="22" t="n">
        <v>100000</v>
      </c>
      <c r="H1827" s="22" t="n">
        <v>7500</v>
      </c>
      <c r="I1827" s="22" t="n">
        <v>12808963.15</v>
      </c>
      <c r="J1827" s="19" t="inlineStr">
        <is>
          <t>10 % × 100,000 × split 75%</t>
        </is>
      </c>
    </row>
    <row r="1828">
      <c r="A1828" s="13" t="n">
        <v>1827</v>
      </c>
      <c r="B1828" s="14" t="n">
        <v>46576</v>
      </c>
      <c r="C1828" s="15" t="n">
        <v>10</v>
      </c>
      <c r="D1828" s="25" t="inlineStr">
        <is>
          <t>Payout</t>
        </is>
      </c>
      <c r="E1828" s="13" t="inlineStr">
        <is>
          <t>FNC Funding</t>
        </is>
      </c>
      <c r="F1828" s="13" t="inlineStr">
        <is>
          <t>#95 Instant-Direct 100k</t>
        </is>
      </c>
      <c r="G1828" s="17" t="n">
        <v>100000</v>
      </c>
      <c r="H1828" s="17" t="n">
        <v>7500</v>
      </c>
      <c r="I1828" s="17" t="n">
        <v>12816463.15</v>
      </c>
      <c r="J1828" s="13" t="inlineStr">
        <is>
          <t>10 % × 100,000 × split 75%</t>
        </is>
      </c>
    </row>
    <row r="1829">
      <c r="A1829" s="19" t="n">
        <v>1828</v>
      </c>
      <c r="B1829" s="20" t="n">
        <v>46576</v>
      </c>
      <c r="C1829" s="21" t="n">
        <v>10</v>
      </c>
      <c r="D1829" s="25" t="inlineStr">
        <is>
          <t>Payout</t>
        </is>
      </c>
      <c r="E1829" s="19" t="inlineStr">
        <is>
          <t>Funding Traders</t>
        </is>
      </c>
      <c r="F1829" s="19" t="inlineStr">
        <is>
          <t>#96 Instant-Direct 400k</t>
        </is>
      </c>
      <c r="G1829" s="22" t="n">
        <v>400000</v>
      </c>
      <c r="H1829" s="22" t="n">
        <v>40000</v>
      </c>
      <c r="I1829" s="22" t="n">
        <v>12856463.15</v>
      </c>
      <c r="J1829" s="19" t="inlineStr">
        <is>
          <t>10 % × 400,000 × split 100%</t>
        </is>
      </c>
    </row>
    <row r="1830">
      <c r="A1830" s="13" t="n">
        <v>1829</v>
      </c>
      <c r="B1830" s="14" t="n">
        <v>46576</v>
      </c>
      <c r="C1830" s="15" t="n">
        <v>10</v>
      </c>
      <c r="D1830" s="25" t="inlineStr">
        <is>
          <t>Payout</t>
        </is>
      </c>
      <c r="E1830" s="13" t="inlineStr">
        <is>
          <t>Ifunds</t>
        </is>
      </c>
      <c r="F1830" s="13" t="inlineStr">
        <is>
          <t>#97 Instant-Direct 500k</t>
        </is>
      </c>
      <c r="G1830" s="17" t="n">
        <v>500000</v>
      </c>
      <c r="H1830" s="17" t="n">
        <v>40000</v>
      </c>
      <c r="I1830" s="17" t="n">
        <v>12896463.15</v>
      </c>
      <c r="J1830" s="13" t="inlineStr">
        <is>
          <t>10 % × 500,000 × split 80%</t>
        </is>
      </c>
    </row>
    <row r="1831">
      <c r="A1831" s="19" t="n">
        <v>1830</v>
      </c>
      <c r="B1831" s="20" t="n">
        <v>46576</v>
      </c>
      <c r="C1831" s="21" t="n">
        <v>10</v>
      </c>
      <c r="D1831" s="25" t="inlineStr">
        <is>
          <t>Payout</t>
        </is>
      </c>
      <c r="E1831" s="19" t="inlineStr">
        <is>
          <t>Alpine Funded</t>
        </is>
      </c>
      <c r="F1831" s="19" t="inlineStr">
        <is>
          <t>#98 Instant-Direct 200k</t>
        </is>
      </c>
      <c r="G1831" s="22" t="n">
        <v>200000</v>
      </c>
      <c r="H1831" s="22" t="n">
        <v>20000</v>
      </c>
      <c r="I1831" s="22" t="n">
        <v>12916463.15</v>
      </c>
      <c r="J1831" s="19" t="inlineStr">
        <is>
          <t>10 % × 200,000 × split 100%</t>
        </is>
      </c>
    </row>
    <row r="1832">
      <c r="A1832" s="13" t="n">
        <v>1831</v>
      </c>
      <c r="B1832" s="14" t="n">
        <v>46576</v>
      </c>
      <c r="C1832" s="15" t="n">
        <v>10</v>
      </c>
      <c r="D1832" s="25" t="inlineStr">
        <is>
          <t>Payout</t>
        </is>
      </c>
      <c r="E1832" s="13" t="inlineStr">
        <is>
          <t>Alpine Funded</t>
        </is>
      </c>
      <c r="F1832" s="13" t="inlineStr">
        <is>
          <t>#99 Instant-Direct 200k</t>
        </is>
      </c>
      <c r="G1832" s="17" t="n">
        <v>200000</v>
      </c>
      <c r="H1832" s="17" t="n">
        <v>20000</v>
      </c>
      <c r="I1832" s="17" t="n">
        <v>12936463.15</v>
      </c>
      <c r="J1832" s="13" t="inlineStr">
        <is>
          <t>10 % × 200,000 × split 100%</t>
        </is>
      </c>
    </row>
    <row r="1833">
      <c r="A1833" s="19" t="n">
        <v>1832</v>
      </c>
      <c r="B1833" s="20" t="n">
        <v>46576</v>
      </c>
      <c r="C1833" s="21" t="n">
        <v>10</v>
      </c>
      <c r="D1833" s="25" t="inlineStr">
        <is>
          <t>Payout</t>
        </is>
      </c>
      <c r="E1833" s="19" t="inlineStr">
        <is>
          <t>AquaFunded</t>
        </is>
      </c>
      <c r="F1833" s="19" t="inlineStr">
        <is>
          <t>#100 Instant-Direct 400k</t>
        </is>
      </c>
      <c r="G1833" s="22" t="n">
        <v>400000</v>
      </c>
      <c r="H1833" s="22" t="n">
        <v>36000</v>
      </c>
      <c r="I1833" s="22" t="n">
        <v>12972463.15</v>
      </c>
      <c r="J1833" s="19" t="inlineStr">
        <is>
          <t>10 % × 400,000 × split 90%</t>
        </is>
      </c>
    </row>
    <row r="1834">
      <c r="A1834" s="13" t="n">
        <v>1833</v>
      </c>
      <c r="B1834" s="14" t="n">
        <v>46576</v>
      </c>
      <c r="C1834" s="15" t="n">
        <v>10</v>
      </c>
      <c r="D1834" s="25" t="inlineStr">
        <is>
          <t>Payout</t>
        </is>
      </c>
      <c r="E1834" s="13" t="inlineStr">
        <is>
          <t>Atlas Funded</t>
        </is>
      </c>
      <c r="F1834" s="13" t="inlineStr">
        <is>
          <t>#101 Instant-Direct 300k</t>
        </is>
      </c>
      <c r="G1834" s="17" t="n">
        <v>300000</v>
      </c>
      <c r="H1834" s="17" t="n">
        <v>30000</v>
      </c>
      <c r="I1834" s="17" t="n">
        <v>13002463.15</v>
      </c>
      <c r="J1834" s="13" t="inlineStr">
        <is>
          <t>10 % × 300,000 × split 100%</t>
        </is>
      </c>
    </row>
    <row r="1835">
      <c r="A1835" s="19" t="n">
        <v>1834</v>
      </c>
      <c r="B1835" s="20" t="n">
        <v>46576</v>
      </c>
      <c r="C1835" s="21" t="n">
        <v>10</v>
      </c>
      <c r="D1835" s="25" t="inlineStr">
        <is>
          <t>Payout</t>
        </is>
      </c>
      <c r="E1835" s="19" t="inlineStr">
        <is>
          <t>Atmos Funded</t>
        </is>
      </c>
      <c r="F1835" s="19" t="inlineStr">
        <is>
          <t>#102 Instant-Direct 100k</t>
        </is>
      </c>
      <c r="G1835" s="22" t="n">
        <v>100000</v>
      </c>
      <c r="H1835" s="22" t="n">
        <v>9000</v>
      </c>
      <c r="I1835" s="22" t="n">
        <v>13011463.15</v>
      </c>
      <c r="J1835" s="19" t="inlineStr">
        <is>
          <t>10 % × 100,000 × split 90%</t>
        </is>
      </c>
    </row>
    <row r="1836">
      <c r="A1836" s="13" t="n">
        <v>1835</v>
      </c>
      <c r="B1836" s="14" t="n">
        <v>46576</v>
      </c>
      <c r="C1836" s="15" t="n">
        <v>10</v>
      </c>
      <c r="D1836" s="25" t="inlineStr">
        <is>
          <t>Payout</t>
        </is>
      </c>
      <c r="E1836" s="13" t="inlineStr">
        <is>
          <t>Atmos Funded</t>
        </is>
      </c>
      <c r="F1836" s="13" t="inlineStr">
        <is>
          <t>#103 Instant-Direct 100k</t>
        </is>
      </c>
      <c r="G1836" s="17" t="n">
        <v>100000</v>
      </c>
      <c r="H1836" s="17" t="n">
        <v>9000</v>
      </c>
      <c r="I1836" s="17" t="n">
        <v>13020463.15</v>
      </c>
      <c r="J1836" s="13" t="inlineStr">
        <is>
          <t>10 % × 100,000 × split 90%</t>
        </is>
      </c>
    </row>
    <row r="1837">
      <c r="A1837" s="19" t="n">
        <v>1836</v>
      </c>
      <c r="B1837" s="20" t="n">
        <v>46576</v>
      </c>
      <c r="C1837" s="21" t="n">
        <v>10</v>
      </c>
      <c r="D1837" s="25" t="inlineStr">
        <is>
          <t>Payout</t>
        </is>
      </c>
      <c r="E1837" s="19" t="inlineStr">
        <is>
          <t>Atmos Funded</t>
        </is>
      </c>
      <c r="F1837" s="19" t="inlineStr">
        <is>
          <t>#104 Instant-Direct 100k</t>
        </is>
      </c>
      <c r="G1837" s="22" t="n">
        <v>100000</v>
      </c>
      <c r="H1837" s="22" t="n">
        <v>9000</v>
      </c>
      <c r="I1837" s="22" t="n">
        <v>13029463.15</v>
      </c>
      <c r="J1837" s="19" t="inlineStr">
        <is>
          <t>10 % × 100,000 × split 90%</t>
        </is>
      </c>
    </row>
    <row r="1838">
      <c r="A1838" s="13" t="n">
        <v>1837</v>
      </c>
      <c r="B1838" s="14" t="n">
        <v>46576</v>
      </c>
      <c r="C1838" s="15" t="n">
        <v>10</v>
      </c>
      <c r="D1838" s="25" t="inlineStr">
        <is>
          <t>Payout</t>
        </is>
      </c>
      <c r="E1838" s="13" t="inlineStr">
        <is>
          <t>Atmos Funded</t>
        </is>
      </c>
      <c r="F1838" s="13" t="inlineStr">
        <is>
          <t>#105 Instant-Direct 100k</t>
        </is>
      </c>
      <c r="G1838" s="17" t="n">
        <v>100000</v>
      </c>
      <c r="H1838" s="17" t="n">
        <v>9000</v>
      </c>
      <c r="I1838" s="17" t="n">
        <v>13038463.15</v>
      </c>
      <c r="J1838" s="13" t="inlineStr">
        <is>
          <t>10 % × 100,000 × split 90%</t>
        </is>
      </c>
    </row>
    <row r="1839">
      <c r="A1839" s="19" t="n">
        <v>1838</v>
      </c>
      <c r="B1839" s="20" t="n">
        <v>46576</v>
      </c>
      <c r="C1839" s="21" t="n">
        <v>10</v>
      </c>
      <c r="D1839" s="25" t="inlineStr">
        <is>
          <t>Payout</t>
        </is>
      </c>
      <c r="E1839" s="19" t="inlineStr">
        <is>
          <t>Blue Guardian</t>
        </is>
      </c>
      <c r="F1839" s="19" t="inlineStr">
        <is>
          <t>#106 Instant-Direct 400k</t>
        </is>
      </c>
      <c r="G1839" s="22" t="n">
        <v>400000</v>
      </c>
      <c r="H1839" s="22" t="n">
        <v>32000</v>
      </c>
      <c r="I1839" s="22" t="n">
        <v>13070463.15</v>
      </c>
      <c r="J1839" s="19" t="inlineStr">
        <is>
          <t>10 % × 400,000 × split 80%</t>
        </is>
      </c>
    </row>
    <row r="1840">
      <c r="A1840" s="13" t="n">
        <v>1839</v>
      </c>
      <c r="B1840" s="14" t="n">
        <v>46576</v>
      </c>
      <c r="C1840" s="15" t="n">
        <v>10</v>
      </c>
      <c r="D1840" s="25" t="inlineStr">
        <is>
          <t>Payout</t>
        </is>
      </c>
      <c r="E1840" s="13" t="inlineStr">
        <is>
          <t>FundedElite</t>
        </is>
      </c>
      <c r="F1840" s="13" t="inlineStr">
        <is>
          <t>#107 Instant-Direct 100k</t>
        </is>
      </c>
      <c r="G1840" s="17" t="n">
        <v>100000</v>
      </c>
      <c r="H1840" s="17" t="n">
        <v>9500</v>
      </c>
      <c r="I1840" s="17" t="n">
        <v>13079963.15</v>
      </c>
      <c r="J1840" s="13" t="inlineStr">
        <is>
          <t>10 % × 100,000 × split 95%</t>
        </is>
      </c>
    </row>
    <row r="1841">
      <c r="A1841" s="19" t="n">
        <v>1840</v>
      </c>
      <c r="B1841" s="20" t="n">
        <v>46576</v>
      </c>
      <c r="C1841" s="21" t="n">
        <v>10</v>
      </c>
      <c r="D1841" s="25" t="inlineStr">
        <is>
          <t>Payout</t>
        </is>
      </c>
      <c r="E1841" s="19" t="inlineStr">
        <is>
          <t>FundedElite</t>
        </is>
      </c>
      <c r="F1841" s="19" t="inlineStr">
        <is>
          <t>#108 Instant-Direct 100k</t>
        </is>
      </c>
      <c r="G1841" s="22" t="n">
        <v>100000</v>
      </c>
      <c r="H1841" s="22" t="n">
        <v>9500</v>
      </c>
      <c r="I1841" s="22" t="n">
        <v>13089463.15</v>
      </c>
      <c r="J1841" s="19" t="inlineStr">
        <is>
          <t>10 % × 100,000 × split 95%</t>
        </is>
      </c>
    </row>
    <row r="1842">
      <c r="A1842" s="13" t="n">
        <v>1841</v>
      </c>
      <c r="B1842" s="14" t="n">
        <v>46576</v>
      </c>
      <c r="C1842" s="15" t="n">
        <v>10</v>
      </c>
      <c r="D1842" s="25" t="inlineStr">
        <is>
          <t>Payout</t>
        </is>
      </c>
      <c r="E1842" s="13" t="inlineStr">
        <is>
          <t>FundedElite</t>
        </is>
      </c>
      <c r="F1842" s="13" t="inlineStr">
        <is>
          <t>#109 Instant-Direct 100k</t>
        </is>
      </c>
      <c r="G1842" s="17" t="n">
        <v>100000</v>
      </c>
      <c r="H1842" s="17" t="n">
        <v>9500</v>
      </c>
      <c r="I1842" s="17" t="n">
        <v>13098963.15</v>
      </c>
      <c r="J1842" s="13" t="inlineStr">
        <is>
          <t>10 % × 100,000 × split 95%</t>
        </is>
      </c>
    </row>
    <row r="1843">
      <c r="A1843" s="19" t="n">
        <v>1842</v>
      </c>
      <c r="B1843" s="20" t="n">
        <v>46576</v>
      </c>
      <c r="C1843" s="21" t="n">
        <v>10</v>
      </c>
      <c r="D1843" s="25" t="inlineStr">
        <is>
          <t>Payout</t>
        </is>
      </c>
      <c r="E1843" s="19" t="inlineStr">
        <is>
          <t>FundedElite</t>
        </is>
      </c>
      <c r="F1843" s="19" t="inlineStr">
        <is>
          <t>#110 Instant-Direct 100k</t>
        </is>
      </c>
      <c r="G1843" s="22" t="n">
        <v>100000</v>
      </c>
      <c r="H1843" s="22" t="n">
        <v>9500</v>
      </c>
      <c r="I1843" s="22" t="n">
        <v>13108463.15</v>
      </c>
      <c r="J1843" s="19" t="inlineStr">
        <is>
          <t>10 % × 100,000 × split 95%</t>
        </is>
      </c>
    </row>
    <row r="1844">
      <c r="A1844" s="13" t="n">
        <v>1843</v>
      </c>
      <c r="B1844" s="14" t="n">
        <v>46576</v>
      </c>
      <c r="C1844" s="15" t="n">
        <v>10</v>
      </c>
      <c r="D1844" s="25" t="inlineStr">
        <is>
          <t>Payout</t>
        </is>
      </c>
      <c r="E1844" s="13" t="inlineStr">
        <is>
          <t>Funding Pips</t>
        </is>
      </c>
      <c r="F1844" s="13" t="inlineStr">
        <is>
          <t>#111 Instant-Direct 200k</t>
        </is>
      </c>
      <c r="G1844" s="17" t="n">
        <v>200000</v>
      </c>
      <c r="H1844" s="17" t="n">
        <v>20000</v>
      </c>
      <c r="I1844" s="17" t="n">
        <v>13128463.15</v>
      </c>
      <c r="J1844" s="13" t="inlineStr">
        <is>
          <t>10 % × 200,000 × split 100%</t>
        </is>
      </c>
    </row>
    <row r="1845">
      <c r="A1845" s="19" t="n">
        <v>1844</v>
      </c>
      <c r="B1845" s="20" t="n">
        <v>46576</v>
      </c>
      <c r="C1845" s="21" t="n">
        <v>10</v>
      </c>
      <c r="D1845" s="25" t="inlineStr">
        <is>
          <t>Payout</t>
        </is>
      </c>
      <c r="E1845" s="19" t="inlineStr">
        <is>
          <t>Funding Pips</t>
        </is>
      </c>
      <c r="F1845" s="19" t="inlineStr">
        <is>
          <t>#112 Instant-Direct 200k</t>
        </is>
      </c>
      <c r="G1845" s="22" t="n">
        <v>200000</v>
      </c>
      <c r="H1845" s="22" t="n">
        <v>20000</v>
      </c>
      <c r="I1845" s="22" t="n">
        <v>13148463.15</v>
      </c>
      <c r="J1845" s="19" t="inlineStr">
        <is>
          <t>10 % × 200,000 × split 100%</t>
        </is>
      </c>
    </row>
    <row r="1846">
      <c r="A1846" s="13" t="n">
        <v>1845</v>
      </c>
      <c r="B1846" s="14" t="n">
        <v>46576</v>
      </c>
      <c r="C1846" s="15" t="n">
        <v>10</v>
      </c>
      <c r="D1846" s="25" t="inlineStr">
        <is>
          <t>Payout</t>
        </is>
      </c>
      <c r="E1846" s="13" t="inlineStr">
        <is>
          <t>Global Forex Funds</t>
        </is>
      </c>
      <c r="F1846" s="13" t="inlineStr">
        <is>
          <t>#113 Instant-Direct 100k</t>
        </is>
      </c>
      <c r="G1846" s="17" t="n">
        <v>100000</v>
      </c>
      <c r="H1846" s="17" t="n">
        <v>9000</v>
      </c>
      <c r="I1846" s="17" t="n">
        <v>13157463.15</v>
      </c>
      <c r="J1846" s="13" t="inlineStr">
        <is>
          <t>10 % × 100,000 × split 90%</t>
        </is>
      </c>
    </row>
    <row r="1847">
      <c r="A1847" s="19" t="n">
        <v>1846</v>
      </c>
      <c r="B1847" s="20" t="n">
        <v>46576</v>
      </c>
      <c r="C1847" s="21" t="n">
        <v>10</v>
      </c>
      <c r="D1847" s="25" t="inlineStr">
        <is>
          <t>Payout</t>
        </is>
      </c>
      <c r="E1847" s="19" t="inlineStr">
        <is>
          <t>Goat Funded Trader</t>
        </is>
      </c>
      <c r="F1847" s="19" t="inlineStr">
        <is>
          <t>#114 Instant-Direct 100k</t>
        </is>
      </c>
      <c r="G1847" s="22" t="n">
        <v>100000</v>
      </c>
      <c r="H1847" s="22" t="n">
        <v>10000</v>
      </c>
      <c r="I1847" s="22" t="n">
        <v>13167463.15</v>
      </c>
      <c r="J1847" s="19" t="inlineStr">
        <is>
          <t>10 % × 100,000 × split 100%</t>
        </is>
      </c>
    </row>
    <row r="1848">
      <c r="A1848" s="13" t="n">
        <v>1847</v>
      </c>
      <c r="B1848" s="14" t="n">
        <v>46576</v>
      </c>
      <c r="C1848" s="15" t="n">
        <v>10</v>
      </c>
      <c r="D1848" s="25" t="inlineStr">
        <is>
          <t>Payout</t>
        </is>
      </c>
      <c r="E1848" s="13" t="inlineStr">
        <is>
          <t>Goat Funded Trader</t>
        </is>
      </c>
      <c r="F1848" s="13" t="inlineStr">
        <is>
          <t>#115 Instant-Direct 100k</t>
        </is>
      </c>
      <c r="G1848" s="17" t="n">
        <v>100000</v>
      </c>
      <c r="H1848" s="17" t="n">
        <v>10000</v>
      </c>
      <c r="I1848" s="17" t="n">
        <v>13177463.15</v>
      </c>
      <c r="J1848" s="13" t="inlineStr">
        <is>
          <t>10 % × 100,000 × split 100%</t>
        </is>
      </c>
    </row>
    <row r="1849">
      <c r="A1849" s="19" t="n">
        <v>1848</v>
      </c>
      <c r="B1849" s="20" t="n">
        <v>46576</v>
      </c>
      <c r="C1849" s="21" t="n">
        <v>10</v>
      </c>
      <c r="D1849" s="25" t="inlineStr">
        <is>
          <t>Payout</t>
        </is>
      </c>
      <c r="E1849" s="19" t="inlineStr">
        <is>
          <t>Goat Funded Trader</t>
        </is>
      </c>
      <c r="F1849" s="19" t="inlineStr">
        <is>
          <t>#116 Instant-Direct 100k</t>
        </is>
      </c>
      <c r="G1849" s="22" t="n">
        <v>100000</v>
      </c>
      <c r="H1849" s="22" t="n">
        <v>10000</v>
      </c>
      <c r="I1849" s="22" t="n">
        <v>13187463.15</v>
      </c>
      <c r="J1849" s="19" t="inlineStr">
        <is>
          <t>10 % × 100,000 × split 100%</t>
        </is>
      </c>
    </row>
    <row r="1850">
      <c r="A1850" s="13" t="n">
        <v>1849</v>
      </c>
      <c r="B1850" s="14" t="n">
        <v>46576</v>
      </c>
      <c r="C1850" s="15" t="n">
        <v>10</v>
      </c>
      <c r="D1850" s="25" t="inlineStr">
        <is>
          <t>Payout</t>
        </is>
      </c>
      <c r="E1850" s="13" t="inlineStr">
        <is>
          <t>Goat Funded Trader</t>
        </is>
      </c>
      <c r="F1850" s="13" t="inlineStr">
        <is>
          <t>#117 Instant-Direct 100k</t>
        </is>
      </c>
      <c r="G1850" s="17" t="n">
        <v>100000</v>
      </c>
      <c r="H1850" s="17" t="n">
        <v>10000</v>
      </c>
      <c r="I1850" s="17" t="n">
        <v>13197463.15</v>
      </c>
      <c r="J1850" s="13" t="inlineStr">
        <is>
          <t>10 % × 100,000 × split 100%</t>
        </is>
      </c>
    </row>
    <row r="1851">
      <c r="A1851" s="19" t="n">
        <v>1850</v>
      </c>
      <c r="B1851" s="20" t="n">
        <v>46576</v>
      </c>
      <c r="C1851" s="21" t="n">
        <v>10</v>
      </c>
      <c r="D1851" s="25" t="inlineStr">
        <is>
          <t>Payout</t>
        </is>
      </c>
      <c r="E1851" s="19" t="inlineStr">
        <is>
          <t>FundedVerse</t>
        </is>
      </c>
      <c r="F1851" s="19" t="inlineStr">
        <is>
          <t>#118 Instant-Direct 50k</t>
        </is>
      </c>
      <c r="G1851" s="22" t="n">
        <v>50000</v>
      </c>
      <c r="H1851" s="22" t="n">
        <v>4000</v>
      </c>
      <c r="I1851" s="22" t="n">
        <v>13201463.15</v>
      </c>
      <c r="J1851" s="19" t="inlineStr">
        <is>
          <t>10 % × 50,000 × split 80%</t>
        </is>
      </c>
    </row>
    <row r="1852">
      <c r="A1852" s="13" t="n">
        <v>1851</v>
      </c>
      <c r="B1852" s="14" t="n">
        <v>46576</v>
      </c>
      <c r="C1852" s="15" t="n">
        <v>10</v>
      </c>
      <c r="D1852" s="25" t="inlineStr">
        <is>
          <t>Payout</t>
        </is>
      </c>
      <c r="E1852" s="13" t="inlineStr">
        <is>
          <t>FundedVerse</t>
        </is>
      </c>
      <c r="F1852" s="13" t="inlineStr">
        <is>
          <t>#119 Instant-Direct 50k</t>
        </is>
      </c>
      <c r="G1852" s="17" t="n">
        <v>50000</v>
      </c>
      <c r="H1852" s="17" t="n">
        <v>4000</v>
      </c>
      <c r="I1852" s="17" t="n">
        <v>13205463.15</v>
      </c>
      <c r="J1852" s="13" t="inlineStr">
        <is>
          <t>10 % × 50,000 × split 80%</t>
        </is>
      </c>
    </row>
    <row r="1853">
      <c r="A1853" s="19" t="n">
        <v>1852</v>
      </c>
      <c r="B1853" s="20" t="n">
        <v>46576</v>
      </c>
      <c r="C1853" s="21" t="n">
        <v>10</v>
      </c>
      <c r="D1853" s="25" t="inlineStr">
        <is>
          <t>Payout</t>
        </is>
      </c>
      <c r="E1853" s="19" t="inlineStr">
        <is>
          <t>FundedVerse</t>
        </is>
      </c>
      <c r="F1853" s="19" t="inlineStr">
        <is>
          <t>#120 Instant-Direct 50k</t>
        </is>
      </c>
      <c r="G1853" s="22" t="n">
        <v>50000</v>
      </c>
      <c r="H1853" s="22" t="n">
        <v>4000</v>
      </c>
      <c r="I1853" s="22" t="n">
        <v>13209463.15</v>
      </c>
      <c r="J1853" s="19" t="inlineStr">
        <is>
          <t>10 % × 50,000 × split 80%</t>
        </is>
      </c>
    </row>
    <row r="1854">
      <c r="A1854" s="13" t="n">
        <v>1853</v>
      </c>
      <c r="B1854" s="14" t="n">
        <v>46576</v>
      </c>
      <c r="C1854" s="15" t="n">
        <v>10</v>
      </c>
      <c r="D1854" s="25" t="inlineStr">
        <is>
          <t>Payout</t>
        </is>
      </c>
      <c r="E1854" s="13" t="inlineStr">
        <is>
          <t>FundedVerse</t>
        </is>
      </c>
      <c r="F1854" s="13" t="inlineStr">
        <is>
          <t>#121 Instant-Direct 50k</t>
        </is>
      </c>
      <c r="G1854" s="17" t="n">
        <v>50000</v>
      </c>
      <c r="H1854" s="17" t="n">
        <v>4000</v>
      </c>
      <c r="I1854" s="17" t="n">
        <v>13213463.15</v>
      </c>
      <c r="J1854" s="13" t="inlineStr">
        <is>
          <t>10 % × 50,000 × split 80%</t>
        </is>
      </c>
    </row>
    <row r="1855">
      <c r="A1855" s="19" t="n">
        <v>1854</v>
      </c>
      <c r="B1855" s="20" t="n">
        <v>46576</v>
      </c>
      <c r="C1855" s="21" t="n">
        <v>10</v>
      </c>
      <c r="D1855" s="25" t="inlineStr">
        <is>
          <t>Payout</t>
        </is>
      </c>
      <c r="E1855" s="19" t="inlineStr">
        <is>
          <t>FundedVerse</t>
        </is>
      </c>
      <c r="F1855" s="19" t="inlineStr">
        <is>
          <t>#122 Instant-Direct 50k</t>
        </is>
      </c>
      <c r="G1855" s="22" t="n">
        <v>50000</v>
      </c>
      <c r="H1855" s="22" t="n">
        <v>4000</v>
      </c>
      <c r="I1855" s="22" t="n">
        <v>13217463.15</v>
      </c>
      <c r="J1855" s="19" t="inlineStr">
        <is>
          <t>10 % × 50,000 × split 80%</t>
        </is>
      </c>
    </row>
    <row r="1856">
      <c r="A1856" s="13" t="n">
        <v>1855</v>
      </c>
      <c r="B1856" s="14" t="n">
        <v>46576</v>
      </c>
      <c r="C1856" s="15" t="n">
        <v>10</v>
      </c>
      <c r="D1856" s="25" t="inlineStr">
        <is>
          <t>Payout</t>
        </is>
      </c>
      <c r="E1856" s="13" t="inlineStr">
        <is>
          <t>FundedVerse</t>
        </is>
      </c>
      <c r="F1856" s="13" t="inlineStr">
        <is>
          <t>#123 Instant-Direct 50k</t>
        </is>
      </c>
      <c r="G1856" s="17" t="n">
        <v>50000</v>
      </c>
      <c r="H1856" s="17" t="n">
        <v>4000</v>
      </c>
      <c r="I1856" s="17" t="n">
        <v>13221463.15</v>
      </c>
      <c r="J1856" s="13" t="inlineStr">
        <is>
          <t>10 % × 50,000 × split 80%</t>
        </is>
      </c>
    </row>
    <row r="1857">
      <c r="A1857" s="19" t="n">
        <v>1856</v>
      </c>
      <c r="B1857" s="20" t="n">
        <v>46576</v>
      </c>
      <c r="C1857" s="21" t="n">
        <v>10</v>
      </c>
      <c r="D1857" s="25" t="inlineStr">
        <is>
          <t>Payout</t>
        </is>
      </c>
      <c r="E1857" s="19" t="inlineStr">
        <is>
          <t>Lark Funding</t>
        </is>
      </c>
      <c r="F1857" s="19" t="inlineStr">
        <is>
          <t>#124 Instant-Direct 100k</t>
        </is>
      </c>
      <c r="G1857" s="22" t="n">
        <v>100000</v>
      </c>
      <c r="H1857" s="22" t="n">
        <v>8000</v>
      </c>
      <c r="I1857" s="22" t="n">
        <v>13229463.15</v>
      </c>
      <c r="J1857" s="19" t="inlineStr">
        <is>
          <t>10 % × 100,000 × split 80%</t>
        </is>
      </c>
    </row>
    <row r="1858">
      <c r="A1858" s="13" t="n">
        <v>1857</v>
      </c>
      <c r="B1858" s="14" t="n">
        <v>46576</v>
      </c>
      <c r="C1858" s="15" t="n">
        <v>10</v>
      </c>
      <c r="D1858" s="25" t="inlineStr">
        <is>
          <t>Payout</t>
        </is>
      </c>
      <c r="E1858" s="13" t="inlineStr">
        <is>
          <t>Lark Funding</t>
        </is>
      </c>
      <c r="F1858" s="13" t="inlineStr">
        <is>
          <t>#125 Instant-Direct 100k</t>
        </is>
      </c>
      <c r="G1858" s="17" t="n">
        <v>100000</v>
      </c>
      <c r="H1858" s="17" t="n">
        <v>8000</v>
      </c>
      <c r="I1858" s="17" t="n">
        <v>13237463.15</v>
      </c>
      <c r="J1858" s="13" t="inlineStr">
        <is>
          <t>10 % × 100,000 × split 80%</t>
        </is>
      </c>
    </row>
    <row r="1859">
      <c r="A1859" s="19" t="n">
        <v>1858</v>
      </c>
      <c r="B1859" s="20" t="n">
        <v>46576</v>
      </c>
      <c r="C1859" s="21" t="n">
        <v>10</v>
      </c>
      <c r="D1859" s="25" t="inlineStr">
        <is>
          <t>Payout</t>
        </is>
      </c>
      <c r="E1859" s="19" t="inlineStr">
        <is>
          <t>Lark Funding</t>
        </is>
      </c>
      <c r="F1859" s="19" t="inlineStr">
        <is>
          <t>#126 Instant-Direct 100k</t>
        </is>
      </c>
      <c r="G1859" s="22" t="n">
        <v>100000</v>
      </c>
      <c r="H1859" s="22" t="n">
        <v>8000</v>
      </c>
      <c r="I1859" s="22" t="n">
        <v>13245463.15</v>
      </c>
      <c r="J1859" s="19" t="inlineStr">
        <is>
          <t>10 % × 100,000 × split 80%</t>
        </is>
      </c>
    </row>
    <row r="1860">
      <c r="A1860" s="13" t="n">
        <v>1859</v>
      </c>
      <c r="B1860" s="14" t="n">
        <v>46576</v>
      </c>
      <c r="C1860" s="15" t="n">
        <v>10</v>
      </c>
      <c r="D1860" s="25" t="inlineStr">
        <is>
          <t>Payout</t>
        </is>
      </c>
      <c r="E1860" s="13" t="inlineStr">
        <is>
          <t>Mockapital</t>
        </is>
      </c>
      <c r="F1860" s="13" t="inlineStr">
        <is>
          <t>#127 Instant-Direct 50k</t>
        </is>
      </c>
      <c r="G1860" s="17" t="n">
        <v>50000</v>
      </c>
      <c r="H1860" s="17" t="n">
        <v>4000</v>
      </c>
      <c r="I1860" s="17" t="n">
        <v>13249463.15</v>
      </c>
      <c r="J1860" s="13" t="inlineStr">
        <is>
          <t>10 % × 50,000 × split 80%</t>
        </is>
      </c>
    </row>
    <row r="1861">
      <c r="A1861" s="19" t="n">
        <v>1860</v>
      </c>
      <c r="B1861" s="20" t="n">
        <v>46576</v>
      </c>
      <c r="C1861" s="21" t="n">
        <v>10</v>
      </c>
      <c r="D1861" s="25" t="inlineStr">
        <is>
          <t>Payout</t>
        </is>
      </c>
      <c r="E1861" s="19" t="inlineStr">
        <is>
          <t>Mockapital</t>
        </is>
      </c>
      <c r="F1861" s="19" t="inlineStr">
        <is>
          <t>#128 Instant-Direct 50k</t>
        </is>
      </c>
      <c r="G1861" s="22" t="n">
        <v>50000</v>
      </c>
      <c r="H1861" s="22" t="n">
        <v>4000</v>
      </c>
      <c r="I1861" s="22" t="n">
        <v>13253463.15</v>
      </c>
      <c r="J1861" s="19" t="inlineStr">
        <is>
          <t>10 % × 50,000 × split 80%</t>
        </is>
      </c>
    </row>
    <row r="1862">
      <c r="A1862" s="13" t="n">
        <v>1861</v>
      </c>
      <c r="B1862" s="14" t="n">
        <v>46576</v>
      </c>
      <c r="C1862" s="15" t="n">
        <v>10</v>
      </c>
      <c r="D1862" s="25" t="inlineStr">
        <is>
          <t>Payout</t>
        </is>
      </c>
      <c r="E1862" s="13" t="inlineStr">
        <is>
          <t>Mockapital</t>
        </is>
      </c>
      <c r="F1862" s="13" t="inlineStr">
        <is>
          <t>#129 Instant-Direct 50k</t>
        </is>
      </c>
      <c r="G1862" s="17" t="n">
        <v>50000</v>
      </c>
      <c r="H1862" s="17" t="n">
        <v>4000</v>
      </c>
      <c r="I1862" s="17" t="n">
        <v>13257463.15</v>
      </c>
      <c r="J1862" s="13" t="inlineStr">
        <is>
          <t>10 % × 50,000 × split 80%</t>
        </is>
      </c>
    </row>
    <row r="1863">
      <c r="A1863" s="19" t="n">
        <v>1862</v>
      </c>
      <c r="B1863" s="20" t="n">
        <v>46576</v>
      </c>
      <c r="C1863" s="21" t="n">
        <v>10</v>
      </c>
      <c r="D1863" s="25" t="inlineStr">
        <is>
          <t>Payout</t>
        </is>
      </c>
      <c r="E1863" s="19" t="inlineStr">
        <is>
          <t>Mockapital</t>
        </is>
      </c>
      <c r="F1863" s="19" t="inlineStr">
        <is>
          <t>#130 Instant-Direct 50k</t>
        </is>
      </c>
      <c r="G1863" s="22" t="n">
        <v>50000</v>
      </c>
      <c r="H1863" s="22" t="n">
        <v>4000</v>
      </c>
      <c r="I1863" s="22" t="n">
        <v>13261463.15</v>
      </c>
      <c r="J1863" s="19" t="inlineStr">
        <is>
          <t>10 % × 50,000 × split 80%</t>
        </is>
      </c>
    </row>
    <row r="1864">
      <c r="A1864" s="13" t="n">
        <v>1863</v>
      </c>
      <c r="B1864" s="14" t="n">
        <v>46576</v>
      </c>
      <c r="C1864" s="15" t="n">
        <v>10</v>
      </c>
      <c r="D1864" s="25" t="inlineStr">
        <is>
          <t>Payout</t>
        </is>
      </c>
      <c r="E1864" s="13" t="inlineStr">
        <is>
          <t>Mockapital</t>
        </is>
      </c>
      <c r="F1864" s="13" t="inlineStr">
        <is>
          <t>#131 Instant-Direct 50k</t>
        </is>
      </c>
      <c r="G1864" s="17" t="n">
        <v>50000</v>
      </c>
      <c r="H1864" s="17" t="n">
        <v>4000</v>
      </c>
      <c r="I1864" s="17" t="n">
        <v>13265463.15</v>
      </c>
      <c r="J1864" s="13" t="inlineStr">
        <is>
          <t>10 % × 50,000 × split 80%</t>
        </is>
      </c>
    </row>
    <row r="1865">
      <c r="A1865" s="19" t="n">
        <v>1864</v>
      </c>
      <c r="B1865" s="20" t="n">
        <v>46576</v>
      </c>
      <c r="C1865" s="21" t="n">
        <v>10</v>
      </c>
      <c r="D1865" s="25" t="inlineStr">
        <is>
          <t>Payout</t>
        </is>
      </c>
      <c r="E1865" s="19" t="inlineStr">
        <is>
          <t>Mockapital</t>
        </is>
      </c>
      <c r="F1865" s="19" t="inlineStr">
        <is>
          <t>#132 Instant-Direct 50k</t>
        </is>
      </c>
      <c r="G1865" s="22" t="n">
        <v>50000</v>
      </c>
      <c r="H1865" s="22" t="n">
        <v>4000</v>
      </c>
      <c r="I1865" s="22" t="n">
        <v>13269463.15</v>
      </c>
      <c r="J1865" s="19" t="inlineStr">
        <is>
          <t>10 % × 50,000 × split 80%</t>
        </is>
      </c>
    </row>
    <row r="1866">
      <c r="A1866" s="13" t="n">
        <v>1865</v>
      </c>
      <c r="B1866" s="14" t="n">
        <v>46576</v>
      </c>
      <c r="C1866" s="15" t="n">
        <v>10</v>
      </c>
      <c r="D1866" s="25" t="inlineStr">
        <is>
          <t>Payout</t>
        </is>
      </c>
      <c r="E1866" s="13" t="inlineStr">
        <is>
          <t>Myfundedcapital</t>
        </is>
      </c>
      <c r="F1866" s="13" t="inlineStr">
        <is>
          <t>#133 Instant-Direct 80k</t>
        </is>
      </c>
      <c r="G1866" s="17" t="n">
        <v>80000</v>
      </c>
      <c r="H1866" s="17" t="n">
        <v>6400</v>
      </c>
      <c r="I1866" s="17" t="n">
        <v>13275863.15</v>
      </c>
      <c r="J1866" s="13" t="inlineStr">
        <is>
          <t>10 % × 80,000 × split 80%</t>
        </is>
      </c>
    </row>
    <row r="1867">
      <c r="A1867" s="19" t="n">
        <v>1866</v>
      </c>
      <c r="B1867" s="20" t="n">
        <v>46576</v>
      </c>
      <c r="C1867" s="21" t="n">
        <v>10</v>
      </c>
      <c r="D1867" s="25" t="inlineStr">
        <is>
          <t>Payout</t>
        </is>
      </c>
      <c r="E1867" s="19" t="inlineStr">
        <is>
          <t>Myfundedcapital</t>
        </is>
      </c>
      <c r="F1867" s="19" t="inlineStr">
        <is>
          <t>#134 Instant-Direct 80k</t>
        </is>
      </c>
      <c r="G1867" s="22" t="n">
        <v>80000</v>
      </c>
      <c r="H1867" s="22" t="n">
        <v>6400</v>
      </c>
      <c r="I1867" s="22" t="n">
        <v>13282263.15</v>
      </c>
      <c r="J1867" s="19" t="inlineStr">
        <is>
          <t>10 % × 80,000 × split 80%</t>
        </is>
      </c>
    </row>
    <row r="1868">
      <c r="A1868" s="13" t="n">
        <v>1867</v>
      </c>
      <c r="B1868" s="14" t="n">
        <v>46576</v>
      </c>
      <c r="C1868" s="15" t="n">
        <v>10</v>
      </c>
      <c r="D1868" s="25" t="inlineStr">
        <is>
          <t>Payout</t>
        </is>
      </c>
      <c r="E1868" s="13" t="inlineStr">
        <is>
          <t>Myfundedcapital</t>
        </is>
      </c>
      <c r="F1868" s="13" t="inlineStr">
        <is>
          <t>#135 Instant-Direct 80k</t>
        </is>
      </c>
      <c r="G1868" s="17" t="n">
        <v>80000</v>
      </c>
      <c r="H1868" s="17" t="n">
        <v>6400</v>
      </c>
      <c r="I1868" s="17" t="n">
        <v>13288663.15</v>
      </c>
      <c r="J1868" s="13" t="inlineStr">
        <is>
          <t>10 % × 80,000 × split 80%</t>
        </is>
      </c>
    </row>
    <row r="1869">
      <c r="A1869" s="19" t="n">
        <v>1868</v>
      </c>
      <c r="B1869" s="20" t="n">
        <v>46576</v>
      </c>
      <c r="C1869" s="21" t="n">
        <v>10</v>
      </c>
      <c r="D1869" s="25" t="inlineStr">
        <is>
          <t>Payout</t>
        </is>
      </c>
      <c r="E1869" s="19" t="inlineStr">
        <is>
          <t>City Traders Imperium</t>
        </is>
      </c>
      <c r="F1869" s="19" t="inlineStr">
        <is>
          <t>#136 Instant-Direct 80k</t>
        </is>
      </c>
      <c r="G1869" s="22" t="n">
        <v>80000</v>
      </c>
      <c r="H1869" s="22" t="n">
        <v>7200</v>
      </c>
      <c r="I1869" s="22" t="n">
        <v>13295863.15</v>
      </c>
      <c r="J1869" s="19" t="inlineStr">
        <is>
          <t>10 % × 80,000 × split 90%</t>
        </is>
      </c>
    </row>
    <row r="1870">
      <c r="A1870" s="13" t="n">
        <v>1869</v>
      </c>
      <c r="B1870" s="14" t="n">
        <v>46576</v>
      </c>
      <c r="C1870" s="15" t="n">
        <v>10</v>
      </c>
      <c r="D1870" s="25" t="inlineStr">
        <is>
          <t>Payout</t>
        </is>
      </c>
      <c r="E1870" s="13" t="inlineStr">
        <is>
          <t>City Traders Imperium</t>
        </is>
      </c>
      <c r="F1870" s="13" t="inlineStr">
        <is>
          <t>#137 Instant-Direct 80k</t>
        </is>
      </c>
      <c r="G1870" s="17" t="n">
        <v>80000</v>
      </c>
      <c r="H1870" s="17" t="n">
        <v>7200</v>
      </c>
      <c r="I1870" s="17" t="n">
        <v>13303063.15</v>
      </c>
      <c r="J1870" s="13" t="inlineStr">
        <is>
          <t>10 % × 80,000 × split 90%</t>
        </is>
      </c>
    </row>
    <row r="1871">
      <c r="A1871" s="19" t="n">
        <v>1870</v>
      </c>
      <c r="B1871" s="20" t="n">
        <v>46576</v>
      </c>
      <c r="C1871" s="21" t="n">
        <v>10</v>
      </c>
      <c r="D1871" s="25" t="inlineStr">
        <is>
          <t>Payout</t>
        </is>
      </c>
      <c r="E1871" s="19" t="inlineStr">
        <is>
          <t>FTUK</t>
        </is>
      </c>
      <c r="F1871" s="19" t="inlineStr">
        <is>
          <t>#138 Instant-Direct 100k</t>
        </is>
      </c>
      <c r="G1871" s="22" t="n">
        <v>100000</v>
      </c>
      <c r="H1871" s="22" t="n">
        <v>8000</v>
      </c>
      <c r="I1871" s="22" t="n">
        <v>13311063.15</v>
      </c>
      <c r="J1871" s="19" t="inlineStr">
        <is>
          <t>10 % × 100,000 × split 80%</t>
        </is>
      </c>
    </row>
    <row r="1872">
      <c r="A1872" s="13" t="n">
        <v>1871</v>
      </c>
      <c r="B1872" s="14" t="n">
        <v>46576</v>
      </c>
      <c r="C1872" s="15" t="n">
        <v>10</v>
      </c>
      <c r="D1872" s="25" t="inlineStr">
        <is>
          <t>Payout</t>
        </is>
      </c>
      <c r="E1872" s="13" t="inlineStr">
        <is>
          <t>Funded Friday</t>
        </is>
      </c>
      <c r="F1872" s="13" t="inlineStr">
        <is>
          <t>#139 Instant-Direct 200k</t>
        </is>
      </c>
      <c r="G1872" s="17" t="n">
        <v>200000</v>
      </c>
      <c r="H1872" s="17" t="n">
        <v>16000</v>
      </c>
      <c r="I1872" s="17" t="n">
        <v>13327063.15</v>
      </c>
      <c r="J1872" s="13" t="inlineStr">
        <is>
          <t>10 % × 200,000 × split 80%</t>
        </is>
      </c>
    </row>
    <row r="1873">
      <c r="A1873" s="19" t="n">
        <v>1872</v>
      </c>
      <c r="B1873" s="20" t="n">
        <v>46576</v>
      </c>
      <c r="C1873" s="21" t="n">
        <v>10</v>
      </c>
      <c r="D1873" s="25" t="inlineStr">
        <is>
          <t>Payout</t>
        </is>
      </c>
      <c r="E1873" s="19" t="inlineStr">
        <is>
          <t>Funded Trading Plus</t>
        </is>
      </c>
      <c r="F1873" s="19" t="inlineStr">
        <is>
          <t>#140 Instant-Direct 100k</t>
        </is>
      </c>
      <c r="G1873" s="22" t="n">
        <v>100000</v>
      </c>
      <c r="H1873" s="22" t="n">
        <v>8000</v>
      </c>
      <c r="I1873" s="22" t="n">
        <v>13335063.15</v>
      </c>
      <c r="J1873" s="19" t="inlineStr">
        <is>
          <t>10 % × 100,000 × split 80%</t>
        </is>
      </c>
    </row>
    <row r="1874">
      <c r="A1874" s="13" t="n">
        <v>1873</v>
      </c>
      <c r="B1874" s="14" t="n">
        <v>46576</v>
      </c>
      <c r="C1874" s="15" t="n">
        <v>10</v>
      </c>
      <c r="D1874" s="25" t="inlineStr">
        <is>
          <t>Payout</t>
        </is>
      </c>
      <c r="E1874" s="13" t="inlineStr">
        <is>
          <t>Funding Dynasty</t>
        </is>
      </c>
      <c r="F1874" s="13" t="inlineStr">
        <is>
          <t>#141 Instant-Direct 200k</t>
        </is>
      </c>
      <c r="G1874" s="17" t="n">
        <v>200000</v>
      </c>
      <c r="H1874" s="17" t="n">
        <v>16000</v>
      </c>
      <c r="I1874" s="17" t="n">
        <v>13351063.15</v>
      </c>
      <c r="J1874" s="13" t="inlineStr">
        <is>
          <t>10 % × 200,000 × split 80%</t>
        </is>
      </c>
    </row>
    <row r="1875">
      <c r="A1875" s="19" t="n">
        <v>1874</v>
      </c>
      <c r="B1875" s="20" t="n">
        <v>46576</v>
      </c>
      <c r="C1875" s="21" t="n">
        <v>10</v>
      </c>
      <c r="D1875" s="25" t="inlineStr">
        <is>
          <t>Payout</t>
        </is>
      </c>
      <c r="E1875" s="19" t="inlineStr">
        <is>
          <t>Funding Frontier</t>
        </is>
      </c>
      <c r="F1875" s="19" t="inlineStr">
        <is>
          <t>#142 Instant-Direct 50k</t>
        </is>
      </c>
      <c r="G1875" s="22" t="n">
        <v>50000</v>
      </c>
      <c r="H1875" s="22" t="n">
        <v>4000</v>
      </c>
      <c r="I1875" s="22" t="n">
        <v>13355063.15</v>
      </c>
      <c r="J1875" s="19" t="inlineStr">
        <is>
          <t>10 % × 50,000 × split 80%</t>
        </is>
      </c>
    </row>
    <row r="1876">
      <c r="A1876" s="13" t="n">
        <v>1875</v>
      </c>
      <c r="B1876" s="14" t="n">
        <v>46576</v>
      </c>
      <c r="C1876" s="15" t="n">
        <v>10</v>
      </c>
      <c r="D1876" s="25" t="inlineStr">
        <is>
          <t>Payout</t>
        </is>
      </c>
      <c r="E1876" s="13" t="inlineStr">
        <is>
          <t>FundYourFX</t>
        </is>
      </c>
      <c r="F1876" s="13" t="inlineStr">
        <is>
          <t>#143 Instant-Direct 200k</t>
        </is>
      </c>
      <c r="G1876" s="17" t="n">
        <v>200000</v>
      </c>
      <c r="H1876" s="17" t="n">
        <v>19000</v>
      </c>
      <c r="I1876" s="17" t="n">
        <v>13374063.15</v>
      </c>
      <c r="J1876" s="13" t="inlineStr">
        <is>
          <t>10 % × 200,000 × split 95%</t>
        </is>
      </c>
    </row>
    <row r="1877">
      <c r="A1877" s="19" t="n">
        <v>1876</v>
      </c>
      <c r="B1877" s="20" t="n">
        <v>46576</v>
      </c>
      <c r="C1877" s="21" t="n">
        <v>10</v>
      </c>
      <c r="D1877" s="25" t="inlineStr">
        <is>
          <t>Payout</t>
        </is>
      </c>
      <c r="E1877" s="19" t="inlineStr">
        <is>
          <t>Hex Funded</t>
        </is>
      </c>
      <c r="F1877" s="19" t="inlineStr">
        <is>
          <t>#144 Instant-Direct 100k</t>
        </is>
      </c>
      <c r="G1877" s="22" t="n">
        <v>100000</v>
      </c>
      <c r="H1877" s="22" t="n">
        <v>9000</v>
      </c>
      <c r="I1877" s="22" t="n">
        <v>13383063.15</v>
      </c>
      <c r="J1877" s="19" t="inlineStr">
        <is>
          <t>10 % × 100,000 × split 90%</t>
        </is>
      </c>
    </row>
    <row r="1878">
      <c r="A1878" s="13" t="n">
        <v>1877</v>
      </c>
      <c r="B1878" s="14" t="n">
        <v>46576</v>
      </c>
      <c r="C1878" s="15" t="n">
        <v>10</v>
      </c>
      <c r="D1878" s="25" t="inlineStr">
        <is>
          <t>Payout</t>
        </is>
      </c>
      <c r="E1878" s="13" t="inlineStr">
        <is>
          <t>FundingRock</t>
        </is>
      </c>
      <c r="F1878" s="13" t="inlineStr">
        <is>
          <t>#145 Instant-Direct 100k</t>
        </is>
      </c>
      <c r="G1878" s="17" t="n">
        <v>100000</v>
      </c>
      <c r="H1878" s="17" t="n">
        <v>8000</v>
      </c>
      <c r="I1878" s="17" t="n">
        <v>13391063.15</v>
      </c>
      <c r="J1878" s="13" t="inlineStr">
        <is>
          <t>10 % × 100,000 × split 80%</t>
        </is>
      </c>
    </row>
    <row r="1879">
      <c r="A1879" s="19" t="n">
        <v>1878</v>
      </c>
      <c r="B1879" s="20" t="n">
        <v>46576</v>
      </c>
      <c r="C1879" s="21" t="n">
        <v>10</v>
      </c>
      <c r="D1879" s="25" t="inlineStr">
        <is>
          <t>Payout</t>
        </is>
      </c>
      <c r="E1879" s="19" t="inlineStr">
        <is>
          <t>LegionFunding</t>
        </is>
      </c>
      <c r="F1879" s="19" t="inlineStr">
        <is>
          <t>#146 Instant-Direct 100k</t>
        </is>
      </c>
      <c r="G1879" s="22" t="n">
        <v>100000</v>
      </c>
      <c r="H1879" s="22" t="n">
        <v>8000</v>
      </c>
      <c r="I1879" s="22" t="n">
        <v>13399063.15</v>
      </c>
      <c r="J1879" s="19" t="inlineStr">
        <is>
          <t>10 % × 100,000 × split 80%</t>
        </is>
      </c>
    </row>
    <row r="1880">
      <c r="A1880" s="13" t="n">
        <v>1879</v>
      </c>
      <c r="B1880" s="14" t="n">
        <v>46576</v>
      </c>
      <c r="C1880" s="15" t="n">
        <v>10</v>
      </c>
      <c r="D1880" s="25" t="inlineStr">
        <is>
          <t>Payout</t>
        </is>
      </c>
      <c r="E1880" s="13" t="inlineStr">
        <is>
          <t>MasterFunders</t>
        </is>
      </c>
      <c r="F1880" s="13" t="inlineStr">
        <is>
          <t>#147 Instant-Direct 100k</t>
        </is>
      </c>
      <c r="G1880" s="17" t="n">
        <v>100000</v>
      </c>
      <c r="H1880" s="17" t="n">
        <v>8000</v>
      </c>
      <c r="I1880" s="17" t="n">
        <v>13407063.15</v>
      </c>
      <c r="J1880" s="13" t="inlineStr">
        <is>
          <t>10 % × 100,000 × split 80%</t>
        </is>
      </c>
    </row>
    <row r="1881">
      <c r="A1881" s="19" t="n">
        <v>1880</v>
      </c>
      <c r="B1881" s="20" t="n">
        <v>46576</v>
      </c>
      <c r="C1881" s="21" t="n">
        <v>10</v>
      </c>
      <c r="D1881" s="25" t="inlineStr">
        <is>
          <t>Payout</t>
        </is>
      </c>
      <c r="E1881" s="19" t="inlineStr">
        <is>
          <t>BloomFunded</t>
        </is>
      </c>
      <c r="F1881" s="19" t="inlineStr">
        <is>
          <t>#148 Instant-Direct 50k</t>
        </is>
      </c>
      <c r="G1881" s="22" t="n">
        <v>50000</v>
      </c>
      <c r="H1881" s="22" t="n">
        <v>4500</v>
      </c>
      <c r="I1881" s="22" t="n">
        <v>13411563.15</v>
      </c>
      <c r="J1881" s="19" t="inlineStr">
        <is>
          <t>10 % × 50,000 × split 90%</t>
        </is>
      </c>
    </row>
    <row r="1882">
      <c r="A1882" s="13" t="n">
        <v>1881</v>
      </c>
      <c r="B1882" s="14" t="n">
        <v>46576</v>
      </c>
      <c r="C1882" s="15" t="n">
        <v>10</v>
      </c>
      <c r="D1882" s="25" t="inlineStr">
        <is>
          <t>Payout</t>
        </is>
      </c>
      <c r="E1882" s="13" t="inlineStr">
        <is>
          <t>Finotive Futures</t>
        </is>
      </c>
      <c r="F1882" s="13" t="inlineStr">
        <is>
          <t>#153 1 Step 150k</t>
        </is>
      </c>
      <c r="G1882" s="17" t="n">
        <v>150000</v>
      </c>
      <c r="H1882" s="17" t="n">
        <v>13500</v>
      </c>
      <c r="I1882" s="17" t="n">
        <v>13425063.15</v>
      </c>
      <c r="J1882" s="13" t="inlineStr">
        <is>
          <t>10 % × 150,000 × split 90%</t>
        </is>
      </c>
    </row>
    <row r="1883">
      <c r="A1883" s="19" t="n">
        <v>1882</v>
      </c>
      <c r="B1883" s="20" t="n">
        <v>46576</v>
      </c>
      <c r="C1883" s="21" t="n">
        <v>10</v>
      </c>
      <c r="D1883" s="25" t="inlineStr">
        <is>
          <t>Payout</t>
        </is>
      </c>
      <c r="E1883" s="19" t="inlineStr">
        <is>
          <t>Finotive Futures</t>
        </is>
      </c>
      <c r="F1883" s="19" t="inlineStr">
        <is>
          <t>#154 1 Step 150k</t>
        </is>
      </c>
      <c r="G1883" s="22" t="n">
        <v>150000</v>
      </c>
      <c r="H1883" s="22" t="n">
        <v>13500</v>
      </c>
      <c r="I1883" s="22" t="n">
        <v>13438563.15</v>
      </c>
      <c r="J1883" s="19" t="inlineStr">
        <is>
          <t>10 % × 150,000 × split 90%</t>
        </is>
      </c>
    </row>
    <row r="1884">
      <c r="A1884" s="13" t="n">
        <v>1883</v>
      </c>
      <c r="B1884" s="14" t="n">
        <v>46576</v>
      </c>
      <c r="C1884" s="15" t="n">
        <v>10</v>
      </c>
      <c r="D1884" s="25" t="inlineStr">
        <is>
          <t>Payout</t>
        </is>
      </c>
      <c r="E1884" s="13" t="inlineStr">
        <is>
          <t>Finotive Futures</t>
        </is>
      </c>
      <c r="F1884" s="13" t="inlineStr">
        <is>
          <t>#155 1 Step 150k</t>
        </is>
      </c>
      <c r="G1884" s="17" t="n">
        <v>150000</v>
      </c>
      <c r="H1884" s="17" t="n">
        <v>13500</v>
      </c>
      <c r="I1884" s="17" t="n">
        <v>13452063.15</v>
      </c>
      <c r="J1884" s="13" t="inlineStr">
        <is>
          <t>10 % × 150,000 × split 90%</t>
        </is>
      </c>
    </row>
    <row r="1885">
      <c r="A1885" s="19" t="n">
        <v>1884</v>
      </c>
      <c r="B1885" s="20" t="n">
        <v>46576</v>
      </c>
      <c r="C1885" s="21" t="n">
        <v>10</v>
      </c>
      <c r="D1885" s="25" t="inlineStr">
        <is>
          <t>Payout</t>
        </is>
      </c>
      <c r="E1885" s="19" t="inlineStr">
        <is>
          <t>Finotive Futures</t>
        </is>
      </c>
      <c r="F1885" s="19" t="inlineStr">
        <is>
          <t>#156 1 Step 150k</t>
        </is>
      </c>
      <c r="G1885" s="22" t="n">
        <v>150000</v>
      </c>
      <c r="H1885" s="22" t="n">
        <v>13500</v>
      </c>
      <c r="I1885" s="22" t="n">
        <v>13465563.15</v>
      </c>
      <c r="J1885" s="19" t="inlineStr">
        <is>
          <t>10 % × 150,000 × split 90%</t>
        </is>
      </c>
    </row>
    <row r="1886">
      <c r="A1886" s="13" t="n">
        <v>1885</v>
      </c>
      <c r="B1886" s="14" t="n">
        <v>46576</v>
      </c>
      <c r="C1886" s="15" t="n">
        <v>10</v>
      </c>
      <c r="D1886" s="25" t="inlineStr">
        <is>
          <t>Payout</t>
        </is>
      </c>
      <c r="E1886" s="13" t="inlineStr">
        <is>
          <t>Finotive Futures</t>
        </is>
      </c>
      <c r="F1886" s="13" t="inlineStr">
        <is>
          <t>#157 1 Step 150k</t>
        </is>
      </c>
      <c r="G1886" s="17" t="n">
        <v>150000</v>
      </c>
      <c r="H1886" s="17" t="n">
        <v>13500</v>
      </c>
      <c r="I1886" s="17" t="n">
        <v>13479063.15</v>
      </c>
      <c r="J1886" s="13" t="inlineStr">
        <is>
          <t>10 % × 150,000 × split 90%</t>
        </is>
      </c>
    </row>
    <row r="1887">
      <c r="A1887" s="19" t="n">
        <v>1886</v>
      </c>
      <c r="B1887" s="20" t="n">
        <v>46576</v>
      </c>
      <c r="C1887" s="21" t="n">
        <v>10</v>
      </c>
      <c r="D1887" s="25" t="inlineStr">
        <is>
          <t>Payout</t>
        </is>
      </c>
      <c r="E1887" s="19" t="inlineStr">
        <is>
          <t>Finotive Futures</t>
        </is>
      </c>
      <c r="F1887" s="19" t="inlineStr">
        <is>
          <t>#158 1 Step 150k</t>
        </is>
      </c>
      <c r="G1887" s="22" t="n">
        <v>150000</v>
      </c>
      <c r="H1887" s="22" t="n">
        <v>13500</v>
      </c>
      <c r="I1887" s="22" t="n">
        <v>13492563.15</v>
      </c>
      <c r="J1887" s="19" t="inlineStr">
        <is>
          <t>10 % × 150,000 × split 90%</t>
        </is>
      </c>
    </row>
    <row r="1888">
      <c r="A1888" s="13" t="n">
        <v>1887</v>
      </c>
      <c r="B1888" s="14" t="n">
        <v>46576</v>
      </c>
      <c r="C1888" s="15" t="n">
        <v>10</v>
      </c>
      <c r="D1888" s="25" t="inlineStr">
        <is>
          <t>Payout</t>
        </is>
      </c>
      <c r="E1888" s="13" t="inlineStr">
        <is>
          <t>Funded Trader Markets</t>
        </is>
      </c>
      <c r="F1888" s="13" t="inlineStr">
        <is>
          <t>#159 1 Step 300k</t>
        </is>
      </c>
      <c r="G1888" s="17" t="n">
        <v>300000</v>
      </c>
      <c r="H1888" s="17" t="n">
        <v>27000</v>
      </c>
      <c r="I1888" s="17" t="n">
        <v>13519563.15</v>
      </c>
      <c r="J1888" s="13" t="inlineStr">
        <is>
          <t>10 % × 300,000 × split 90%</t>
        </is>
      </c>
    </row>
    <row r="1889">
      <c r="A1889" s="19" t="n">
        <v>1888</v>
      </c>
      <c r="B1889" s="20" t="n">
        <v>46576</v>
      </c>
      <c r="C1889" s="21" t="n">
        <v>10</v>
      </c>
      <c r="D1889" s="25" t="inlineStr">
        <is>
          <t>Payout</t>
        </is>
      </c>
      <c r="E1889" s="19" t="inlineStr">
        <is>
          <t>Funded Trader Markets</t>
        </is>
      </c>
      <c r="F1889" s="19" t="inlineStr">
        <is>
          <t>#160 1 Step 300k</t>
        </is>
      </c>
      <c r="G1889" s="22" t="n">
        <v>300000</v>
      </c>
      <c r="H1889" s="22" t="n">
        <v>27000</v>
      </c>
      <c r="I1889" s="22" t="n">
        <v>13546563.15</v>
      </c>
      <c r="J1889" s="19" t="inlineStr">
        <is>
          <t>10 % × 300,000 × split 90%</t>
        </is>
      </c>
    </row>
    <row r="1890">
      <c r="A1890" s="13" t="n">
        <v>1889</v>
      </c>
      <c r="B1890" s="14" t="n">
        <v>46576</v>
      </c>
      <c r="C1890" s="15" t="n">
        <v>10</v>
      </c>
      <c r="D1890" s="25" t="inlineStr">
        <is>
          <t>Payout</t>
        </is>
      </c>
      <c r="E1890" s="13" t="inlineStr">
        <is>
          <t>Funded Trader Markets</t>
        </is>
      </c>
      <c r="F1890" s="13" t="inlineStr">
        <is>
          <t>#161 1 Step 300k</t>
        </is>
      </c>
      <c r="G1890" s="17" t="n">
        <v>300000</v>
      </c>
      <c r="H1890" s="17" t="n">
        <v>27000</v>
      </c>
      <c r="I1890" s="17" t="n">
        <v>13573563.15</v>
      </c>
      <c r="J1890" s="13" t="inlineStr">
        <is>
          <t>10 % × 300,000 × split 90%</t>
        </is>
      </c>
    </row>
    <row r="1891">
      <c r="A1891" s="19" t="n">
        <v>1890</v>
      </c>
      <c r="B1891" s="20" t="n">
        <v>46576</v>
      </c>
      <c r="C1891" s="21" t="n">
        <v>10</v>
      </c>
      <c r="D1891" s="25" t="inlineStr">
        <is>
          <t>Payout</t>
        </is>
      </c>
      <c r="E1891" s="19" t="inlineStr">
        <is>
          <t>Kingdom Wealth Funding</t>
        </is>
      </c>
      <c r="F1891" s="19" t="inlineStr">
        <is>
          <t>#164 1 Step 1000k</t>
        </is>
      </c>
      <c r="G1891" s="22" t="n">
        <v>1000000</v>
      </c>
      <c r="H1891" s="22" t="n">
        <v>80000</v>
      </c>
      <c r="I1891" s="22" t="n">
        <v>13653563.15</v>
      </c>
      <c r="J1891" s="19" t="inlineStr">
        <is>
          <t>10 % × 1,000,000 × split 80%</t>
        </is>
      </c>
    </row>
    <row r="1892">
      <c r="A1892" s="13" t="n">
        <v>1891</v>
      </c>
      <c r="B1892" s="14" t="n">
        <v>46576</v>
      </c>
      <c r="C1892" s="15" t="n">
        <v>10</v>
      </c>
      <c r="D1892" s="25" t="inlineStr">
        <is>
          <t>Payout</t>
        </is>
      </c>
      <c r="E1892" s="13" t="inlineStr">
        <is>
          <t>Ment Funding</t>
        </is>
      </c>
      <c r="F1892" s="13" t="inlineStr">
        <is>
          <t>#165 1 Step 1000k</t>
        </is>
      </c>
      <c r="G1892" s="17" t="n">
        <v>1000000</v>
      </c>
      <c r="H1892" s="17" t="n">
        <v>80000</v>
      </c>
      <c r="I1892" s="17" t="n">
        <v>13733563.15</v>
      </c>
      <c r="J1892" s="13" t="inlineStr">
        <is>
          <t>10 % × 1,000,000 × split 80%</t>
        </is>
      </c>
    </row>
    <row r="1893">
      <c r="A1893" s="19" t="n">
        <v>1892</v>
      </c>
      <c r="B1893" s="20" t="n">
        <v>46576</v>
      </c>
      <c r="C1893" s="21" t="n">
        <v>10</v>
      </c>
      <c r="D1893" s="25" t="inlineStr">
        <is>
          <t>Payout</t>
        </is>
      </c>
      <c r="E1893" s="19" t="inlineStr">
        <is>
          <t>Ment Funding Futures</t>
        </is>
      </c>
      <c r="F1893" s="19" t="inlineStr">
        <is>
          <t>#172 1 Step 400k</t>
        </is>
      </c>
      <c r="G1893" s="22" t="n">
        <v>400000</v>
      </c>
      <c r="H1893" s="22" t="n">
        <v>32000</v>
      </c>
      <c r="I1893" s="22" t="n">
        <v>13765563.15</v>
      </c>
      <c r="J1893" s="19" t="inlineStr">
        <is>
          <t>10 % × 400,000 × split 80%</t>
        </is>
      </c>
    </row>
    <row r="1894">
      <c r="A1894" s="13" t="n">
        <v>1893</v>
      </c>
      <c r="B1894" s="14" t="n">
        <v>46576</v>
      </c>
      <c r="C1894" s="15" t="n">
        <v>10</v>
      </c>
      <c r="D1894" s="25" t="inlineStr">
        <is>
          <t>Payout</t>
        </is>
      </c>
      <c r="E1894" s="13" t="inlineStr">
        <is>
          <t>10FOUR</t>
        </is>
      </c>
      <c r="F1894" s="13" t="inlineStr">
        <is>
          <t>#173 1 Step 150k</t>
        </is>
      </c>
      <c r="G1894" s="17" t="n">
        <v>150000</v>
      </c>
      <c r="H1894" s="17" t="n">
        <v>13500</v>
      </c>
      <c r="I1894" s="17" t="n">
        <v>13779063.15</v>
      </c>
      <c r="J1894" s="13" t="inlineStr">
        <is>
          <t>10 % × 150,000 × split 90%</t>
        </is>
      </c>
    </row>
    <row r="1895">
      <c r="A1895" s="19" t="n">
        <v>1894</v>
      </c>
      <c r="B1895" s="20" t="n">
        <v>46576</v>
      </c>
      <c r="C1895" s="21" t="n">
        <v>10</v>
      </c>
      <c r="D1895" s="25" t="inlineStr">
        <is>
          <t>Payout</t>
        </is>
      </c>
      <c r="E1895" s="19" t="inlineStr">
        <is>
          <t>10FOUR</t>
        </is>
      </c>
      <c r="F1895" s="19" t="inlineStr">
        <is>
          <t>#174 1 Step 150k</t>
        </is>
      </c>
      <c r="G1895" s="22" t="n">
        <v>150000</v>
      </c>
      <c r="H1895" s="22" t="n">
        <v>13500</v>
      </c>
      <c r="I1895" s="22" t="n">
        <v>13792563.15</v>
      </c>
      <c r="J1895" s="19" t="inlineStr">
        <is>
          <t>10 % × 150,000 × split 90%</t>
        </is>
      </c>
    </row>
    <row r="1896">
      <c r="A1896" s="13" t="n">
        <v>1895</v>
      </c>
      <c r="B1896" s="14" t="n">
        <v>46576</v>
      </c>
      <c r="C1896" s="15" t="n">
        <v>10</v>
      </c>
      <c r="D1896" s="25" t="inlineStr">
        <is>
          <t>Payout</t>
        </is>
      </c>
      <c r="E1896" s="13" t="inlineStr">
        <is>
          <t>10FOUR</t>
        </is>
      </c>
      <c r="F1896" s="13" t="inlineStr">
        <is>
          <t>#175 1 Step 150k</t>
        </is>
      </c>
      <c r="G1896" s="17" t="n">
        <v>150000</v>
      </c>
      <c r="H1896" s="17" t="n">
        <v>13500</v>
      </c>
      <c r="I1896" s="17" t="n">
        <v>13806063.15</v>
      </c>
      <c r="J1896" s="13" t="inlineStr">
        <is>
          <t>10 % × 150,000 × split 90%</t>
        </is>
      </c>
    </row>
    <row r="1897">
      <c r="A1897" s="19" t="n">
        <v>1896</v>
      </c>
      <c r="B1897" s="20" t="n">
        <v>46576</v>
      </c>
      <c r="C1897" s="21" t="n">
        <v>10</v>
      </c>
      <c r="D1897" s="25" t="inlineStr">
        <is>
          <t>Payout</t>
        </is>
      </c>
      <c r="E1897" s="19" t="inlineStr">
        <is>
          <t>10FOUR</t>
        </is>
      </c>
      <c r="F1897" s="19" t="inlineStr">
        <is>
          <t>#176 1 Step 150k</t>
        </is>
      </c>
      <c r="G1897" s="22" t="n">
        <v>150000</v>
      </c>
      <c r="H1897" s="22" t="n">
        <v>13500</v>
      </c>
      <c r="I1897" s="22" t="n">
        <v>13819563.15</v>
      </c>
      <c r="J1897" s="19" t="inlineStr">
        <is>
          <t>10 % × 150,000 × split 90%</t>
        </is>
      </c>
    </row>
    <row r="1898">
      <c r="A1898" s="13" t="n">
        <v>1897</v>
      </c>
      <c r="B1898" s="14" t="n">
        <v>46576</v>
      </c>
      <c r="C1898" s="15" t="n">
        <v>10</v>
      </c>
      <c r="D1898" s="25" t="inlineStr">
        <is>
          <t>Payout</t>
        </is>
      </c>
      <c r="E1898" s="13" t="inlineStr">
        <is>
          <t>10FOUR</t>
        </is>
      </c>
      <c r="F1898" s="13" t="inlineStr">
        <is>
          <t>#177 1 Step 150k</t>
        </is>
      </c>
      <c r="G1898" s="17" t="n">
        <v>150000</v>
      </c>
      <c r="H1898" s="17" t="n">
        <v>13500</v>
      </c>
      <c r="I1898" s="17" t="n">
        <v>13833063.15</v>
      </c>
      <c r="J1898" s="13" t="inlineStr">
        <is>
          <t>10 % × 150,000 × split 90%</t>
        </is>
      </c>
    </row>
    <row r="1899">
      <c r="A1899" s="19" t="n">
        <v>1898</v>
      </c>
      <c r="B1899" s="20" t="n">
        <v>46576</v>
      </c>
      <c r="C1899" s="21" t="n">
        <v>10</v>
      </c>
      <c r="D1899" s="25" t="inlineStr">
        <is>
          <t>Payout</t>
        </is>
      </c>
      <c r="E1899" s="19" t="inlineStr">
        <is>
          <t>Blue Guardian Futures</t>
        </is>
      </c>
      <c r="F1899" s="19" t="inlineStr">
        <is>
          <t>#178 1 Step 100k</t>
        </is>
      </c>
      <c r="G1899" s="22" t="n">
        <v>100000</v>
      </c>
      <c r="H1899" s="22" t="n">
        <v>9000</v>
      </c>
      <c r="I1899" s="22" t="n">
        <v>13842063.15</v>
      </c>
      <c r="J1899" s="19" t="inlineStr">
        <is>
          <t>10 % × 100,000 × split 90%</t>
        </is>
      </c>
    </row>
    <row r="1900">
      <c r="A1900" s="13" t="n">
        <v>1899</v>
      </c>
      <c r="B1900" s="14" t="n">
        <v>46576</v>
      </c>
      <c r="C1900" s="15" t="n">
        <v>10</v>
      </c>
      <c r="D1900" s="25" t="inlineStr">
        <is>
          <t>Payout</t>
        </is>
      </c>
      <c r="E1900" s="13" t="inlineStr">
        <is>
          <t>Blue Guardian Futures</t>
        </is>
      </c>
      <c r="F1900" s="13" t="inlineStr">
        <is>
          <t>#179 1 Step 100k</t>
        </is>
      </c>
      <c r="G1900" s="17" t="n">
        <v>100000</v>
      </c>
      <c r="H1900" s="17" t="n">
        <v>9000</v>
      </c>
      <c r="I1900" s="17" t="n">
        <v>13851063.15</v>
      </c>
      <c r="J1900" s="13" t="inlineStr">
        <is>
          <t>10 % × 100,000 × split 90%</t>
        </is>
      </c>
    </row>
    <row r="1901">
      <c r="A1901" s="19" t="n">
        <v>1900</v>
      </c>
      <c r="B1901" s="20" t="n">
        <v>46576</v>
      </c>
      <c r="C1901" s="21" t="n">
        <v>10</v>
      </c>
      <c r="D1901" s="25" t="inlineStr">
        <is>
          <t>Payout</t>
        </is>
      </c>
      <c r="E1901" s="19" t="inlineStr">
        <is>
          <t>Blue Guardian Futures</t>
        </is>
      </c>
      <c r="F1901" s="19" t="inlineStr">
        <is>
          <t>#180 1 Step 100k</t>
        </is>
      </c>
      <c r="G1901" s="22" t="n">
        <v>100000</v>
      </c>
      <c r="H1901" s="22" t="n">
        <v>9000</v>
      </c>
      <c r="I1901" s="22" t="n">
        <v>13860063.15</v>
      </c>
      <c r="J1901" s="19" t="inlineStr">
        <is>
          <t>10 % × 100,000 × split 90%</t>
        </is>
      </c>
    </row>
    <row r="1902">
      <c r="A1902" s="13" t="n">
        <v>1901</v>
      </c>
      <c r="B1902" s="14" t="n">
        <v>46576</v>
      </c>
      <c r="C1902" s="15" t="n">
        <v>10</v>
      </c>
      <c r="D1902" s="25" t="inlineStr">
        <is>
          <t>Payout</t>
        </is>
      </c>
      <c r="E1902" s="13" t="inlineStr">
        <is>
          <t>Blue Guardian Futures</t>
        </is>
      </c>
      <c r="F1902" s="13" t="inlineStr">
        <is>
          <t>#181 1 Step 100k</t>
        </is>
      </c>
      <c r="G1902" s="17" t="n">
        <v>100000</v>
      </c>
      <c r="H1902" s="17" t="n">
        <v>9000</v>
      </c>
      <c r="I1902" s="17" t="n">
        <v>13869063.15</v>
      </c>
      <c r="J1902" s="13" t="inlineStr">
        <is>
          <t>10 % × 100,000 × split 90%</t>
        </is>
      </c>
    </row>
    <row r="1903">
      <c r="A1903" s="19" t="n">
        <v>1902</v>
      </c>
      <c r="B1903" s="20" t="n">
        <v>46576</v>
      </c>
      <c r="C1903" s="21" t="n">
        <v>10</v>
      </c>
      <c r="D1903" s="25" t="inlineStr">
        <is>
          <t>Payout</t>
        </is>
      </c>
      <c r="E1903" s="19" t="inlineStr">
        <is>
          <t>Blue Guardian Futures</t>
        </is>
      </c>
      <c r="F1903" s="19" t="inlineStr">
        <is>
          <t>#182 1 Step 100k</t>
        </is>
      </c>
      <c r="G1903" s="22" t="n">
        <v>100000</v>
      </c>
      <c r="H1903" s="22" t="n">
        <v>9000</v>
      </c>
      <c r="I1903" s="22" t="n">
        <v>13878063.15</v>
      </c>
      <c r="J1903" s="19" t="inlineStr">
        <is>
          <t>10 % × 100,000 × split 90%</t>
        </is>
      </c>
    </row>
    <row r="1904">
      <c r="A1904" s="13" t="n">
        <v>1903</v>
      </c>
      <c r="B1904" s="14" t="n">
        <v>46576</v>
      </c>
      <c r="C1904" s="15" t="n">
        <v>10</v>
      </c>
      <c r="D1904" s="25" t="inlineStr">
        <is>
          <t>Payout</t>
        </is>
      </c>
      <c r="E1904" s="13" t="inlineStr">
        <is>
          <t>Blue Guardian Futures</t>
        </is>
      </c>
      <c r="F1904" s="13" t="inlineStr">
        <is>
          <t>#183 1 Step 100k</t>
        </is>
      </c>
      <c r="G1904" s="17" t="n">
        <v>100000</v>
      </c>
      <c r="H1904" s="17" t="n">
        <v>9000</v>
      </c>
      <c r="I1904" s="17" t="n">
        <v>13887063.15</v>
      </c>
      <c r="J1904" s="13" t="inlineStr">
        <is>
          <t>10 % × 100,000 × split 90%</t>
        </is>
      </c>
    </row>
    <row r="1905">
      <c r="A1905" s="19" t="n">
        <v>1904</v>
      </c>
      <c r="B1905" s="20" t="n">
        <v>46576</v>
      </c>
      <c r="C1905" s="21" t="n">
        <v>10</v>
      </c>
      <c r="D1905" s="25" t="inlineStr">
        <is>
          <t>Payout</t>
        </is>
      </c>
      <c r="E1905" s="19" t="inlineStr">
        <is>
          <t>Blue Guardian Futures</t>
        </is>
      </c>
      <c r="F1905" s="19" t="inlineStr">
        <is>
          <t>#184 1 Step 100k</t>
        </is>
      </c>
      <c r="G1905" s="22" t="n">
        <v>100000</v>
      </c>
      <c r="H1905" s="22" t="n">
        <v>9000</v>
      </c>
      <c r="I1905" s="22" t="n">
        <v>13896063.15</v>
      </c>
      <c r="J1905" s="19" t="inlineStr">
        <is>
          <t>10 % × 100,000 × split 90%</t>
        </is>
      </c>
    </row>
    <row r="1906">
      <c r="A1906" s="13" t="n">
        <v>1905</v>
      </c>
      <c r="B1906" s="14" t="n">
        <v>46576</v>
      </c>
      <c r="C1906" s="15" t="n">
        <v>10</v>
      </c>
      <c r="D1906" s="25" t="inlineStr">
        <is>
          <t>Payout</t>
        </is>
      </c>
      <c r="E1906" s="13" t="inlineStr">
        <is>
          <t>FunderPro Futures</t>
        </is>
      </c>
      <c r="F1906" s="13" t="inlineStr">
        <is>
          <t>#185 1 Step 150k</t>
        </is>
      </c>
      <c r="G1906" s="17" t="n">
        <v>150000</v>
      </c>
      <c r="H1906" s="17" t="n">
        <v>9000</v>
      </c>
      <c r="I1906" s="17" t="n">
        <v>13905063.15</v>
      </c>
      <c r="J1906" s="13" t="inlineStr">
        <is>
          <t>10 % × 150,000 × split 60%</t>
        </is>
      </c>
    </row>
    <row r="1907">
      <c r="A1907" s="19" t="n">
        <v>1906</v>
      </c>
      <c r="B1907" s="20" t="n">
        <v>46576</v>
      </c>
      <c r="C1907" s="21" t="n">
        <v>10</v>
      </c>
      <c r="D1907" s="25" t="inlineStr">
        <is>
          <t>Payout</t>
        </is>
      </c>
      <c r="E1907" s="19" t="inlineStr">
        <is>
          <t>FunderPro Futures</t>
        </is>
      </c>
      <c r="F1907" s="19" t="inlineStr">
        <is>
          <t>#186 1 Step 150k</t>
        </is>
      </c>
      <c r="G1907" s="22" t="n">
        <v>150000</v>
      </c>
      <c r="H1907" s="22" t="n">
        <v>9000</v>
      </c>
      <c r="I1907" s="22" t="n">
        <v>13914063.15</v>
      </c>
      <c r="J1907" s="19" t="inlineStr">
        <is>
          <t>10 % × 150,000 × split 60%</t>
        </is>
      </c>
    </row>
    <row r="1908">
      <c r="A1908" s="13" t="n">
        <v>1907</v>
      </c>
      <c r="B1908" s="14" t="n">
        <v>46576</v>
      </c>
      <c r="C1908" s="15" t="n">
        <v>10</v>
      </c>
      <c r="D1908" s="25" t="inlineStr">
        <is>
          <t>Payout</t>
        </is>
      </c>
      <c r="E1908" s="13" t="inlineStr">
        <is>
          <t>FunderPro Futures</t>
        </is>
      </c>
      <c r="F1908" s="13" t="inlineStr">
        <is>
          <t>#187 1 Step 150k</t>
        </is>
      </c>
      <c r="G1908" s="17" t="n">
        <v>150000</v>
      </c>
      <c r="H1908" s="17" t="n">
        <v>9000</v>
      </c>
      <c r="I1908" s="17" t="n">
        <v>13923063.15</v>
      </c>
      <c r="J1908" s="13" t="inlineStr">
        <is>
          <t>10 % × 150,000 × split 60%</t>
        </is>
      </c>
    </row>
    <row r="1909">
      <c r="A1909" s="19" t="n">
        <v>1908</v>
      </c>
      <c r="B1909" s="20" t="n">
        <v>46576</v>
      </c>
      <c r="C1909" s="21" t="n">
        <v>10</v>
      </c>
      <c r="D1909" s="25" t="inlineStr">
        <is>
          <t>Payout</t>
        </is>
      </c>
      <c r="E1909" s="19" t="inlineStr">
        <is>
          <t>FunderPro Futures</t>
        </is>
      </c>
      <c r="F1909" s="19" t="inlineStr">
        <is>
          <t>#188 1 Step 150k</t>
        </is>
      </c>
      <c r="G1909" s="22" t="n">
        <v>150000</v>
      </c>
      <c r="H1909" s="22" t="n">
        <v>9000</v>
      </c>
      <c r="I1909" s="22" t="n">
        <v>13932063.15</v>
      </c>
      <c r="J1909" s="19" t="inlineStr">
        <is>
          <t>10 % × 150,000 × split 60%</t>
        </is>
      </c>
    </row>
    <row r="1910">
      <c r="A1910" s="13" t="n">
        <v>1909</v>
      </c>
      <c r="B1910" s="14" t="n">
        <v>46576</v>
      </c>
      <c r="C1910" s="15" t="n">
        <v>10</v>
      </c>
      <c r="D1910" s="25" t="inlineStr">
        <is>
          <t>Payout</t>
        </is>
      </c>
      <c r="E1910" s="13" t="inlineStr">
        <is>
          <t>Capitalize</t>
        </is>
      </c>
      <c r="F1910" s="13" t="inlineStr">
        <is>
          <t>#202 1 Step 500k</t>
        </is>
      </c>
      <c r="G1910" s="17" t="n">
        <v>500000</v>
      </c>
      <c r="H1910" s="17" t="n">
        <v>40000</v>
      </c>
      <c r="I1910" s="17" t="n">
        <v>13972063.15</v>
      </c>
      <c r="J1910" s="13" t="inlineStr">
        <is>
          <t>10 % × 500,000 × split 80%</t>
        </is>
      </c>
    </row>
    <row r="1911">
      <c r="A1911" s="19" t="n">
        <v>1910</v>
      </c>
      <c r="B1911" s="20" t="n">
        <v>46576</v>
      </c>
      <c r="C1911" s="21" t="n">
        <v>10</v>
      </c>
      <c r="D1911" s="25" t="inlineStr">
        <is>
          <t>Payout</t>
        </is>
      </c>
      <c r="E1911" s="19" t="inlineStr">
        <is>
          <t>Hola Prime</t>
        </is>
      </c>
      <c r="F1911" s="19" t="inlineStr">
        <is>
          <t>#206 1 Step 150k</t>
        </is>
      </c>
      <c r="G1911" s="22" t="n">
        <v>150000</v>
      </c>
      <c r="H1911" s="22" t="n">
        <v>12000</v>
      </c>
      <c r="I1911" s="22" t="n">
        <v>13984063.15</v>
      </c>
      <c r="J1911" s="19" t="inlineStr">
        <is>
          <t>10 % × 150,000 × split 80%</t>
        </is>
      </c>
    </row>
    <row r="1912">
      <c r="A1912" s="13" t="n">
        <v>1911</v>
      </c>
      <c r="B1912" s="14" t="n">
        <v>46576</v>
      </c>
      <c r="C1912" s="15" t="n">
        <v>10</v>
      </c>
      <c r="D1912" s="25" t="inlineStr">
        <is>
          <t>Payout</t>
        </is>
      </c>
      <c r="E1912" s="13" t="inlineStr">
        <is>
          <t>Hola Prime</t>
        </is>
      </c>
      <c r="F1912" s="13" t="inlineStr">
        <is>
          <t>#207 1 Step 150k</t>
        </is>
      </c>
      <c r="G1912" s="17" t="n">
        <v>150000</v>
      </c>
      <c r="H1912" s="17" t="n">
        <v>12000</v>
      </c>
      <c r="I1912" s="17" t="n">
        <v>13996063.15</v>
      </c>
      <c r="J1912" s="13" t="inlineStr">
        <is>
          <t>10 % × 150,000 × split 80%</t>
        </is>
      </c>
    </row>
    <row r="1913">
      <c r="A1913" s="19" t="n">
        <v>1912</v>
      </c>
      <c r="B1913" s="20" t="n">
        <v>46576</v>
      </c>
      <c r="C1913" s="21" t="n">
        <v>10</v>
      </c>
      <c r="D1913" s="25" t="inlineStr">
        <is>
          <t>Payout</t>
        </is>
      </c>
      <c r="E1913" s="19" t="inlineStr">
        <is>
          <t>Hola Prime</t>
        </is>
      </c>
      <c r="F1913" s="19" t="inlineStr">
        <is>
          <t>#208 1 Step 150k</t>
        </is>
      </c>
      <c r="G1913" s="22" t="n">
        <v>150000</v>
      </c>
      <c r="H1913" s="22" t="n">
        <v>12000</v>
      </c>
      <c r="I1913" s="22" t="n">
        <v>14008063.15</v>
      </c>
      <c r="J1913" s="19" t="inlineStr">
        <is>
          <t>10 % × 150,000 × split 80%</t>
        </is>
      </c>
    </row>
    <row r="1914">
      <c r="A1914" s="13" t="n">
        <v>1913</v>
      </c>
      <c r="B1914" s="14" t="n">
        <v>46576</v>
      </c>
      <c r="C1914" s="15" t="n">
        <v>10</v>
      </c>
      <c r="D1914" s="25" t="inlineStr">
        <is>
          <t>Payout</t>
        </is>
      </c>
      <c r="E1914" s="13" t="inlineStr">
        <is>
          <t>FTMO Futures</t>
        </is>
      </c>
      <c r="F1914" s="13" t="inlineStr">
        <is>
          <t>#213 1 Step 150k</t>
        </is>
      </c>
      <c r="G1914" s="17" t="n">
        <v>150000</v>
      </c>
      <c r="H1914" s="17" t="n">
        <v>13500</v>
      </c>
      <c r="I1914" s="17" t="n">
        <v>14021563.15</v>
      </c>
      <c r="J1914" s="13" t="inlineStr">
        <is>
          <t>10 % × 150,000 × split 90%</t>
        </is>
      </c>
    </row>
    <row r="1915">
      <c r="A1915" s="19" t="n">
        <v>1914</v>
      </c>
      <c r="B1915" s="20" t="n">
        <v>46576</v>
      </c>
      <c r="C1915" s="21" t="n">
        <v>10</v>
      </c>
      <c r="D1915" s="25" t="inlineStr">
        <is>
          <t>Payout</t>
        </is>
      </c>
      <c r="E1915" s="19" t="inlineStr">
        <is>
          <t>FTMO Futures</t>
        </is>
      </c>
      <c r="F1915" s="19" t="inlineStr">
        <is>
          <t>#214 1 Step 150k</t>
        </is>
      </c>
      <c r="G1915" s="22" t="n">
        <v>150000</v>
      </c>
      <c r="H1915" s="22" t="n">
        <v>13500</v>
      </c>
      <c r="I1915" s="22" t="n">
        <v>14035063.15</v>
      </c>
      <c r="J1915" s="19" t="inlineStr">
        <is>
          <t>10 % × 150,000 × split 90%</t>
        </is>
      </c>
    </row>
    <row r="1916">
      <c r="A1916" s="13" t="n">
        <v>1915</v>
      </c>
      <c r="B1916" s="14" t="n">
        <v>46576</v>
      </c>
      <c r="C1916" s="15" t="n">
        <v>10</v>
      </c>
      <c r="D1916" s="25" t="inlineStr">
        <is>
          <t>Payout</t>
        </is>
      </c>
      <c r="E1916" s="13" t="inlineStr">
        <is>
          <t>FTMO Futures</t>
        </is>
      </c>
      <c r="F1916" s="13" t="inlineStr">
        <is>
          <t>#215 1 Step 150k</t>
        </is>
      </c>
      <c r="G1916" s="17" t="n">
        <v>150000</v>
      </c>
      <c r="H1916" s="17" t="n">
        <v>13500</v>
      </c>
      <c r="I1916" s="17" t="n">
        <v>14048563.15</v>
      </c>
      <c r="J1916" s="13" t="inlineStr">
        <is>
          <t>10 % × 150,000 × split 90%</t>
        </is>
      </c>
    </row>
    <row r="1917">
      <c r="A1917" s="19" t="n">
        <v>1916</v>
      </c>
      <c r="B1917" s="20" t="n">
        <v>46576</v>
      </c>
      <c r="C1917" s="21" t="n">
        <v>10</v>
      </c>
      <c r="D1917" s="25" t="inlineStr">
        <is>
          <t>Payout</t>
        </is>
      </c>
      <c r="E1917" s="19" t="inlineStr">
        <is>
          <t>Halcyon Trader Funding</t>
        </is>
      </c>
      <c r="F1917" s="19" t="inlineStr">
        <is>
          <t>#216 1 Step 150k</t>
        </is>
      </c>
      <c r="G1917" s="22" t="n">
        <v>150000</v>
      </c>
      <c r="H1917" s="22" t="n">
        <v>13500</v>
      </c>
      <c r="I1917" s="22" t="n">
        <v>14062063.15</v>
      </c>
      <c r="J1917" s="19" t="inlineStr">
        <is>
          <t>10 % × 150,000 × split 90%</t>
        </is>
      </c>
    </row>
    <row r="1918">
      <c r="A1918" s="13" t="n">
        <v>1917</v>
      </c>
      <c r="B1918" s="14" t="n">
        <v>46576</v>
      </c>
      <c r="C1918" s="15" t="n">
        <v>10</v>
      </c>
      <c r="D1918" s="25" t="inlineStr">
        <is>
          <t>Payout</t>
        </is>
      </c>
      <c r="E1918" s="13" t="inlineStr">
        <is>
          <t>Halcyon Trader Funding</t>
        </is>
      </c>
      <c r="F1918" s="13" t="inlineStr">
        <is>
          <t>#217 1 Step 150k</t>
        </is>
      </c>
      <c r="G1918" s="17" t="n">
        <v>150000</v>
      </c>
      <c r="H1918" s="17" t="n">
        <v>13500</v>
      </c>
      <c r="I1918" s="17" t="n">
        <v>14075563.15</v>
      </c>
      <c r="J1918" s="13" t="inlineStr">
        <is>
          <t>10 % × 150,000 × split 90%</t>
        </is>
      </c>
    </row>
    <row r="1919">
      <c r="A1919" s="19" t="n">
        <v>1918</v>
      </c>
      <c r="B1919" s="20" t="n">
        <v>46576</v>
      </c>
      <c r="C1919" s="21" t="n">
        <v>10</v>
      </c>
      <c r="D1919" s="25" t="inlineStr">
        <is>
          <t>Payout</t>
        </is>
      </c>
      <c r="E1919" s="19" t="inlineStr">
        <is>
          <t>Halcyon Trader Funding</t>
        </is>
      </c>
      <c r="F1919" s="19" t="inlineStr">
        <is>
          <t>#218 1 Step 150k</t>
        </is>
      </c>
      <c r="G1919" s="22" t="n">
        <v>150000</v>
      </c>
      <c r="H1919" s="22" t="n">
        <v>13500</v>
      </c>
      <c r="I1919" s="22" t="n">
        <v>14089063.15</v>
      </c>
      <c r="J1919" s="19" t="inlineStr">
        <is>
          <t>10 % × 150,000 × split 90%</t>
        </is>
      </c>
    </row>
    <row r="1920">
      <c r="A1920" s="13" t="n">
        <v>1919</v>
      </c>
      <c r="B1920" s="14" t="n">
        <v>46576</v>
      </c>
      <c r="C1920" s="15" t="n">
        <v>10</v>
      </c>
      <c r="D1920" s="25" t="inlineStr">
        <is>
          <t>Payout</t>
        </is>
      </c>
      <c r="E1920" s="13" t="inlineStr">
        <is>
          <t>Astrofund</t>
        </is>
      </c>
      <c r="F1920" s="13" t="inlineStr">
        <is>
          <t>#219 1 Step 100k</t>
        </is>
      </c>
      <c r="G1920" s="17" t="n">
        <v>100000</v>
      </c>
      <c r="H1920" s="17" t="n">
        <v>9000</v>
      </c>
      <c r="I1920" s="17" t="n">
        <v>14098063.15</v>
      </c>
      <c r="J1920" s="13" t="inlineStr">
        <is>
          <t>10 % × 100,000 × split 90%</t>
        </is>
      </c>
    </row>
    <row r="1921">
      <c r="A1921" s="19" t="n">
        <v>1920</v>
      </c>
      <c r="B1921" s="20" t="n">
        <v>46576</v>
      </c>
      <c r="C1921" s="21" t="n">
        <v>10</v>
      </c>
      <c r="D1921" s="25" t="inlineStr">
        <is>
          <t>Payout</t>
        </is>
      </c>
      <c r="E1921" s="19" t="inlineStr">
        <is>
          <t>Astrofund</t>
        </is>
      </c>
      <c r="F1921" s="19" t="inlineStr">
        <is>
          <t>#220 1 Step 100k</t>
        </is>
      </c>
      <c r="G1921" s="22" t="n">
        <v>100000</v>
      </c>
      <c r="H1921" s="22" t="n">
        <v>9000</v>
      </c>
      <c r="I1921" s="22" t="n">
        <v>14107063.15</v>
      </c>
      <c r="J1921" s="19" t="inlineStr">
        <is>
          <t>10 % × 100,000 × split 90%</t>
        </is>
      </c>
    </row>
    <row r="1922">
      <c r="A1922" s="13" t="n">
        <v>1921</v>
      </c>
      <c r="B1922" s="14" t="n">
        <v>46576</v>
      </c>
      <c r="C1922" s="15" t="n">
        <v>10</v>
      </c>
      <c r="D1922" s="25" t="inlineStr">
        <is>
          <t>Payout</t>
        </is>
      </c>
      <c r="E1922" s="13" t="inlineStr">
        <is>
          <t>Astrofund</t>
        </is>
      </c>
      <c r="F1922" s="13" t="inlineStr">
        <is>
          <t>#221 1 Step 100k</t>
        </is>
      </c>
      <c r="G1922" s="17" t="n">
        <v>100000</v>
      </c>
      <c r="H1922" s="17" t="n">
        <v>9000</v>
      </c>
      <c r="I1922" s="17" t="n">
        <v>14116063.15</v>
      </c>
      <c r="J1922" s="13" t="inlineStr">
        <is>
          <t>10 % × 100,000 × split 90%</t>
        </is>
      </c>
    </row>
    <row r="1923">
      <c r="A1923" s="19" t="n">
        <v>1922</v>
      </c>
      <c r="B1923" s="20" t="n">
        <v>46576</v>
      </c>
      <c r="C1923" s="21" t="n">
        <v>10</v>
      </c>
      <c r="D1923" s="25" t="inlineStr">
        <is>
          <t>Payout</t>
        </is>
      </c>
      <c r="E1923" s="19" t="inlineStr">
        <is>
          <t>Astrofund</t>
        </is>
      </c>
      <c r="F1923" s="19" t="inlineStr">
        <is>
          <t>#222 1 Step 100k</t>
        </is>
      </c>
      <c r="G1923" s="22" t="n">
        <v>100000</v>
      </c>
      <c r="H1923" s="22" t="n">
        <v>9000</v>
      </c>
      <c r="I1923" s="22" t="n">
        <v>14125063.15</v>
      </c>
      <c r="J1923" s="19" t="inlineStr">
        <is>
          <t>10 % × 100,000 × split 90%</t>
        </is>
      </c>
    </row>
    <row r="1924">
      <c r="A1924" s="13" t="n">
        <v>1923</v>
      </c>
      <c r="B1924" s="14" t="n">
        <v>46576</v>
      </c>
      <c r="C1924" s="15" t="n">
        <v>10</v>
      </c>
      <c r="D1924" s="25" t="inlineStr">
        <is>
          <t>Payout</t>
        </is>
      </c>
      <c r="E1924" s="13" t="inlineStr">
        <is>
          <t>BrightFunded</t>
        </is>
      </c>
      <c r="F1924" s="13" t="inlineStr">
        <is>
          <t>#223 1 Step 200k</t>
        </is>
      </c>
      <c r="G1924" s="17" t="n">
        <v>200000</v>
      </c>
      <c r="H1924" s="17" t="n">
        <v>20000</v>
      </c>
      <c r="I1924" s="17" t="n">
        <v>14145063.15</v>
      </c>
      <c r="J1924" s="13" t="inlineStr">
        <is>
          <t>10 % × 200,000 × split 100%</t>
        </is>
      </c>
    </row>
    <row r="1925">
      <c r="A1925" s="19" t="n">
        <v>1924</v>
      </c>
      <c r="B1925" s="20" t="n">
        <v>46576</v>
      </c>
      <c r="C1925" s="21" t="n">
        <v>10</v>
      </c>
      <c r="D1925" s="25" t="inlineStr">
        <is>
          <t>Payout</t>
        </is>
      </c>
      <c r="E1925" s="19" t="inlineStr">
        <is>
          <t>BrightFunded</t>
        </is>
      </c>
      <c r="F1925" s="19" t="inlineStr">
        <is>
          <t>#224 1 Step 200k</t>
        </is>
      </c>
      <c r="G1925" s="22" t="n">
        <v>200000</v>
      </c>
      <c r="H1925" s="22" t="n">
        <v>20000</v>
      </c>
      <c r="I1925" s="22" t="n">
        <v>14165063.15</v>
      </c>
      <c r="J1925" s="19" t="inlineStr">
        <is>
          <t>10 % × 200,000 × split 100%</t>
        </is>
      </c>
    </row>
    <row r="1926">
      <c r="A1926" s="13" t="n">
        <v>1925</v>
      </c>
      <c r="B1926" s="14" t="n">
        <v>46576</v>
      </c>
      <c r="C1926" s="15" t="n">
        <v>10</v>
      </c>
      <c r="D1926" s="25" t="inlineStr">
        <is>
          <t>Payout</t>
        </is>
      </c>
      <c r="E1926" s="13" t="inlineStr">
        <is>
          <t>FTMO</t>
        </is>
      </c>
      <c r="F1926" s="13" t="inlineStr">
        <is>
          <t>#227 1 Step 200k</t>
        </is>
      </c>
      <c r="G1926" s="17" t="n">
        <v>200000</v>
      </c>
      <c r="H1926" s="17" t="n">
        <v>16000</v>
      </c>
      <c r="I1926" s="17" t="n">
        <v>14181063.15</v>
      </c>
      <c r="J1926" s="13" t="inlineStr">
        <is>
          <t>10 % × 200,000 × split 80%</t>
        </is>
      </c>
    </row>
    <row r="1927">
      <c r="A1927" s="19" t="n">
        <v>1926</v>
      </c>
      <c r="B1927" s="20" t="n">
        <v>46576</v>
      </c>
      <c r="C1927" s="21" t="n">
        <v>10</v>
      </c>
      <c r="D1927" s="25" t="inlineStr">
        <is>
          <t>Payout</t>
        </is>
      </c>
      <c r="E1927" s="19" t="inlineStr">
        <is>
          <t>FTMO</t>
        </is>
      </c>
      <c r="F1927" s="19" t="inlineStr">
        <is>
          <t>#228 1 Step 200k</t>
        </is>
      </c>
      <c r="G1927" s="22" t="n">
        <v>200000</v>
      </c>
      <c r="H1927" s="22" t="n">
        <v>16000</v>
      </c>
      <c r="I1927" s="22" t="n">
        <v>14197063.15</v>
      </c>
      <c r="J1927" s="19" t="inlineStr">
        <is>
          <t>10 % × 200,000 × split 80%</t>
        </is>
      </c>
    </row>
    <row r="1928">
      <c r="A1928" s="13" t="n">
        <v>1927</v>
      </c>
      <c r="B1928" s="14" t="n">
        <v>46576</v>
      </c>
      <c r="C1928" s="15" t="n">
        <v>10</v>
      </c>
      <c r="D1928" s="25" t="inlineStr">
        <is>
          <t>Payout</t>
        </is>
      </c>
      <c r="E1928" s="13" t="inlineStr">
        <is>
          <t>Funded X</t>
        </is>
      </c>
      <c r="F1928" s="13" t="inlineStr">
        <is>
          <t>#229 1 Step 200k</t>
        </is>
      </c>
      <c r="G1928" s="17" t="n">
        <v>200000</v>
      </c>
      <c r="H1928" s="17" t="n">
        <v>20000</v>
      </c>
      <c r="I1928" s="17" t="n">
        <v>14217063.15</v>
      </c>
      <c r="J1928" s="13" t="inlineStr">
        <is>
          <t>10 % × 200,000 × split 100%</t>
        </is>
      </c>
    </row>
    <row r="1929">
      <c r="A1929" s="19" t="n">
        <v>1928</v>
      </c>
      <c r="B1929" s="20" t="n">
        <v>46576</v>
      </c>
      <c r="C1929" s="21" t="n">
        <v>10</v>
      </c>
      <c r="D1929" s="25" t="inlineStr">
        <is>
          <t>Payout</t>
        </is>
      </c>
      <c r="E1929" s="19" t="inlineStr">
        <is>
          <t>Funded X</t>
        </is>
      </c>
      <c r="F1929" s="19" t="inlineStr">
        <is>
          <t>#230 1 Step 200k</t>
        </is>
      </c>
      <c r="G1929" s="22" t="n">
        <v>200000</v>
      </c>
      <c r="H1929" s="22" t="n">
        <v>20000</v>
      </c>
      <c r="I1929" s="22" t="n">
        <v>14237063.15</v>
      </c>
      <c r="J1929" s="19" t="inlineStr">
        <is>
          <t>10 % × 200,000 × split 100%</t>
        </is>
      </c>
    </row>
    <row r="1930">
      <c r="A1930" s="13" t="n">
        <v>1929</v>
      </c>
      <c r="B1930" s="14" t="n">
        <v>46576</v>
      </c>
      <c r="C1930" s="15" t="n">
        <v>10</v>
      </c>
      <c r="D1930" s="25" t="inlineStr">
        <is>
          <t>Payout</t>
        </is>
      </c>
      <c r="E1930" s="13" t="inlineStr">
        <is>
          <t>Hantec Trader</t>
        </is>
      </c>
      <c r="F1930" s="13" t="inlineStr">
        <is>
          <t>#231 3 Step 200k</t>
        </is>
      </c>
      <c r="G1930" s="17" t="n">
        <v>200000</v>
      </c>
      <c r="H1930" s="17" t="n">
        <v>19000</v>
      </c>
      <c r="I1930" s="17" t="n">
        <v>14256063.15</v>
      </c>
      <c r="J1930" s="13" t="inlineStr">
        <is>
          <t>10 % × 200,000 × split 95%</t>
        </is>
      </c>
    </row>
    <row r="1931">
      <c r="A1931" s="19" t="n">
        <v>1930</v>
      </c>
      <c r="B1931" s="20" t="n">
        <v>46576</v>
      </c>
      <c r="C1931" s="21" t="n">
        <v>10</v>
      </c>
      <c r="D1931" s="25" t="inlineStr">
        <is>
          <t>Payout</t>
        </is>
      </c>
      <c r="E1931" s="19" t="inlineStr">
        <is>
          <t>LifeUp Trading</t>
        </is>
      </c>
      <c r="F1931" s="19" t="inlineStr">
        <is>
          <t>#232 1 Step 150k</t>
        </is>
      </c>
      <c r="G1931" s="22" t="n">
        <v>150000</v>
      </c>
      <c r="H1931" s="22" t="n">
        <v>12000</v>
      </c>
      <c r="I1931" s="22" t="n">
        <v>14268063.15</v>
      </c>
      <c r="J1931" s="19" t="inlineStr">
        <is>
          <t>10 % × 150,000 × split 80%</t>
        </is>
      </c>
    </row>
    <row r="1932">
      <c r="A1932" s="13" t="n">
        <v>1931</v>
      </c>
      <c r="B1932" s="14" t="n">
        <v>46576</v>
      </c>
      <c r="C1932" s="15" t="n">
        <v>10</v>
      </c>
      <c r="D1932" s="25" t="inlineStr">
        <is>
          <t>Payout</t>
        </is>
      </c>
      <c r="E1932" s="13" t="inlineStr">
        <is>
          <t>LifeUp Trading</t>
        </is>
      </c>
      <c r="F1932" s="13" t="inlineStr">
        <is>
          <t>#233 1 Step 150k</t>
        </is>
      </c>
      <c r="G1932" s="17" t="n">
        <v>150000</v>
      </c>
      <c r="H1932" s="17" t="n">
        <v>12000</v>
      </c>
      <c r="I1932" s="17" t="n">
        <v>14280063.15</v>
      </c>
      <c r="J1932" s="13" t="inlineStr">
        <is>
          <t>10 % × 150,000 × split 80%</t>
        </is>
      </c>
    </row>
    <row r="1933">
      <c r="A1933" s="19" t="n">
        <v>1932</v>
      </c>
      <c r="B1933" s="20" t="n">
        <v>46576</v>
      </c>
      <c r="C1933" s="21" t="n">
        <v>10</v>
      </c>
      <c r="D1933" s="25" t="inlineStr">
        <is>
          <t>Payout</t>
        </is>
      </c>
      <c r="E1933" s="19" t="inlineStr">
        <is>
          <t>LifeUp Trading</t>
        </is>
      </c>
      <c r="F1933" s="19" t="inlineStr">
        <is>
          <t>#234 1 Step 150k</t>
        </is>
      </c>
      <c r="G1933" s="22" t="n">
        <v>150000</v>
      </c>
      <c r="H1933" s="22" t="n">
        <v>12000</v>
      </c>
      <c r="I1933" s="22" t="n">
        <v>14292063.15</v>
      </c>
      <c r="J1933" s="19" t="inlineStr">
        <is>
          <t>10 % × 150,000 × split 80%</t>
        </is>
      </c>
    </row>
    <row r="1934">
      <c r="A1934" s="13" t="n">
        <v>1933</v>
      </c>
      <c r="B1934" s="14" t="n">
        <v>46576</v>
      </c>
      <c r="C1934" s="15" t="n">
        <v>10</v>
      </c>
      <c r="D1934" s="25" t="inlineStr">
        <is>
          <t>Payout</t>
        </is>
      </c>
      <c r="E1934" s="13" t="inlineStr">
        <is>
          <t>LifeUp Trading</t>
        </is>
      </c>
      <c r="F1934" s="13" t="inlineStr">
        <is>
          <t>#235 1 Step 150k</t>
        </is>
      </c>
      <c r="G1934" s="17" t="n">
        <v>150000</v>
      </c>
      <c r="H1934" s="17" t="n">
        <v>12000</v>
      </c>
      <c r="I1934" s="17" t="n">
        <v>14304063.15</v>
      </c>
      <c r="J1934" s="13" t="inlineStr">
        <is>
          <t>10 % × 150,000 × split 80%</t>
        </is>
      </c>
    </row>
    <row r="1935">
      <c r="A1935" s="19" t="n">
        <v>1934</v>
      </c>
      <c r="B1935" s="20" t="n">
        <v>46576</v>
      </c>
      <c r="C1935" s="21" t="n">
        <v>10</v>
      </c>
      <c r="D1935" s="25" t="inlineStr">
        <is>
          <t>Payout</t>
        </is>
      </c>
      <c r="E1935" s="19" t="inlineStr">
        <is>
          <t>Get Funded Now</t>
        </is>
      </c>
      <c r="F1935" s="19" t="inlineStr">
        <is>
          <t>#239 1 Step 200k</t>
        </is>
      </c>
      <c r="G1935" s="22" t="n">
        <v>200000</v>
      </c>
      <c r="H1935" s="22" t="n">
        <v>16000</v>
      </c>
      <c r="I1935" s="22" t="n">
        <v>14320063.15</v>
      </c>
      <c r="J1935" s="19" t="inlineStr">
        <is>
          <t>10 % × 200,000 × split 80%</t>
        </is>
      </c>
    </row>
    <row r="1936">
      <c r="A1936" s="13" t="n">
        <v>1935</v>
      </c>
      <c r="B1936" s="14" t="n">
        <v>46576</v>
      </c>
      <c r="C1936" s="15" t="n">
        <v>10</v>
      </c>
      <c r="D1936" s="25" t="inlineStr">
        <is>
          <t>Payout</t>
        </is>
      </c>
      <c r="E1936" s="13" t="inlineStr">
        <is>
          <t>Get Funded Now</t>
        </is>
      </c>
      <c r="F1936" s="13" t="inlineStr">
        <is>
          <t>#240 1 Step 200k</t>
        </is>
      </c>
      <c r="G1936" s="17" t="n">
        <v>200000</v>
      </c>
      <c r="H1936" s="17" t="n">
        <v>16000</v>
      </c>
      <c r="I1936" s="17" t="n">
        <v>14336063.15</v>
      </c>
      <c r="J1936" s="13" t="inlineStr">
        <is>
          <t>10 % × 200,000 × split 80%</t>
        </is>
      </c>
    </row>
    <row r="1937">
      <c r="A1937" s="19" t="n">
        <v>1936</v>
      </c>
      <c r="B1937" s="20" t="n">
        <v>46576</v>
      </c>
      <c r="C1937" s="21" t="n">
        <v>10</v>
      </c>
      <c r="D1937" s="25" t="inlineStr">
        <is>
          <t>Payout</t>
        </is>
      </c>
      <c r="E1937" s="19" t="inlineStr">
        <is>
          <t>FOREXIVE</t>
        </is>
      </c>
      <c r="F1937" s="19" t="inlineStr">
        <is>
          <t>#246 2 Step 200k</t>
        </is>
      </c>
      <c r="G1937" s="22" t="n">
        <v>200000</v>
      </c>
      <c r="H1937" s="22" t="n">
        <v>16000</v>
      </c>
      <c r="I1937" s="22" t="n">
        <v>14352063.15</v>
      </c>
      <c r="J1937" s="19" t="inlineStr">
        <is>
          <t>10 % × 200,000 × split 80%</t>
        </is>
      </c>
    </row>
    <row r="1938">
      <c r="A1938" s="13" t="n">
        <v>1937</v>
      </c>
      <c r="B1938" s="14" t="n">
        <v>46576</v>
      </c>
      <c r="C1938" s="15" t="n">
        <v>10</v>
      </c>
      <c r="D1938" s="25" t="inlineStr">
        <is>
          <t>Payout</t>
        </is>
      </c>
      <c r="E1938" s="13" t="inlineStr">
        <is>
          <t>Breakout</t>
        </is>
      </c>
      <c r="F1938" s="13" t="inlineStr">
        <is>
          <t>#249 1 Step 200k</t>
        </is>
      </c>
      <c r="G1938" s="17" t="n">
        <v>200000</v>
      </c>
      <c r="H1938" s="17" t="n">
        <v>16000</v>
      </c>
      <c r="I1938" s="17" t="n">
        <v>14368063.15</v>
      </c>
      <c r="J1938" s="13" t="inlineStr">
        <is>
          <t>10 % × 200,000 × split 80%</t>
        </is>
      </c>
    </row>
    <row r="1939">
      <c r="A1939" s="19" t="n">
        <v>1938</v>
      </c>
      <c r="B1939" s="20" t="n">
        <v>46576</v>
      </c>
      <c r="C1939" s="21" t="n">
        <v>10</v>
      </c>
      <c r="D1939" s="25" t="inlineStr">
        <is>
          <t>Payout</t>
        </is>
      </c>
      <c r="E1939" s="19" t="inlineStr">
        <is>
          <t>HyroTrader</t>
        </is>
      </c>
      <c r="F1939" s="19" t="inlineStr">
        <is>
          <t>#254 1 Step 200k</t>
        </is>
      </c>
      <c r="G1939" s="22" t="n">
        <v>200000</v>
      </c>
      <c r="H1939" s="22" t="n">
        <v>16000</v>
      </c>
      <c r="I1939" s="22" t="n">
        <v>14384063.15</v>
      </c>
      <c r="J1939" s="19" t="inlineStr">
        <is>
          <t>10 % × 200,000 × split 80%</t>
        </is>
      </c>
    </row>
    <row r="1940">
      <c r="A1940" s="13" t="n">
        <v>1939</v>
      </c>
      <c r="B1940" s="14" t="n">
        <v>46576</v>
      </c>
      <c r="C1940" s="15" t="n">
        <v>10</v>
      </c>
      <c r="D1940" s="25" t="inlineStr">
        <is>
          <t>Payout</t>
        </is>
      </c>
      <c r="E1940" s="13" t="inlineStr">
        <is>
          <t>Tradersyard</t>
        </is>
      </c>
      <c r="F1940" s="13" t="inlineStr">
        <is>
          <t>#256 1 Step 150k</t>
        </is>
      </c>
      <c r="G1940" s="17" t="n">
        <v>150000</v>
      </c>
      <c r="H1940" s="17" t="n">
        <v>15000</v>
      </c>
      <c r="I1940" s="17" t="n">
        <v>14399063.15</v>
      </c>
      <c r="J1940" s="13" t="inlineStr">
        <is>
          <t>10 % × 150,000 × split 100%</t>
        </is>
      </c>
    </row>
    <row r="1941">
      <c r="A1941" s="19" t="n">
        <v>1940</v>
      </c>
      <c r="B1941" s="20" t="n">
        <v>46576</v>
      </c>
      <c r="C1941" s="21" t="n">
        <v>10</v>
      </c>
      <c r="D1941" s="25" t="inlineStr">
        <is>
          <t>Payout</t>
        </is>
      </c>
      <c r="E1941" s="19" t="inlineStr">
        <is>
          <t>Get Crypto Funded</t>
        </is>
      </c>
      <c r="F1941" s="19" t="inlineStr">
        <is>
          <t>#237 3 Step 200k</t>
        </is>
      </c>
      <c r="G1941" s="22" t="n">
        <v>200000</v>
      </c>
      <c r="H1941" s="22" t="n">
        <v>16000</v>
      </c>
      <c r="I1941" s="22" t="n">
        <v>14415063.15</v>
      </c>
      <c r="J1941" s="19" t="inlineStr">
        <is>
          <t>10 % × 200,000 × split 80%</t>
        </is>
      </c>
    </row>
    <row r="1942">
      <c r="A1942" s="13" t="n">
        <v>1941</v>
      </c>
      <c r="B1942" s="14" t="n">
        <v>46576</v>
      </c>
      <c r="C1942" s="15" t="n">
        <v>10</v>
      </c>
      <c r="D1942" s="25" t="inlineStr">
        <is>
          <t>Payout</t>
        </is>
      </c>
      <c r="E1942" s="13" t="inlineStr">
        <is>
          <t>Get Crypto Funded</t>
        </is>
      </c>
      <c r="F1942" s="13" t="inlineStr">
        <is>
          <t>#238 3 Step 200k</t>
        </is>
      </c>
      <c r="G1942" s="17" t="n">
        <v>200000</v>
      </c>
      <c r="H1942" s="17" t="n">
        <v>16000</v>
      </c>
      <c r="I1942" s="17" t="n">
        <v>14431063.15</v>
      </c>
      <c r="J1942" s="13" t="inlineStr">
        <is>
          <t>10 % × 200,000 × split 80%</t>
        </is>
      </c>
    </row>
    <row r="1943">
      <c r="A1943" s="19" t="n">
        <v>1942</v>
      </c>
      <c r="B1943" s="20" t="n">
        <v>46576</v>
      </c>
      <c r="C1943" s="21" t="n">
        <v>10</v>
      </c>
      <c r="D1943" s="25" t="inlineStr">
        <is>
          <t>Payout</t>
        </is>
      </c>
      <c r="E1943" s="19" t="inlineStr">
        <is>
          <t>Hantec Trader</t>
        </is>
      </c>
      <c r="F1943" s="19" t="inlineStr">
        <is>
          <t>#241 3 Step 200k</t>
        </is>
      </c>
      <c r="G1943" s="22" t="n">
        <v>200000</v>
      </c>
      <c r="H1943" s="22" t="n">
        <v>19000</v>
      </c>
      <c r="I1943" s="22" t="n">
        <v>14450063.15</v>
      </c>
      <c r="J1943" s="19" t="inlineStr">
        <is>
          <t>10 % × 200,000 × split 95%</t>
        </is>
      </c>
    </row>
    <row r="1944">
      <c r="A1944" s="13" t="n">
        <v>1943</v>
      </c>
      <c r="B1944" s="14" t="n">
        <v>46576</v>
      </c>
      <c r="C1944" s="15" t="n">
        <v>10</v>
      </c>
      <c r="D1944" s="25" t="inlineStr">
        <is>
          <t>Payout</t>
        </is>
      </c>
      <c r="E1944" s="13" t="inlineStr">
        <is>
          <t>LifeUp Trading</t>
        </is>
      </c>
      <c r="F1944" s="13" t="inlineStr">
        <is>
          <t>#257 1 Step 150k</t>
        </is>
      </c>
      <c r="G1944" s="17" t="n">
        <v>150000</v>
      </c>
      <c r="H1944" s="17" t="n">
        <v>12000</v>
      </c>
      <c r="I1944" s="17" t="n">
        <v>14462063.15</v>
      </c>
      <c r="J1944" s="13" t="inlineStr">
        <is>
          <t>10 % × 150,000 × split 80%</t>
        </is>
      </c>
    </row>
    <row r="1945">
      <c r="A1945" s="19" t="n">
        <v>1944</v>
      </c>
      <c r="B1945" s="20" t="n">
        <v>46590</v>
      </c>
      <c r="C1945" s="21" t="n">
        <v>10.5</v>
      </c>
      <c r="D1945" s="25" t="inlineStr">
        <is>
          <t>Payout</t>
        </is>
      </c>
      <c r="E1945" s="19" t="inlineStr">
        <is>
          <t>BestProp4U</t>
        </is>
      </c>
      <c r="F1945" s="19" t="inlineStr">
        <is>
          <t>#149 2 Step 400k</t>
        </is>
      </c>
      <c r="G1945" s="22" t="n">
        <v>400000</v>
      </c>
      <c r="H1945" s="22" t="n">
        <v>24000</v>
      </c>
      <c r="I1945" s="22" t="n">
        <v>14486063.15</v>
      </c>
      <c r="J1945" s="19" t="inlineStr">
        <is>
          <t>10 % × 400,000 × split 60%</t>
        </is>
      </c>
    </row>
    <row r="1946">
      <c r="A1946" s="13" t="n">
        <v>1945</v>
      </c>
      <c r="B1946" s="14" t="n">
        <v>46590</v>
      </c>
      <c r="C1946" s="15" t="n">
        <v>10.5</v>
      </c>
      <c r="D1946" s="25" t="inlineStr">
        <is>
          <t>Payout</t>
        </is>
      </c>
      <c r="E1946" s="13" t="inlineStr">
        <is>
          <t>BestProp4U</t>
        </is>
      </c>
      <c r="F1946" s="13" t="inlineStr">
        <is>
          <t>#150 2 Step 400k</t>
        </is>
      </c>
      <c r="G1946" s="17" t="n">
        <v>400000</v>
      </c>
      <c r="H1946" s="17" t="n">
        <v>24000</v>
      </c>
      <c r="I1946" s="17" t="n">
        <v>14510063.15</v>
      </c>
      <c r="J1946" s="13" t="inlineStr">
        <is>
          <t>10 % × 400,000 × split 60%</t>
        </is>
      </c>
    </row>
    <row r="1947">
      <c r="A1947" s="19" t="n">
        <v>1946</v>
      </c>
      <c r="B1947" s="20" t="n">
        <v>46590</v>
      </c>
      <c r="C1947" s="21" t="n">
        <v>10.5</v>
      </c>
      <c r="D1947" s="25" t="inlineStr">
        <is>
          <t>Payout</t>
        </is>
      </c>
      <c r="E1947" s="19" t="inlineStr">
        <is>
          <t>Blink Funding</t>
        </is>
      </c>
      <c r="F1947" s="19" t="inlineStr">
        <is>
          <t>#151 3 Step 500k</t>
        </is>
      </c>
      <c r="G1947" s="22" t="n">
        <v>500000</v>
      </c>
      <c r="H1947" s="22" t="n">
        <v>37500</v>
      </c>
      <c r="I1947" s="22" t="n">
        <v>14547563.15</v>
      </c>
      <c r="J1947" s="19" t="inlineStr">
        <is>
          <t>10 % × 500,000 × split 75%</t>
        </is>
      </c>
    </row>
    <row r="1948">
      <c r="A1948" s="13" t="n">
        <v>1947</v>
      </c>
      <c r="B1948" s="14" t="n">
        <v>46590</v>
      </c>
      <c r="C1948" s="15" t="n">
        <v>10.5</v>
      </c>
      <c r="D1948" s="25" t="inlineStr">
        <is>
          <t>Payout</t>
        </is>
      </c>
      <c r="E1948" s="13" t="inlineStr">
        <is>
          <t>Blink Funding</t>
        </is>
      </c>
      <c r="F1948" s="13" t="inlineStr">
        <is>
          <t>#152 3 Step 500k</t>
        </is>
      </c>
      <c r="G1948" s="17" t="n">
        <v>500000</v>
      </c>
      <c r="H1948" s="17" t="n">
        <v>37500</v>
      </c>
      <c r="I1948" s="17" t="n">
        <v>14585063.15</v>
      </c>
      <c r="J1948" s="13" t="inlineStr">
        <is>
          <t>10 % × 500,000 × split 75%</t>
        </is>
      </c>
    </row>
    <row r="1949">
      <c r="A1949" s="19" t="n">
        <v>1948</v>
      </c>
      <c r="B1949" s="20" t="n">
        <v>46590</v>
      </c>
      <c r="C1949" s="21" t="n">
        <v>10.5</v>
      </c>
      <c r="D1949" s="25" t="inlineStr">
        <is>
          <t>Payout</t>
        </is>
      </c>
      <c r="E1949" s="19" t="inlineStr">
        <is>
          <t>Investiqa</t>
        </is>
      </c>
      <c r="F1949" s="19" t="inlineStr">
        <is>
          <t>#162 2 Step 500k</t>
        </is>
      </c>
      <c r="G1949" s="22" t="n">
        <v>500000</v>
      </c>
      <c r="H1949" s="22" t="n">
        <v>40000</v>
      </c>
      <c r="I1949" s="22" t="n">
        <v>14625063.15</v>
      </c>
      <c r="J1949" s="19" t="inlineStr">
        <is>
          <t>10 % × 500,000 × split 80%</t>
        </is>
      </c>
    </row>
    <row r="1950">
      <c r="A1950" s="13" t="n">
        <v>1949</v>
      </c>
      <c r="B1950" s="14" t="n">
        <v>46590</v>
      </c>
      <c r="C1950" s="15" t="n">
        <v>10.5</v>
      </c>
      <c r="D1950" s="25" t="inlineStr">
        <is>
          <t>Payout</t>
        </is>
      </c>
      <c r="E1950" s="13" t="inlineStr">
        <is>
          <t>Investiqa</t>
        </is>
      </c>
      <c r="F1950" s="13" t="inlineStr">
        <is>
          <t>#163 2 Step 500k</t>
        </is>
      </c>
      <c r="G1950" s="17" t="n">
        <v>500000</v>
      </c>
      <c r="H1950" s="17" t="n">
        <v>40000</v>
      </c>
      <c r="I1950" s="17" t="n">
        <v>14665063.15</v>
      </c>
      <c r="J1950" s="13" t="inlineStr">
        <is>
          <t>10 % × 500,000 × split 80%</t>
        </is>
      </c>
    </row>
    <row r="1951">
      <c r="A1951" s="19" t="n">
        <v>1950</v>
      </c>
      <c r="B1951" s="20" t="n">
        <v>46590</v>
      </c>
      <c r="C1951" s="21" t="n">
        <v>10.5</v>
      </c>
      <c r="D1951" s="25" t="inlineStr">
        <is>
          <t>Payout</t>
        </is>
      </c>
      <c r="E1951" s="19" t="inlineStr">
        <is>
          <t>FXIFY</t>
        </is>
      </c>
      <c r="F1951" s="19" t="inlineStr">
        <is>
          <t>#166 3 Step 400k</t>
        </is>
      </c>
      <c r="G1951" s="22" t="n">
        <v>400000</v>
      </c>
      <c r="H1951" s="22" t="n">
        <v>36000</v>
      </c>
      <c r="I1951" s="22" t="n">
        <v>14701063.15</v>
      </c>
      <c r="J1951" s="19" t="inlineStr">
        <is>
          <t>10 % × 400,000 × split 90%</t>
        </is>
      </c>
    </row>
    <row r="1952">
      <c r="A1952" s="13" t="n">
        <v>1951</v>
      </c>
      <c r="B1952" s="14" t="n">
        <v>46590</v>
      </c>
      <c r="C1952" s="15" t="n">
        <v>10.5</v>
      </c>
      <c r="D1952" s="25" t="inlineStr">
        <is>
          <t>Payout</t>
        </is>
      </c>
      <c r="E1952" s="13" t="inlineStr">
        <is>
          <t>FXIFY</t>
        </is>
      </c>
      <c r="F1952" s="13" t="inlineStr">
        <is>
          <t>#167 3 Step 400k</t>
        </is>
      </c>
      <c r="G1952" s="17" t="n">
        <v>400000</v>
      </c>
      <c r="H1952" s="17" t="n">
        <v>36000</v>
      </c>
      <c r="I1952" s="17" t="n">
        <v>14737063.15</v>
      </c>
      <c r="J1952" s="13" t="inlineStr">
        <is>
          <t>10 % × 400,000 × split 90%</t>
        </is>
      </c>
    </row>
    <row r="1953">
      <c r="A1953" s="19" t="n">
        <v>1952</v>
      </c>
      <c r="B1953" s="20" t="n">
        <v>46590</v>
      </c>
      <c r="C1953" s="21" t="n">
        <v>10.5</v>
      </c>
      <c r="D1953" s="25" t="inlineStr">
        <is>
          <t>Payout</t>
        </is>
      </c>
      <c r="E1953" s="19" t="inlineStr">
        <is>
          <t>Funded Squad</t>
        </is>
      </c>
      <c r="F1953" s="19" t="inlineStr">
        <is>
          <t>#168 2 Step 200k</t>
        </is>
      </c>
      <c r="G1953" s="22" t="n">
        <v>200000</v>
      </c>
      <c r="H1953" s="22" t="n">
        <v>20000</v>
      </c>
      <c r="I1953" s="22" t="n">
        <v>14757063.15</v>
      </c>
      <c r="J1953" s="19" t="inlineStr">
        <is>
          <t>10 % × 200,000 × split 100%</t>
        </is>
      </c>
    </row>
    <row r="1954">
      <c r="A1954" s="13" t="n">
        <v>1953</v>
      </c>
      <c r="B1954" s="14" t="n">
        <v>46590</v>
      </c>
      <c r="C1954" s="15" t="n">
        <v>10.5</v>
      </c>
      <c r="D1954" s="25" t="inlineStr">
        <is>
          <t>Payout</t>
        </is>
      </c>
      <c r="E1954" s="13" t="inlineStr">
        <is>
          <t>Funded Squad</t>
        </is>
      </c>
      <c r="F1954" s="13" t="inlineStr">
        <is>
          <t>#169 2 Step 200k</t>
        </is>
      </c>
      <c r="G1954" s="17" t="n">
        <v>200000</v>
      </c>
      <c r="H1954" s="17" t="n">
        <v>20000</v>
      </c>
      <c r="I1954" s="17" t="n">
        <v>14777063.15</v>
      </c>
      <c r="J1954" s="13" t="inlineStr">
        <is>
          <t>10 % × 200,000 × split 100%</t>
        </is>
      </c>
    </row>
    <row r="1955">
      <c r="A1955" s="19" t="n">
        <v>1954</v>
      </c>
      <c r="B1955" s="20" t="n">
        <v>46590</v>
      </c>
      <c r="C1955" s="21" t="n">
        <v>10.5</v>
      </c>
      <c r="D1955" s="25" t="inlineStr">
        <is>
          <t>Payout</t>
        </is>
      </c>
      <c r="E1955" s="19" t="inlineStr">
        <is>
          <t>Funded Squad</t>
        </is>
      </c>
      <c r="F1955" s="19" t="inlineStr">
        <is>
          <t>#170 2 Step 200k</t>
        </is>
      </c>
      <c r="G1955" s="22" t="n">
        <v>200000</v>
      </c>
      <c r="H1955" s="22" t="n">
        <v>20000</v>
      </c>
      <c r="I1955" s="22" t="n">
        <v>14797063.15</v>
      </c>
      <c r="J1955" s="19" t="inlineStr">
        <is>
          <t>10 % × 200,000 × split 100%</t>
        </is>
      </c>
    </row>
    <row r="1956">
      <c r="A1956" s="13" t="n">
        <v>1955</v>
      </c>
      <c r="B1956" s="14" t="n">
        <v>46590</v>
      </c>
      <c r="C1956" s="15" t="n">
        <v>10.5</v>
      </c>
      <c r="D1956" s="25" t="inlineStr">
        <is>
          <t>Payout</t>
        </is>
      </c>
      <c r="E1956" s="13" t="inlineStr">
        <is>
          <t>Funded Squad</t>
        </is>
      </c>
      <c r="F1956" s="13" t="inlineStr">
        <is>
          <t>#171 2 Step 200k</t>
        </is>
      </c>
      <c r="G1956" s="17" t="n">
        <v>200000</v>
      </c>
      <c r="H1956" s="17" t="n">
        <v>20000</v>
      </c>
      <c r="I1956" s="17" t="n">
        <v>14817063.15</v>
      </c>
      <c r="J1956" s="13" t="inlineStr">
        <is>
          <t>10 % × 200,000 × split 100%</t>
        </is>
      </c>
    </row>
    <row r="1957">
      <c r="A1957" s="19" t="n">
        <v>1956</v>
      </c>
      <c r="B1957" s="20" t="n">
        <v>46590</v>
      </c>
      <c r="C1957" s="21" t="n">
        <v>10.5</v>
      </c>
      <c r="D1957" s="25" t="inlineStr">
        <is>
          <t>Payout</t>
        </is>
      </c>
      <c r="E1957" s="19" t="inlineStr">
        <is>
          <t>Fintokei</t>
        </is>
      </c>
      <c r="F1957" s="19" t="inlineStr">
        <is>
          <t>#189 3 Step 100k</t>
        </is>
      </c>
      <c r="G1957" s="22" t="n">
        <v>100000</v>
      </c>
      <c r="H1957" s="22" t="n">
        <v>10000</v>
      </c>
      <c r="I1957" s="22" t="n">
        <v>14827063.15</v>
      </c>
      <c r="J1957" s="19" t="inlineStr">
        <is>
          <t>10 % × 100,000 × split 100%</t>
        </is>
      </c>
    </row>
    <row r="1958">
      <c r="A1958" s="13" t="n">
        <v>1957</v>
      </c>
      <c r="B1958" s="14" t="n">
        <v>46590</v>
      </c>
      <c r="C1958" s="15" t="n">
        <v>10.5</v>
      </c>
      <c r="D1958" s="25" t="inlineStr">
        <is>
          <t>Payout</t>
        </is>
      </c>
      <c r="E1958" s="13" t="inlineStr">
        <is>
          <t>Fintokei</t>
        </is>
      </c>
      <c r="F1958" s="13" t="inlineStr">
        <is>
          <t>#190 3 Step 100k</t>
        </is>
      </c>
      <c r="G1958" s="17" t="n">
        <v>100000</v>
      </c>
      <c r="H1958" s="17" t="n">
        <v>10000</v>
      </c>
      <c r="I1958" s="17" t="n">
        <v>14837063.15</v>
      </c>
      <c r="J1958" s="13" t="inlineStr">
        <is>
          <t>10 % × 100,000 × split 100%</t>
        </is>
      </c>
    </row>
    <row r="1959">
      <c r="A1959" s="19" t="n">
        <v>1958</v>
      </c>
      <c r="B1959" s="20" t="n">
        <v>46590</v>
      </c>
      <c r="C1959" s="21" t="n">
        <v>10.5</v>
      </c>
      <c r="D1959" s="25" t="inlineStr">
        <is>
          <t>Payout</t>
        </is>
      </c>
      <c r="E1959" s="19" t="inlineStr">
        <is>
          <t>Fintokei</t>
        </is>
      </c>
      <c r="F1959" s="19" t="inlineStr">
        <is>
          <t>#191 3 Step 100k</t>
        </is>
      </c>
      <c r="G1959" s="22" t="n">
        <v>100000</v>
      </c>
      <c r="H1959" s="22" t="n">
        <v>10000</v>
      </c>
      <c r="I1959" s="22" t="n">
        <v>14847063.15</v>
      </c>
      <c r="J1959" s="19" t="inlineStr">
        <is>
          <t>10 % × 100,000 × split 100%</t>
        </is>
      </c>
    </row>
    <row r="1960">
      <c r="A1960" s="13" t="n">
        <v>1959</v>
      </c>
      <c r="B1960" s="14" t="n">
        <v>46590</v>
      </c>
      <c r="C1960" s="15" t="n">
        <v>10.5</v>
      </c>
      <c r="D1960" s="25" t="inlineStr">
        <is>
          <t>Payout</t>
        </is>
      </c>
      <c r="E1960" s="13" t="inlineStr">
        <is>
          <t>Fintokei</t>
        </is>
      </c>
      <c r="F1960" s="13" t="inlineStr">
        <is>
          <t>#192 3 Step 100k</t>
        </is>
      </c>
      <c r="G1960" s="17" t="n">
        <v>100000</v>
      </c>
      <c r="H1960" s="17" t="n">
        <v>10000</v>
      </c>
      <c r="I1960" s="17" t="n">
        <v>14857063.15</v>
      </c>
      <c r="J1960" s="13" t="inlineStr">
        <is>
          <t>10 % × 100,000 × split 100%</t>
        </is>
      </c>
    </row>
    <row r="1961">
      <c r="A1961" s="19" t="n">
        <v>1960</v>
      </c>
      <c r="B1961" s="20" t="n">
        <v>46590</v>
      </c>
      <c r="C1961" s="21" t="n">
        <v>10.5</v>
      </c>
      <c r="D1961" s="25" t="inlineStr">
        <is>
          <t>Payout</t>
        </is>
      </c>
      <c r="E1961" s="19" t="inlineStr">
        <is>
          <t>Fintokei</t>
        </is>
      </c>
      <c r="F1961" s="19" t="inlineStr">
        <is>
          <t>#193 3 Step 100k</t>
        </is>
      </c>
      <c r="G1961" s="22" t="n">
        <v>100000</v>
      </c>
      <c r="H1961" s="22" t="n">
        <v>10000</v>
      </c>
      <c r="I1961" s="22" t="n">
        <v>14867063.15</v>
      </c>
      <c r="J1961" s="19" t="inlineStr">
        <is>
          <t>10 % × 100,000 × split 100%</t>
        </is>
      </c>
    </row>
    <row r="1962">
      <c r="A1962" s="13" t="n">
        <v>1961</v>
      </c>
      <c r="B1962" s="14" t="n">
        <v>46590</v>
      </c>
      <c r="C1962" s="15" t="n">
        <v>10.5</v>
      </c>
      <c r="D1962" s="25" t="inlineStr">
        <is>
          <t>Payout</t>
        </is>
      </c>
      <c r="E1962" s="13" t="inlineStr">
        <is>
          <t>Fintokei</t>
        </is>
      </c>
      <c r="F1962" s="13" t="inlineStr">
        <is>
          <t>#194 3 Step 100k</t>
        </is>
      </c>
      <c r="G1962" s="17" t="n">
        <v>100000</v>
      </c>
      <c r="H1962" s="17" t="n">
        <v>10000</v>
      </c>
      <c r="I1962" s="17" t="n">
        <v>14877063.15</v>
      </c>
      <c r="J1962" s="13" t="inlineStr">
        <is>
          <t>10 % × 100,000 × split 100%</t>
        </is>
      </c>
    </row>
    <row r="1963">
      <c r="A1963" s="19" t="n">
        <v>1962</v>
      </c>
      <c r="B1963" s="20" t="n">
        <v>46590</v>
      </c>
      <c r="C1963" s="21" t="n">
        <v>10.5</v>
      </c>
      <c r="D1963" s="25" t="inlineStr">
        <is>
          <t>Payout</t>
        </is>
      </c>
      <c r="E1963" s="19" t="inlineStr">
        <is>
          <t>Fintokei</t>
        </is>
      </c>
      <c r="F1963" s="19" t="inlineStr">
        <is>
          <t>#195 3 Step 100k</t>
        </is>
      </c>
      <c r="G1963" s="22" t="n">
        <v>100000</v>
      </c>
      <c r="H1963" s="22" t="n">
        <v>10000</v>
      </c>
      <c r="I1963" s="22" t="n">
        <v>14887063.15</v>
      </c>
      <c r="J1963" s="19" t="inlineStr">
        <is>
          <t>10 % × 100,000 × split 100%</t>
        </is>
      </c>
    </row>
    <row r="1964">
      <c r="A1964" s="13" t="n">
        <v>1963</v>
      </c>
      <c r="B1964" s="14" t="n">
        <v>46590</v>
      </c>
      <c r="C1964" s="15" t="n">
        <v>10.5</v>
      </c>
      <c r="D1964" s="25" t="inlineStr">
        <is>
          <t>Payout</t>
        </is>
      </c>
      <c r="E1964" s="13" t="inlineStr">
        <is>
          <t>DNA Funded</t>
        </is>
      </c>
      <c r="F1964" s="13" t="inlineStr">
        <is>
          <t>#196 2 Step 200k</t>
        </is>
      </c>
      <c r="G1964" s="17" t="n">
        <v>200000</v>
      </c>
      <c r="H1964" s="17" t="n">
        <v>18000</v>
      </c>
      <c r="I1964" s="17" t="n">
        <v>14905063.15</v>
      </c>
      <c r="J1964" s="13" t="inlineStr">
        <is>
          <t>10 % × 200,000 × split 90%</t>
        </is>
      </c>
    </row>
    <row r="1965">
      <c r="A1965" s="19" t="n">
        <v>1964</v>
      </c>
      <c r="B1965" s="20" t="n">
        <v>46590</v>
      </c>
      <c r="C1965" s="21" t="n">
        <v>10.5</v>
      </c>
      <c r="D1965" s="25" t="inlineStr">
        <is>
          <t>Payout</t>
        </is>
      </c>
      <c r="E1965" s="19" t="inlineStr">
        <is>
          <t>DNA Funded</t>
        </is>
      </c>
      <c r="F1965" s="19" t="inlineStr">
        <is>
          <t>#197 2 Step 200k</t>
        </is>
      </c>
      <c r="G1965" s="22" t="n">
        <v>200000</v>
      </c>
      <c r="H1965" s="22" t="n">
        <v>18000</v>
      </c>
      <c r="I1965" s="22" t="n">
        <v>14923063.15</v>
      </c>
      <c r="J1965" s="19" t="inlineStr">
        <is>
          <t>10 % × 200,000 × split 90%</t>
        </is>
      </c>
    </row>
    <row r="1966">
      <c r="A1966" s="13" t="n">
        <v>1965</v>
      </c>
      <c r="B1966" s="14" t="n">
        <v>46590</v>
      </c>
      <c r="C1966" s="15" t="n">
        <v>10.5</v>
      </c>
      <c r="D1966" s="25" t="inlineStr">
        <is>
          <t>Payout</t>
        </is>
      </c>
      <c r="E1966" s="13" t="inlineStr">
        <is>
          <t>DNA Funded</t>
        </is>
      </c>
      <c r="F1966" s="13" t="inlineStr">
        <is>
          <t>#198 2 Step 200k</t>
        </is>
      </c>
      <c r="G1966" s="17" t="n">
        <v>200000</v>
      </c>
      <c r="H1966" s="17" t="n">
        <v>18000</v>
      </c>
      <c r="I1966" s="17" t="n">
        <v>14941063.15</v>
      </c>
      <c r="J1966" s="13" t="inlineStr">
        <is>
          <t>10 % × 200,000 × split 90%</t>
        </is>
      </c>
    </row>
    <row r="1967">
      <c r="A1967" s="19" t="n">
        <v>1966</v>
      </c>
      <c r="B1967" s="20" t="n">
        <v>46590</v>
      </c>
      <c r="C1967" s="21" t="n">
        <v>10.5</v>
      </c>
      <c r="D1967" s="25" t="inlineStr">
        <is>
          <t>Payout</t>
        </is>
      </c>
      <c r="E1967" s="19" t="inlineStr">
        <is>
          <t>Eightcap Challenges</t>
        </is>
      </c>
      <c r="F1967" s="19" t="inlineStr">
        <is>
          <t>#199 2 Step 200k</t>
        </is>
      </c>
      <c r="G1967" s="22" t="n">
        <v>200000</v>
      </c>
      <c r="H1967" s="22" t="n">
        <v>16000</v>
      </c>
      <c r="I1967" s="22" t="n">
        <v>14957063.15</v>
      </c>
      <c r="J1967" s="19" t="inlineStr">
        <is>
          <t>10 % × 200,000 × split 80%</t>
        </is>
      </c>
    </row>
    <row r="1968">
      <c r="A1968" s="13" t="n">
        <v>1967</v>
      </c>
      <c r="B1968" s="14" t="n">
        <v>46590</v>
      </c>
      <c r="C1968" s="15" t="n">
        <v>10.5</v>
      </c>
      <c r="D1968" s="25" t="inlineStr">
        <is>
          <t>Payout</t>
        </is>
      </c>
      <c r="E1968" s="13" t="inlineStr">
        <is>
          <t>Eightcap Challenges</t>
        </is>
      </c>
      <c r="F1968" s="13" t="inlineStr">
        <is>
          <t>#200 2 Step 200k</t>
        </is>
      </c>
      <c r="G1968" s="17" t="n">
        <v>200000</v>
      </c>
      <c r="H1968" s="17" t="n">
        <v>16000</v>
      </c>
      <c r="I1968" s="17" t="n">
        <v>14973063.15</v>
      </c>
      <c r="J1968" s="13" t="inlineStr">
        <is>
          <t>10 % × 200,000 × split 80%</t>
        </is>
      </c>
    </row>
    <row r="1969">
      <c r="A1969" s="19" t="n">
        <v>1968</v>
      </c>
      <c r="B1969" s="20" t="n">
        <v>46590</v>
      </c>
      <c r="C1969" s="21" t="n">
        <v>10.5</v>
      </c>
      <c r="D1969" s="25" t="inlineStr">
        <is>
          <t>Payout</t>
        </is>
      </c>
      <c r="E1969" s="19" t="inlineStr">
        <is>
          <t>Eightcap Challenges</t>
        </is>
      </c>
      <c r="F1969" s="19" t="inlineStr">
        <is>
          <t>#201 2 Step 200k</t>
        </is>
      </c>
      <c r="G1969" s="22" t="n">
        <v>200000</v>
      </c>
      <c r="H1969" s="22" t="n">
        <v>16000</v>
      </c>
      <c r="I1969" s="22" t="n">
        <v>14989063.15</v>
      </c>
      <c r="J1969" s="19" t="inlineStr">
        <is>
          <t>10 % × 200,000 × split 80%</t>
        </is>
      </c>
    </row>
    <row r="1970">
      <c r="A1970" s="13" t="n">
        <v>1969</v>
      </c>
      <c r="B1970" s="14" t="n">
        <v>46590</v>
      </c>
      <c r="C1970" s="15" t="n">
        <v>10.5</v>
      </c>
      <c r="D1970" s="25" t="inlineStr">
        <is>
          <t>Payout</t>
        </is>
      </c>
      <c r="E1970" s="13" t="inlineStr">
        <is>
          <t>E8 Markets</t>
        </is>
      </c>
      <c r="F1970" s="13" t="inlineStr">
        <is>
          <t>#203 2 Step 150k</t>
        </is>
      </c>
      <c r="G1970" s="17" t="n">
        <v>150000</v>
      </c>
      <c r="H1970" s="17" t="n">
        <v>12000</v>
      </c>
      <c r="I1970" s="17" t="n">
        <v>15001063.15</v>
      </c>
      <c r="J1970" s="13" t="inlineStr">
        <is>
          <t>10 % × 150,000 × split 80%</t>
        </is>
      </c>
    </row>
    <row r="1971">
      <c r="A1971" s="19" t="n">
        <v>1970</v>
      </c>
      <c r="B1971" s="20" t="n">
        <v>46590</v>
      </c>
      <c r="C1971" s="21" t="n">
        <v>10.5</v>
      </c>
      <c r="D1971" s="25" t="inlineStr">
        <is>
          <t>Payout</t>
        </is>
      </c>
      <c r="E1971" s="19" t="inlineStr">
        <is>
          <t>E8 Markets</t>
        </is>
      </c>
      <c r="F1971" s="19" t="inlineStr">
        <is>
          <t>#204 2 Step 150k</t>
        </is>
      </c>
      <c r="G1971" s="22" t="n">
        <v>150000</v>
      </c>
      <c r="H1971" s="22" t="n">
        <v>12000</v>
      </c>
      <c r="I1971" s="22" t="n">
        <v>15013063.15</v>
      </c>
      <c r="J1971" s="19" t="inlineStr">
        <is>
          <t>10 % × 150,000 × split 80%</t>
        </is>
      </c>
    </row>
    <row r="1972">
      <c r="A1972" s="13" t="n">
        <v>1971</v>
      </c>
      <c r="B1972" s="14" t="n">
        <v>46590</v>
      </c>
      <c r="C1972" s="15" t="n">
        <v>10.5</v>
      </c>
      <c r="D1972" s="25" t="inlineStr">
        <is>
          <t>Payout</t>
        </is>
      </c>
      <c r="E1972" s="13" t="inlineStr">
        <is>
          <t>E8 Markets</t>
        </is>
      </c>
      <c r="F1972" s="13" t="inlineStr">
        <is>
          <t>#205 2 Step 150k</t>
        </is>
      </c>
      <c r="G1972" s="17" t="n">
        <v>150000</v>
      </c>
      <c r="H1972" s="17" t="n">
        <v>12000</v>
      </c>
      <c r="I1972" s="17" t="n">
        <v>15025063.15</v>
      </c>
      <c r="J1972" s="13" t="inlineStr">
        <is>
          <t>10 % × 150,000 × split 80%</t>
        </is>
      </c>
    </row>
    <row r="1973">
      <c r="A1973" s="19" t="n">
        <v>1972</v>
      </c>
      <c r="B1973" s="20" t="n">
        <v>46590</v>
      </c>
      <c r="C1973" s="21" t="n">
        <v>10.5</v>
      </c>
      <c r="D1973" s="25" t="inlineStr">
        <is>
          <t>Payout</t>
        </is>
      </c>
      <c r="E1973" s="19" t="inlineStr">
        <is>
          <t>IC Funded</t>
        </is>
      </c>
      <c r="F1973" s="19" t="inlineStr">
        <is>
          <t>#209 2 Step 500k</t>
        </is>
      </c>
      <c r="G1973" s="22" t="n">
        <v>500000</v>
      </c>
      <c r="H1973" s="22" t="n">
        <v>45000</v>
      </c>
      <c r="I1973" s="22" t="n">
        <v>15070063.15</v>
      </c>
      <c r="J1973" s="19" t="inlineStr">
        <is>
          <t>10 % × 500,000 × split 90%</t>
        </is>
      </c>
    </row>
    <row r="1974">
      <c r="A1974" s="13" t="n">
        <v>1973</v>
      </c>
      <c r="B1974" s="14" t="n">
        <v>46590</v>
      </c>
      <c r="C1974" s="15" t="n">
        <v>10.5</v>
      </c>
      <c r="D1974" s="25" t="inlineStr">
        <is>
          <t>Payout</t>
        </is>
      </c>
      <c r="E1974" s="13" t="inlineStr">
        <is>
          <t>Blueberry Futures</t>
        </is>
      </c>
      <c r="F1974" s="13" t="inlineStr">
        <is>
          <t>#210 1 Step 150k</t>
        </is>
      </c>
      <c r="G1974" s="17" t="n">
        <v>150000</v>
      </c>
      <c r="H1974" s="17" t="n">
        <v>13500</v>
      </c>
      <c r="I1974" s="17" t="n">
        <v>15083563.15</v>
      </c>
      <c r="J1974" s="13" t="inlineStr">
        <is>
          <t>10 % × 150,000 × split 90%</t>
        </is>
      </c>
    </row>
    <row r="1975">
      <c r="A1975" s="19" t="n">
        <v>1974</v>
      </c>
      <c r="B1975" s="20" t="n">
        <v>46590</v>
      </c>
      <c r="C1975" s="21" t="n">
        <v>10.5</v>
      </c>
      <c r="D1975" s="25" t="inlineStr">
        <is>
          <t>Payout</t>
        </is>
      </c>
      <c r="E1975" s="19" t="inlineStr">
        <is>
          <t>Blueberry Futures</t>
        </is>
      </c>
      <c r="F1975" s="19" t="inlineStr">
        <is>
          <t>#211 1 Step 150k</t>
        </is>
      </c>
      <c r="G1975" s="22" t="n">
        <v>150000</v>
      </c>
      <c r="H1975" s="22" t="n">
        <v>13500</v>
      </c>
      <c r="I1975" s="22" t="n">
        <v>15097063.15</v>
      </c>
      <c r="J1975" s="19" t="inlineStr">
        <is>
          <t>10 % × 150,000 × split 90%</t>
        </is>
      </c>
    </row>
    <row r="1976">
      <c r="A1976" s="13" t="n">
        <v>1975</v>
      </c>
      <c r="B1976" s="14" t="n">
        <v>46590</v>
      </c>
      <c r="C1976" s="15" t="n">
        <v>10.5</v>
      </c>
      <c r="D1976" s="25" t="inlineStr">
        <is>
          <t>Payout</t>
        </is>
      </c>
      <c r="E1976" s="13" t="inlineStr">
        <is>
          <t>Blueberry Futures</t>
        </is>
      </c>
      <c r="F1976" s="13" t="inlineStr">
        <is>
          <t>#212 1 Step 150k</t>
        </is>
      </c>
      <c r="G1976" s="17" t="n">
        <v>150000</v>
      </c>
      <c r="H1976" s="17" t="n">
        <v>13500</v>
      </c>
      <c r="I1976" s="17" t="n">
        <v>15110563.15</v>
      </c>
      <c r="J1976" s="13" t="inlineStr">
        <is>
          <t>10 % × 150,000 × split 90%</t>
        </is>
      </c>
    </row>
    <row r="1977">
      <c r="A1977" s="19" t="n">
        <v>1976</v>
      </c>
      <c r="B1977" s="20" t="n">
        <v>46590</v>
      </c>
      <c r="C1977" s="21" t="n">
        <v>10.5</v>
      </c>
      <c r="D1977" s="25" t="inlineStr">
        <is>
          <t>Payout</t>
        </is>
      </c>
      <c r="E1977" s="19" t="inlineStr">
        <is>
          <t>Direct Funded Trader</t>
        </is>
      </c>
      <c r="F1977" s="19" t="inlineStr">
        <is>
          <t>#225 2 Step 200k</t>
        </is>
      </c>
      <c r="G1977" s="22" t="n">
        <v>200000</v>
      </c>
      <c r="H1977" s="22" t="n">
        <v>16000</v>
      </c>
      <c r="I1977" s="22" t="n">
        <v>15126563.15</v>
      </c>
      <c r="J1977" s="19" t="inlineStr">
        <is>
          <t>10 % × 200,000 × split 80%</t>
        </is>
      </c>
    </row>
    <row r="1978">
      <c r="A1978" s="13" t="n">
        <v>1977</v>
      </c>
      <c r="B1978" s="14" t="n">
        <v>46590</v>
      </c>
      <c r="C1978" s="15" t="n">
        <v>10.5</v>
      </c>
      <c r="D1978" s="25" t="inlineStr">
        <is>
          <t>Payout</t>
        </is>
      </c>
      <c r="E1978" s="13" t="inlineStr">
        <is>
          <t>Direct Funded Trader</t>
        </is>
      </c>
      <c r="F1978" s="13" t="inlineStr">
        <is>
          <t>#226 2 Step 200k</t>
        </is>
      </c>
      <c r="G1978" s="17" t="n">
        <v>200000</v>
      </c>
      <c r="H1978" s="17" t="n">
        <v>16000</v>
      </c>
      <c r="I1978" s="17" t="n">
        <v>15142563.15</v>
      </c>
      <c r="J1978" s="13" t="inlineStr">
        <is>
          <t>10 % × 200,000 × split 80%</t>
        </is>
      </c>
    </row>
    <row r="1979">
      <c r="A1979" s="19" t="n">
        <v>1978</v>
      </c>
      <c r="B1979" s="20" t="n">
        <v>46590</v>
      </c>
      <c r="C1979" s="21" t="n">
        <v>10.5</v>
      </c>
      <c r="D1979" s="25" t="inlineStr">
        <is>
          <t>Payout</t>
        </is>
      </c>
      <c r="E1979" s="19" t="inlineStr">
        <is>
          <t>Fundora</t>
        </is>
      </c>
      <c r="F1979" s="19" t="inlineStr">
        <is>
          <t>#236 2 Step 400k</t>
        </is>
      </c>
      <c r="G1979" s="22" t="n">
        <v>400000</v>
      </c>
      <c r="H1979" s="22" t="n">
        <v>32000</v>
      </c>
      <c r="I1979" s="22" t="n">
        <v>15174563.15</v>
      </c>
      <c r="J1979" s="19" t="inlineStr">
        <is>
          <t>10 % × 400,000 × split 80%</t>
        </is>
      </c>
    </row>
    <row r="1980">
      <c r="A1980" s="13" t="n">
        <v>1979</v>
      </c>
      <c r="B1980" s="14" t="n">
        <v>46590</v>
      </c>
      <c r="C1980" s="15" t="n">
        <v>10.5</v>
      </c>
      <c r="D1980" s="25" t="inlineStr">
        <is>
          <t>Payout</t>
        </is>
      </c>
      <c r="E1980" s="13" t="inlineStr">
        <is>
          <t>Lion Heart Funding</t>
        </is>
      </c>
      <c r="F1980" s="13" t="inlineStr">
        <is>
          <t>#242 2 Step 400k</t>
        </is>
      </c>
      <c r="G1980" s="17" t="n">
        <v>400000</v>
      </c>
      <c r="H1980" s="17" t="n">
        <v>32000</v>
      </c>
      <c r="I1980" s="17" t="n">
        <v>15206563.15</v>
      </c>
      <c r="J1980" s="13" t="inlineStr">
        <is>
          <t>10 % × 400,000 × split 80%</t>
        </is>
      </c>
    </row>
    <row r="1981">
      <c r="A1981" s="19" t="n">
        <v>1980</v>
      </c>
      <c r="B1981" s="20" t="n">
        <v>46590</v>
      </c>
      <c r="C1981" s="21" t="n">
        <v>10.5</v>
      </c>
      <c r="D1981" s="25" t="inlineStr">
        <is>
          <t>Payout</t>
        </is>
      </c>
      <c r="E1981" s="19" t="inlineStr">
        <is>
          <t>FX2 Funding</t>
        </is>
      </c>
      <c r="F1981" s="19" t="inlineStr">
        <is>
          <t>#243 2 Step 100k</t>
        </is>
      </c>
      <c r="G1981" s="22" t="n">
        <v>100000</v>
      </c>
      <c r="H1981" s="22" t="n">
        <v>8000</v>
      </c>
      <c r="I1981" s="22" t="n">
        <v>15214563.15</v>
      </c>
      <c r="J1981" s="19" t="inlineStr">
        <is>
          <t>10 % × 100,000 × split 80%</t>
        </is>
      </c>
    </row>
    <row r="1982">
      <c r="A1982" s="13" t="n">
        <v>1981</v>
      </c>
      <c r="B1982" s="14" t="n">
        <v>46590</v>
      </c>
      <c r="C1982" s="15" t="n">
        <v>10.5</v>
      </c>
      <c r="D1982" s="25" t="inlineStr">
        <is>
          <t>Payout</t>
        </is>
      </c>
      <c r="E1982" s="13" t="inlineStr">
        <is>
          <t>FX2 Funding</t>
        </is>
      </c>
      <c r="F1982" s="13" t="inlineStr">
        <is>
          <t>#244 2 Step 100k</t>
        </is>
      </c>
      <c r="G1982" s="17" t="n">
        <v>100000</v>
      </c>
      <c r="H1982" s="17" t="n">
        <v>8000</v>
      </c>
      <c r="I1982" s="17" t="n">
        <v>15222563.15</v>
      </c>
      <c r="J1982" s="13" t="inlineStr">
        <is>
          <t>10 % × 100,000 × split 80%</t>
        </is>
      </c>
    </row>
    <row r="1983">
      <c r="A1983" s="19" t="n">
        <v>1982</v>
      </c>
      <c r="B1983" s="20" t="n">
        <v>46590</v>
      </c>
      <c r="C1983" s="21" t="n">
        <v>10.5</v>
      </c>
      <c r="D1983" s="25" t="inlineStr">
        <is>
          <t>Payout</t>
        </is>
      </c>
      <c r="E1983" s="19" t="inlineStr">
        <is>
          <t>FX2 Funding</t>
        </is>
      </c>
      <c r="F1983" s="19" t="inlineStr">
        <is>
          <t>#245 2 Step 100k</t>
        </is>
      </c>
      <c r="G1983" s="22" t="n">
        <v>100000</v>
      </c>
      <c r="H1983" s="22" t="n">
        <v>8000</v>
      </c>
      <c r="I1983" s="22" t="n">
        <v>15230563.15</v>
      </c>
      <c r="J1983" s="19" t="inlineStr">
        <is>
          <t>10 % × 100,000 × split 80%</t>
        </is>
      </c>
    </row>
    <row r="1984">
      <c r="A1984" s="13" t="n">
        <v>1983</v>
      </c>
      <c r="B1984" s="14" t="n">
        <v>46590</v>
      </c>
      <c r="C1984" s="15" t="n">
        <v>10.5</v>
      </c>
      <c r="D1984" s="25" t="inlineStr">
        <is>
          <t>Payout</t>
        </is>
      </c>
      <c r="E1984" s="13" t="inlineStr">
        <is>
          <t>AIFO</t>
        </is>
      </c>
      <c r="F1984" s="13" t="inlineStr">
        <is>
          <t>#247 2 Step 200k</t>
        </is>
      </c>
      <c r="G1984" s="17" t="n">
        <v>200000</v>
      </c>
      <c r="H1984" s="17" t="n">
        <v>19000</v>
      </c>
      <c r="I1984" s="17" t="n">
        <v>15249563.15</v>
      </c>
      <c r="J1984" s="13" t="inlineStr">
        <is>
          <t>10 % × 200,000 × split 95%</t>
        </is>
      </c>
    </row>
    <row r="1985">
      <c r="A1985" s="19" t="n">
        <v>1984</v>
      </c>
      <c r="B1985" s="20" t="n">
        <v>46590</v>
      </c>
      <c r="C1985" s="21" t="n">
        <v>10.5</v>
      </c>
      <c r="D1985" s="25" t="inlineStr">
        <is>
          <t>Payout</t>
        </is>
      </c>
      <c r="E1985" s="19" t="inlineStr">
        <is>
          <t>BEM Funding</t>
        </is>
      </c>
      <c r="F1985" s="19" t="inlineStr">
        <is>
          <t>#248 2 Step 100k</t>
        </is>
      </c>
      <c r="G1985" s="22" t="n">
        <v>100000</v>
      </c>
      <c r="H1985" s="22" t="n">
        <v>8000</v>
      </c>
      <c r="I1985" s="22" t="n">
        <v>15257563.15</v>
      </c>
      <c r="J1985" s="19" t="inlineStr">
        <is>
          <t>10 % × 100,000 × split 80%</t>
        </is>
      </c>
    </row>
    <row r="1986">
      <c r="A1986" s="13" t="n">
        <v>1985</v>
      </c>
      <c r="B1986" s="14" t="n">
        <v>46590</v>
      </c>
      <c r="C1986" s="15" t="n">
        <v>10.5</v>
      </c>
      <c r="D1986" s="25" t="inlineStr">
        <is>
          <t>Payout</t>
        </is>
      </c>
      <c r="E1986" s="13" t="inlineStr">
        <is>
          <t>BullRush</t>
        </is>
      </c>
      <c r="F1986" s="13" t="inlineStr">
        <is>
          <t>#250 2 Step 200k</t>
        </is>
      </c>
      <c r="G1986" s="17" t="n">
        <v>200000</v>
      </c>
      <c r="H1986" s="17" t="n">
        <v>15000</v>
      </c>
      <c r="I1986" s="17" t="n">
        <v>15272563.15</v>
      </c>
      <c r="J1986" s="13" t="inlineStr">
        <is>
          <t>10 % × 200,000 × split 75%</t>
        </is>
      </c>
    </row>
    <row r="1987">
      <c r="A1987" s="19" t="n">
        <v>1986</v>
      </c>
      <c r="B1987" s="20" t="n">
        <v>46590</v>
      </c>
      <c r="C1987" s="21" t="n">
        <v>10.5</v>
      </c>
      <c r="D1987" s="25" t="inlineStr">
        <is>
          <t>Payout</t>
        </is>
      </c>
      <c r="E1987" s="19" t="inlineStr">
        <is>
          <t>Exclusive Funded Programme</t>
        </is>
      </c>
      <c r="F1987" s="19" t="inlineStr">
        <is>
          <t>#251 2 Step 200k</t>
        </is>
      </c>
      <c r="G1987" s="22" t="n">
        <v>200000</v>
      </c>
      <c r="H1987" s="22" t="n">
        <v>16000</v>
      </c>
      <c r="I1987" s="22" t="n">
        <v>15288563.15</v>
      </c>
      <c r="J1987" s="19" t="inlineStr">
        <is>
          <t>10 % × 200,000 × split 80%</t>
        </is>
      </c>
    </row>
    <row r="1988">
      <c r="A1988" s="13" t="n">
        <v>1987</v>
      </c>
      <c r="B1988" s="14" t="n">
        <v>46590</v>
      </c>
      <c r="C1988" s="15" t="n">
        <v>10.5</v>
      </c>
      <c r="D1988" s="25" t="inlineStr">
        <is>
          <t>Payout</t>
        </is>
      </c>
      <c r="E1988" s="13" t="inlineStr">
        <is>
          <t>FunderPro</t>
        </is>
      </c>
      <c r="F1988" s="13" t="inlineStr">
        <is>
          <t>#252 1 Step 200k</t>
        </is>
      </c>
      <c r="G1988" s="17" t="n">
        <v>200000</v>
      </c>
      <c r="H1988" s="17" t="n">
        <v>16000</v>
      </c>
      <c r="I1988" s="17" t="n">
        <v>15304563.15</v>
      </c>
      <c r="J1988" s="13" t="inlineStr">
        <is>
          <t>10 % × 200,000 × split 80%</t>
        </is>
      </c>
    </row>
    <row r="1989">
      <c r="A1989" s="19" t="n">
        <v>1988</v>
      </c>
      <c r="B1989" s="20" t="n">
        <v>46590</v>
      </c>
      <c r="C1989" s="21" t="n">
        <v>10.5</v>
      </c>
      <c r="D1989" s="25" t="inlineStr">
        <is>
          <t>Payout</t>
        </is>
      </c>
      <c r="E1989" s="19" t="inlineStr">
        <is>
          <t>Funding Your Trades</t>
        </is>
      </c>
      <c r="F1989" s="19" t="inlineStr">
        <is>
          <t>#253 2 Step 100k</t>
        </is>
      </c>
      <c r="G1989" s="22" t="n">
        <v>100000</v>
      </c>
      <c r="H1989" s="22" t="n">
        <v>10000</v>
      </c>
      <c r="I1989" s="22" t="n">
        <v>15314563.15</v>
      </c>
      <c r="J1989" s="19" t="inlineStr">
        <is>
          <t>10 % × 100,000 × split 100%</t>
        </is>
      </c>
    </row>
    <row r="1990">
      <c r="A1990" s="13" t="n">
        <v>1989</v>
      </c>
      <c r="B1990" s="14" t="n">
        <v>46590</v>
      </c>
      <c r="C1990" s="15" t="n">
        <v>10.5</v>
      </c>
      <c r="D1990" s="25" t="inlineStr">
        <is>
          <t>Payout</t>
        </is>
      </c>
      <c r="E1990" s="13" t="inlineStr">
        <is>
          <t>Mubite</t>
        </is>
      </c>
      <c r="F1990" s="13" t="inlineStr">
        <is>
          <t>#255 2 Step 200k</t>
        </is>
      </c>
      <c r="G1990" s="17" t="n">
        <v>200000</v>
      </c>
      <c r="H1990" s="17" t="n">
        <v>16000</v>
      </c>
      <c r="I1990" s="17" t="n">
        <v>15330563.15</v>
      </c>
      <c r="J1990" s="13" t="inlineStr">
        <is>
          <t>10 % × 200,000 × split 80%</t>
        </is>
      </c>
    </row>
    <row r="1991">
      <c r="A1991" s="19" t="n">
        <v>1990</v>
      </c>
      <c r="B1991" s="20" t="n">
        <v>46590</v>
      </c>
      <c r="C1991" s="21" t="n">
        <v>10.5</v>
      </c>
      <c r="D1991" s="25" t="inlineStr">
        <is>
          <t>Payout</t>
        </is>
      </c>
      <c r="E1991" s="19" t="inlineStr">
        <is>
          <t>MFunded (MarketsVox)</t>
        </is>
      </c>
      <c r="F1991" s="19" t="inlineStr">
        <is>
          <t>#258 2 Step 100k</t>
        </is>
      </c>
      <c r="G1991" s="22" t="n">
        <v>100000</v>
      </c>
      <c r="H1991" s="22" t="n">
        <v>8000</v>
      </c>
      <c r="I1991" s="22" t="n">
        <v>15338563.15</v>
      </c>
      <c r="J1991" s="19" t="inlineStr">
        <is>
          <t>10 % × 100,000 × split 80%</t>
        </is>
      </c>
    </row>
    <row r="1992">
      <c r="A1992" s="13" t="n">
        <v>1991</v>
      </c>
      <c r="B1992" s="14" t="n">
        <v>46590</v>
      </c>
      <c r="C1992" s="15" t="n">
        <v>10.5</v>
      </c>
      <c r="D1992" s="25" t="inlineStr">
        <is>
          <t>Payout</t>
        </is>
      </c>
      <c r="E1992" s="13" t="inlineStr">
        <is>
          <t>Monevis</t>
        </is>
      </c>
      <c r="F1992" s="13" t="inlineStr">
        <is>
          <t>#259 3 Step 100k</t>
        </is>
      </c>
      <c r="G1992" s="17" t="n">
        <v>100000</v>
      </c>
      <c r="H1992" s="17" t="n">
        <v>8000</v>
      </c>
      <c r="I1992" s="17" t="n">
        <v>15346563.15</v>
      </c>
      <c r="J1992" s="13" t="inlineStr">
        <is>
          <t>10 % × 100,000 × split 80%</t>
        </is>
      </c>
    </row>
    <row r="1993">
      <c r="A1993" s="19" t="n">
        <v>1992</v>
      </c>
      <c r="B1993" s="20" t="n">
        <v>46604</v>
      </c>
      <c r="C1993" s="21" t="n">
        <v>11</v>
      </c>
      <c r="D1993" s="25" t="inlineStr">
        <is>
          <t>Payout</t>
        </is>
      </c>
      <c r="E1993" s="19" t="inlineStr">
        <is>
          <t>FundedNext</t>
        </is>
      </c>
      <c r="F1993" s="19" t="inlineStr">
        <is>
          <t>#1 Départ 10k</t>
        </is>
      </c>
      <c r="G1993" s="22" t="n">
        <v>10000</v>
      </c>
      <c r="H1993" s="22" t="n">
        <v>800</v>
      </c>
      <c r="I1993" s="22" t="n">
        <v>15347363.15</v>
      </c>
      <c r="J1993" s="19" t="inlineStr">
        <is>
          <t>10 % × 10,000 × split 80%</t>
        </is>
      </c>
    </row>
    <row r="1994">
      <c r="A1994" s="13" t="n">
        <v>1993</v>
      </c>
      <c r="B1994" s="14" t="n">
        <v>46604</v>
      </c>
      <c r="C1994" s="15" t="n">
        <v>11</v>
      </c>
      <c r="D1994" s="25" t="inlineStr">
        <is>
          <t>Payout</t>
        </is>
      </c>
      <c r="E1994" s="13" t="inlineStr">
        <is>
          <t>Moneta Funded</t>
        </is>
      </c>
      <c r="F1994" s="13" t="inlineStr">
        <is>
          <t>#2 Instant-Direct 100k</t>
        </is>
      </c>
      <c r="G1994" s="17" t="n">
        <v>100000</v>
      </c>
      <c r="H1994" s="17" t="n">
        <v>8000</v>
      </c>
      <c r="I1994" s="17" t="n">
        <v>15355363.15</v>
      </c>
      <c r="J1994" s="13" t="inlineStr">
        <is>
          <t>10 % × 100,000 × split 80%</t>
        </is>
      </c>
    </row>
    <row r="1995">
      <c r="A1995" s="19" t="n">
        <v>1994</v>
      </c>
      <c r="B1995" s="20" t="n">
        <v>46604</v>
      </c>
      <c r="C1995" s="21" t="n">
        <v>11</v>
      </c>
      <c r="D1995" s="25" t="inlineStr">
        <is>
          <t>Payout</t>
        </is>
      </c>
      <c r="E1995" s="19" t="inlineStr">
        <is>
          <t>Moneta Funded</t>
        </is>
      </c>
      <c r="F1995" s="19" t="inlineStr">
        <is>
          <t>#3 Instant-Direct 100k</t>
        </is>
      </c>
      <c r="G1995" s="22" t="n">
        <v>100000</v>
      </c>
      <c r="H1995" s="22" t="n">
        <v>8000</v>
      </c>
      <c r="I1995" s="22" t="n">
        <v>15363363.15</v>
      </c>
      <c r="J1995" s="19" t="inlineStr">
        <is>
          <t>10 % × 100,000 × split 80%</t>
        </is>
      </c>
    </row>
    <row r="1996">
      <c r="A1996" s="13" t="n">
        <v>1995</v>
      </c>
      <c r="B1996" s="14" t="n">
        <v>46604</v>
      </c>
      <c r="C1996" s="15" t="n">
        <v>11</v>
      </c>
      <c r="D1996" s="25" t="inlineStr">
        <is>
          <t>Payout</t>
        </is>
      </c>
      <c r="E1996" s="13" t="inlineStr">
        <is>
          <t>Moneta Funded</t>
        </is>
      </c>
      <c r="F1996" s="13" t="inlineStr">
        <is>
          <t>#4 Instant-Direct 100k</t>
        </is>
      </c>
      <c r="G1996" s="17" t="n">
        <v>100000</v>
      </c>
      <c r="H1996" s="17" t="n">
        <v>8000</v>
      </c>
      <c r="I1996" s="17" t="n">
        <v>15371363.15</v>
      </c>
      <c r="J1996" s="13" t="inlineStr">
        <is>
          <t>10 % × 100,000 × split 80%</t>
        </is>
      </c>
    </row>
    <row r="1997">
      <c r="A1997" s="19" t="n">
        <v>1996</v>
      </c>
      <c r="B1997" s="20" t="n">
        <v>46604</v>
      </c>
      <c r="C1997" s="21" t="n">
        <v>11</v>
      </c>
      <c r="D1997" s="25" t="inlineStr">
        <is>
          <t>Payout</t>
        </is>
      </c>
      <c r="E1997" s="19" t="inlineStr">
        <is>
          <t>Moneta Funded</t>
        </is>
      </c>
      <c r="F1997" s="19" t="inlineStr">
        <is>
          <t>#5 Instant-Direct 100k</t>
        </is>
      </c>
      <c r="G1997" s="22" t="n">
        <v>100000</v>
      </c>
      <c r="H1997" s="22" t="n">
        <v>8000</v>
      </c>
      <c r="I1997" s="22" t="n">
        <v>15379363.15</v>
      </c>
      <c r="J1997" s="19" t="inlineStr">
        <is>
          <t>10 % × 100,000 × split 80%</t>
        </is>
      </c>
    </row>
    <row r="1998">
      <c r="A1998" s="13" t="n">
        <v>1997</v>
      </c>
      <c r="B1998" s="14" t="n">
        <v>46604</v>
      </c>
      <c r="C1998" s="15" t="n">
        <v>11</v>
      </c>
      <c r="D1998" s="25" t="inlineStr">
        <is>
          <t>Payout</t>
        </is>
      </c>
      <c r="E1998" s="13" t="inlineStr">
        <is>
          <t>Moneta Funded</t>
        </is>
      </c>
      <c r="F1998" s="13" t="inlineStr">
        <is>
          <t>#6 Instant-Direct 100k</t>
        </is>
      </c>
      <c r="G1998" s="17" t="n">
        <v>100000</v>
      </c>
      <c r="H1998" s="17" t="n">
        <v>8000</v>
      </c>
      <c r="I1998" s="17" t="n">
        <v>15387363.15</v>
      </c>
      <c r="J1998" s="13" t="inlineStr">
        <is>
          <t>10 % × 100,000 × split 80%</t>
        </is>
      </c>
    </row>
    <row r="1999">
      <c r="A1999" s="19" t="n">
        <v>1998</v>
      </c>
      <c r="B1999" s="20" t="n">
        <v>46604</v>
      </c>
      <c r="C1999" s="21" t="n">
        <v>11</v>
      </c>
      <c r="D1999" s="25" t="inlineStr">
        <is>
          <t>Payout</t>
        </is>
      </c>
      <c r="E1999" s="19" t="inlineStr">
        <is>
          <t>Moneta Funded</t>
        </is>
      </c>
      <c r="F1999" s="19" t="inlineStr">
        <is>
          <t>#7 Instant-Direct 100k</t>
        </is>
      </c>
      <c r="G1999" s="22" t="n">
        <v>100000</v>
      </c>
      <c r="H1999" s="22" t="n">
        <v>8000</v>
      </c>
      <c r="I1999" s="22" t="n">
        <v>15395363.15</v>
      </c>
      <c r="J1999" s="19" t="inlineStr">
        <is>
          <t>10 % × 100,000 × split 80%</t>
        </is>
      </c>
    </row>
    <row r="2000">
      <c r="A2000" s="13" t="n">
        <v>1999</v>
      </c>
      <c r="B2000" s="14" t="n">
        <v>46604</v>
      </c>
      <c r="C2000" s="15" t="n">
        <v>11</v>
      </c>
      <c r="D2000" s="25" t="inlineStr">
        <is>
          <t>Payout</t>
        </is>
      </c>
      <c r="E2000" s="13" t="inlineStr">
        <is>
          <t>Moneta Funded</t>
        </is>
      </c>
      <c r="F2000" s="13" t="inlineStr">
        <is>
          <t>#8 Instant-Direct 100k</t>
        </is>
      </c>
      <c r="G2000" s="17" t="n">
        <v>100000</v>
      </c>
      <c r="H2000" s="17" t="n">
        <v>8000</v>
      </c>
      <c r="I2000" s="17" t="n">
        <v>15403363.15</v>
      </c>
      <c r="J2000" s="13" t="inlineStr">
        <is>
          <t>10 % × 100,000 × split 80%</t>
        </is>
      </c>
    </row>
    <row r="2001">
      <c r="A2001" s="19" t="n">
        <v>2000</v>
      </c>
      <c r="B2001" s="20" t="n">
        <v>46604</v>
      </c>
      <c r="C2001" s="21" t="n">
        <v>11</v>
      </c>
      <c r="D2001" s="25" t="inlineStr">
        <is>
          <t>Payout</t>
        </is>
      </c>
      <c r="E2001" s="19" t="inlineStr">
        <is>
          <t>Moneta Funded</t>
        </is>
      </c>
      <c r="F2001" s="19" t="inlineStr">
        <is>
          <t>#9 Instant-Direct 100k</t>
        </is>
      </c>
      <c r="G2001" s="22" t="n">
        <v>100000</v>
      </c>
      <c r="H2001" s="22" t="n">
        <v>8000</v>
      </c>
      <c r="I2001" s="22" t="n">
        <v>15411363.15</v>
      </c>
      <c r="J2001" s="19" t="inlineStr">
        <is>
          <t>10 % × 100,000 × split 80%</t>
        </is>
      </c>
    </row>
    <row r="2002">
      <c r="A2002" s="13" t="n">
        <v>2001</v>
      </c>
      <c r="B2002" s="14" t="n">
        <v>46604</v>
      </c>
      <c r="C2002" s="15" t="n">
        <v>11</v>
      </c>
      <c r="D2002" s="25" t="inlineStr">
        <is>
          <t>Payout</t>
        </is>
      </c>
      <c r="E2002" s="13" t="inlineStr">
        <is>
          <t>Moneta Funded</t>
        </is>
      </c>
      <c r="F2002" s="13" t="inlineStr">
        <is>
          <t>#10 Instant-Direct 100k</t>
        </is>
      </c>
      <c r="G2002" s="17" t="n">
        <v>100000</v>
      </c>
      <c r="H2002" s="17" t="n">
        <v>8000</v>
      </c>
      <c r="I2002" s="17" t="n">
        <v>15419363.15</v>
      </c>
      <c r="J2002" s="13" t="inlineStr">
        <is>
          <t>10 % × 100,000 × split 80%</t>
        </is>
      </c>
    </row>
    <row r="2003">
      <c r="A2003" s="19" t="n">
        <v>2002</v>
      </c>
      <c r="B2003" s="20" t="n">
        <v>46604</v>
      </c>
      <c r="C2003" s="21" t="n">
        <v>11</v>
      </c>
      <c r="D2003" s="25" t="inlineStr">
        <is>
          <t>Payout</t>
        </is>
      </c>
      <c r="E2003" s="19" t="inlineStr">
        <is>
          <t>Moneta Funded</t>
        </is>
      </c>
      <c r="F2003" s="19" t="inlineStr">
        <is>
          <t>#11 Instant-Direct 100k</t>
        </is>
      </c>
      <c r="G2003" s="22" t="n">
        <v>100000</v>
      </c>
      <c r="H2003" s="22" t="n">
        <v>8000</v>
      </c>
      <c r="I2003" s="22" t="n">
        <v>15427363.15</v>
      </c>
      <c r="J2003" s="19" t="inlineStr">
        <is>
          <t>10 % × 100,000 × split 80%</t>
        </is>
      </c>
    </row>
    <row r="2004">
      <c r="A2004" s="13" t="n">
        <v>2003</v>
      </c>
      <c r="B2004" s="14" t="n">
        <v>46604</v>
      </c>
      <c r="C2004" s="15" t="n">
        <v>11</v>
      </c>
      <c r="D2004" s="25" t="inlineStr">
        <is>
          <t>Payout</t>
        </is>
      </c>
      <c r="E2004" s="13" t="inlineStr">
        <is>
          <t>Moneta Funded</t>
        </is>
      </c>
      <c r="F2004" s="13" t="inlineStr">
        <is>
          <t>#12 Instant-Direct 100k</t>
        </is>
      </c>
      <c r="G2004" s="17" t="n">
        <v>100000</v>
      </c>
      <c r="H2004" s="17" t="n">
        <v>8000</v>
      </c>
      <c r="I2004" s="17" t="n">
        <v>15435363.15</v>
      </c>
      <c r="J2004" s="13" t="inlineStr">
        <is>
          <t>10 % × 100,000 × split 80%</t>
        </is>
      </c>
    </row>
    <row r="2005">
      <c r="A2005" s="19" t="n">
        <v>2004</v>
      </c>
      <c r="B2005" s="20" t="n">
        <v>46604</v>
      </c>
      <c r="C2005" s="21" t="n">
        <v>11</v>
      </c>
      <c r="D2005" s="25" t="inlineStr">
        <is>
          <t>Payout</t>
        </is>
      </c>
      <c r="E2005" s="19" t="inlineStr">
        <is>
          <t>Moneta Funded</t>
        </is>
      </c>
      <c r="F2005" s="19" t="inlineStr">
        <is>
          <t>#13 Instant-Direct 100k</t>
        </is>
      </c>
      <c r="G2005" s="22" t="n">
        <v>100000</v>
      </c>
      <c r="H2005" s="22" t="n">
        <v>8000</v>
      </c>
      <c r="I2005" s="22" t="n">
        <v>15443363.15</v>
      </c>
      <c r="J2005" s="19" t="inlineStr">
        <is>
          <t>10 % × 100,000 × split 80%</t>
        </is>
      </c>
    </row>
    <row r="2006">
      <c r="A2006" s="13" t="n">
        <v>2005</v>
      </c>
      <c r="B2006" s="14" t="n">
        <v>46604</v>
      </c>
      <c r="C2006" s="15" t="n">
        <v>11</v>
      </c>
      <c r="D2006" s="25" t="inlineStr">
        <is>
          <t>Payout</t>
        </is>
      </c>
      <c r="E2006" s="13" t="inlineStr">
        <is>
          <t>FunderPro Futures</t>
        </is>
      </c>
      <c r="F2006" s="13" t="inlineStr">
        <is>
          <t>#14 1 Step 150k</t>
        </is>
      </c>
      <c r="G2006" s="17" t="n">
        <v>150000</v>
      </c>
      <c r="H2006" s="17" t="n">
        <v>9000</v>
      </c>
      <c r="I2006" s="17" t="n">
        <v>15452363.15</v>
      </c>
      <c r="J2006" s="13" t="inlineStr">
        <is>
          <t>10 % × 150,000 × split 60%</t>
        </is>
      </c>
    </row>
    <row r="2007">
      <c r="A2007" s="19" t="n">
        <v>2006</v>
      </c>
      <c r="B2007" s="20" t="n">
        <v>46604</v>
      </c>
      <c r="C2007" s="21" t="n">
        <v>11</v>
      </c>
      <c r="D2007" s="25" t="inlineStr">
        <is>
          <t>Payout</t>
        </is>
      </c>
      <c r="E2007" s="19" t="inlineStr">
        <is>
          <t>Moneta Funded</t>
        </is>
      </c>
      <c r="F2007" s="19" t="inlineStr">
        <is>
          <t>#15 Instant-Direct 100k</t>
        </is>
      </c>
      <c r="G2007" s="22" t="n">
        <v>100000</v>
      </c>
      <c r="H2007" s="22" t="n">
        <v>8000</v>
      </c>
      <c r="I2007" s="22" t="n">
        <v>15460363.15</v>
      </c>
      <c r="J2007" s="19" t="inlineStr">
        <is>
          <t>10 % × 100,000 × split 80%</t>
        </is>
      </c>
    </row>
    <row r="2008">
      <c r="A2008" s="13" t="n">
        <v>2007</v>
      </c>
      <c r="B2008" s="14" t="n">
        <v>46604</v>
      </c>
      <c r="C2008" s="15" t="n">
        <v>11</v>
      </c>
      <c r="D2008" s="25" t="inlineStr">
        <is>
          <t>Payout</t>
        </is>
      </c>
      <c r="E2008" s="13" t="inlineStr">
        <is>
          <t>Moneta Funded</t>
        </is>
      </c>
      <c r="F2008" s="13" t="inlineStr">
        <is>
          <t>#16 Instant-Direct 100k</t>
        </is>
      </c>
      <c r="G2008" s="17" t="n">
        <v>100000</v>
      </c>
      <c r="H2008" s="17" t="n">
        <v>8000</v>
      </c>
      <c r="I2008" s="17" t="n">
        <v>15468363.15</v>
      </c>
      <c r="J2008" s="13" t="inlineStr">
        <is>
          <t>10 % × 100,000 × split 80%</t>
        </is>
      </c>
    </row>
    <row r="2009">
      <c r="A2009" s="19" t="n">
        <v>2008</v>
      </c>
      <c r="B2009" s="20" t="n">
        <v>46604</v>
      </c>
      <c r="C2009" s="21" t="n">
        <v>11</v>
      </c>
      <c r="D2009" s="25" t="inlineStr">
        <is>
          <t>Payout</t>
        </is>
      </c>
      <c r="E2009" s="19" t="inlineStr">
        <is>
          <t>Moneta Funded</t>
        </is>
      </c>
      <c r="F2009" s="19" t="inlineStr">
        <is>
          <t>#17 Instant-Direct 100k</t>
        </is>
      </c>
      <c r="G2009" s="22" t="n">
        <v>100000</v>
      </c>
      <c r="H2009" s="22" t="n">
        <v>8000</v>
      </c>
      <c r="I2009" s="22" t="n">
        <v>15476363.15</v>
      </c>
      <c r="J2009" s="19" t="inlineStr">
        <is>
          <t>10 % × 100,000 × split 80%</t>
        </is>
      </c>
    </row>
    <row r="2010">
      <c r="A2010" s="13" t="n">
        <v>2009</v>
      </c>
      <c r="B2010" s="14" t="n">
        <v>46604</v>
      </c>
      <c r="C2010" s="15" t="n">
        <v>11</v>
      </c>
      <c r="D2010" s="25" t="inlineStr">
        <is>
          <t>Payout</t>
        </is>
      </c>
      <c r="E2010" s="13" t="inlineStr">
        <is>
          <t>Moneta Funded</t>
        </is>
      </c>
      <c r="F2010" s="13" t="inlineStr">
        <is>
          <t>#18 Instant-Direct 100k</t>
        </is>
      </c>
      <c r="G2010" s="17" t="n">
        <v>100000</v>
      </c>
      <c r="H2010" s="17" t="n">
        <v>8000</v>
      </c>
      <c r="I2010" s="17" t="n">
        <v>15484363.15</v>
      </c>
      <c r="J2010" s="13" t="inlineStr">
        <is>
          <t>10 % × 100,000 × split 80%</t>
        </is>
      </c>
    </row>
    <row r="2011">
      <c r="A2011" s="19" t="n">
        <v>2010</v>
      </c>
      <c r="B2011" s="20" t="n">
        <v>46604</v>
      </c>
      <c r="C2011" s="21" t="n">
        <v>11</v>
      </c>
      <c r="D2011" s="25" t="inlineStr">
        <is>
          <t>Payout</t>
        </is>
      </c>
      <c r="E2011" s="19" t="inlineStr">
        <is>
          <t>Moneta Funded</t>
        </is>
      </c>
      <c r="F2011" s="19" t="inlineStr">
        <is>
          <t>#19 Instant-Direct 100k</t>
        </is>
      </c>
      <c r="G2011" s="22" t="n">
        <v>100000</v>
      </c>
      <c r="H2011" s="22" t="n">
        <v>8000</v>
      </c>
      <c r="I2011" s="22" t="n">
        <v>15492363.15</v>
      </c>
      <c r="J2011" s="19" t="inlineStr">
        <is>
          <t>10 % × 100,000 × split 80%</t>
        </is>
      </c>
    </row>
    <row r="2012">
      <c r="A2012" s="13" t="n">
        <v>2011</v>
      </c>
      <c r="B2012" s="14" t="n">
        <v>46604</v>
      </c>
      <c r="C2012" s="15" t="n">
        <v>11</v>
      </c>
      <c r="D2012" s="25" t="inlineStr">
        <is>
          <t>Payout</t>
        </is>
      </c>
      <c r="E2012" s="13" t="inlineStr">
        <is>
          <t>Moneta Funded</t>
        </is>
      </c>
      <c r="F2012" s="13" t="inlineStr">
        <is>
          <t>#20 Instant-Direct 100k</t>
        </is>
      </c>
      <c r="G2012" s="17" t="n">
        <v>100000</v>
      </c>
      <c r="H2012" s="17" t="n">
        <v>8000</v>
      </c>
      <c r="I2012" s="17" t="n">
        <v>15500363.15</v>
      </c>
      <c r="J2012" s="13" t="inlineStr">
        <is>
          <t>10 % × 100,000 × split 80%</t>
        </is>
      </c>
    </row>
    <row r="2013">
      <c r="A2013" s="19" t="n">
        <v>2012</v>
      </c>
      <c r="B2013" s="20" t="n">
        <v>46604</v>
      </c>
      <c r="C2013" s="21" t="n">
        <v>11</v>
      </c>
      <c r="D2013" s="25" t="inlineStr">
        <is>
          <t>Payout</t>
        </is>
      </c>
      <c r="E2013" s="19" t="inlineStr">
        <is>
          <t>Moneta Funded</t>
        </is>
      </c>
      <c r="F2013" s="19" t="inlineStr">
        <is>
          <t>#21 Instant-Direct 100k</t>
        </is>
      </c>
      <c r="G2013" s="22" t="n">
        <v>100000</v>
      </c>
      <c r="H2013" s="22" t="n">
        <v>8000</v>
      </c>
      <c r="I2013" s="22" t="n">
        <v>15508363.15</v>
      </c>
      <c r="J2013" s="19" t="inlineStr">
        <is>
          <t>10 % × 100,000 × split 80%</t>
        </is>
      </c>
    </row>
    <row r="2014">
      <c r="A2014" s="13" t="n">
        <v>2013</v>
      </c>
      <c r="B2014" s="14" t="n">
        <v>46604</v>
      </c>
      <c r="C2014" s="15" t="n">
        <v>11</v>
      </c>
      <c r="D2014" s="25" t="inlineStr">
        <is>
          <t>Payout</t>
        </is>
      </c>
      <c r="E2014" s="13" t="inlineStr">
        <is>
          <t>Moneta Funded</t>
        </is>
      </c>
      <c r="F2014" s="13" t="inlineStr">
        <is>
          <t>#22 Instant-Direct 100k</t>
        </is>
      </c>
      <c r="G2014" s="17" t="n">
        <v>100000</v>
      </c>
      <c r="H2014" s="17" t="n">
        <v>8000</v>
      </c>
      <c r="I2014" s="17" t="n">
        <v>15516363.15</v>
      </c>
      <c r="J2014" s="13" t="inlineStr">
        <is>
          <t>10 % × 100,000 × split 80%</t>
        </is>
      </c>
    </row>
    <row r="2015">
      <c r="A2015" s="19" t="n">
        <v>2014</v>
      </c>
      <c r="B2015" s="20" t="n">
        <v>46604</v>
      </c>
      <c r="C2015" s="21" t="n">
        <v>11</v>
      </c>
      <c r="D2015" s="25" t="inlineStr">
        <is>
          <t>Payout</t>
        </is>
      </c>
      <c r="E2015" s="19" t="inlineStr">
        <is>
          <t>Moneta Funded</t>
        </is>
      </c>
      <c r="F2015" s="19" t="inlineStr">
        <is>
          <t>#23 Instant-Direct 100k</t>
        </is>
      </c>
      <c r="G2015" s="22" t="n">
        <v>100000</v>
      </c>
      <c r="H2015" s="22" t="n">
        <v>8000</v>
      </c>
      <c r="I2015" s="22" t="n">
        <v>15524363.15</v>
      </c>
      <c r="J2015" s="19" t="inlineStr">
        <is>
          <t>10 % × 100,000 × split 80%</t>
        </is>
      </c>
    </row>
    <row r="2016">
      <c r="A2016" s="13" t="n">
        <v>2015</v>
      </c>
      <c r="B2016" s="14" t="n">
        <v>46604</v>
      </c>
      <c r="C2016" s="15" t="n">
        <v>11</v>
      </c>
      <c r="D2016" s="25" t="inlineStr">
        <is>
          <t>Payout</t>
        </is>
      </c>
      <c r="E2016" s="13" t="inlineStr">
        <is>
          <t>Moneta Funded</t>
        </is>
      </c>
      <c r="F2016" s="13" t="inlineStr">
        <is>
          <t>#24 Instant-Direct 100k</t>
        </is>
      </c>
      <c r="G2016" s="17" t="n">
        <v>100000</v>
      </c>
      <c r="H2016" s="17" t="n">
        <v>8000</v>
      </c>
      <c r="I2016" s="17" t="n">
        <v>15532363.15</v>
      </c>
      <c r="J2016" s="13" t="inlineStr">
        <is>
          <t>10 % × 100,000 × split 80%</t>
        </is>
      </c>
    </row>
    <row r="2017">
      <c r="A2017" s="19" t="n">
        <v>2016</v>
      </c>
      <c r="B2017" s="20" t="n">
        <v>46604</v>
      </c>
      <c r="C2017" s="21" t="n">
        <v>11</v>
      </c>
      <c r="D2017" s="25" t="inlineStr">
        <is>
          <t>Payout</t>
        </is>
      </c>
      <c r="E2017" s="19" t="inlineStr">
        <is>
          <t>Moneta Funded</t>
        </is>
      </c>
      <c r="F2017" s="19" t="inlineStr">
        <is>
          <t>#25 Instant-Direct 100k</t>
        </is>
      </c>
      <c r="G2017" s="22" t="n">
        <v>100000</v>
      </c>
      <c r="H2017" s="22" t="n">
        <v>8000</v>
      </c>
      <c r="I2017" s="22" t="n">
        <v>15540363.15</v>
      </c>
      <c r="J2017" s="19" t="inlineStr">
        <is>
          <t>10 % × 100,000 × split 80%</t>
        </is>
      </c>
    </row>
    <row r="2018">
      <c r="A2018" s="13" t="n">
        <v>2017</v>
      </c>
      <c r="B2018" s="14" t="n">
        <v>46604</v>
      </c>
      <c r="C2018" s="15" t="n">
        <v>11</v>
      </c>
      <c r="D2018" s="25" t="inlineStr">
        <is>
          <t>Payout</t>
        </is>
      </c>
      <c r="E2018" s="13" t="inlineStr">
        <is>
          <t>IQ Capital</t>
        </is>
      </c>
      <c r="F2018" s="13" t="inlineStr">
        <is>
          <t>#26 Instant-Direct 100k</t>
        </is>
      </c>
      <c r="G2018" s="17" t="n">
        <v>100000</v>
      </c>
      <c r="H2018" s="17" t="n">
        <v>8000</v>
      </c>
      <c r="I2018" s="17" t="n">
        <v>15548363.15</v>
      </c>
      <c r="J2018" s="13" t="inlineStr">
        <is>
          <t>10 % × 100,000 × split 80%</t>
        </is>
      </c>
    </row>
    <row r="2019">
      <c r="A2019" s="19" t="n">
        <v>2018</v>
      </c>
      <c r="B2019" s="20" t="n">
        <v>46604</v>
      </c>
      <c r="C2019" s="21" t="n">
        <v>11</v>
      </c>
      <c r="D2019" s="25" t="inlineStr">
        <is>
          <t>Payout</t>
        </is>
      </c>
      <c r="E2019" s="19" t="inlineStr">
        <is>
          <t>IQ Capital</t>
        </is>
      </c>
      <c r="F2019" s="19" t="inlineStr">
        <is>
          <t>#27 Instant-Direct 100k</t>
        </is>
      </c>
      <c r="G2019" s="22" t="n">
        <v>100000</v>
      </c>
      <c r="H2019" s="22" t="n">
        <v>8000</v>
      </c>
      <c r="I2019" s="22" t="n">
        <v>15556363.15</v>
      </c>
      <c r="J2019" s="19" t="inlineStr">
        <is>
          <t>10 % × 100,000 × split 80%</t>
        </is>
      </c>
    </row>
    <row r="2020">
      <c r="A2020" s="13" t="n">
        <v>2019</v>
      </c>
      <c r="B2020" s="14" t="n">
        <v>46604</v>
      </c>
      <c r="C2020" s="15" t="n">
        <v>11</v>
      </c>
      <c r="D2020" s="25" t="inlineStr">
        <is>
          <t>Payout</t>
        </is>
      </c>
      <c r="E2020" s="13" t="inlineStr">
        <is>
          <t>IQ Capital</t>
        </is>
      </c>
      <c r="F2020" s="13" t="inlineStr">
        <is>
          <t>#28 Instant-Direct 100k</t>
        </is>
      </c>
      <c r="G2020" s="17" t="n">
        <v>100000</v>
      </c>
      <c r="H2020" s="17" t="n">
        <v>8000</v>
      </c>
      <c r="I2020" s="17" t="n">
        <v>15564363.15</v>
      </c>
      <c r="J2020" s="13" t="inlineStr">
        <is>
          <t>10 % × 100,000 × split 80%</t>
        </is>
      </c>
    </row>
    <row r="2021">
      <c r="A2021" s="19" t="n">
        <v>2020</v>
      </c>
      <c r="B2021" s="20" t="n">
        <v>46604</v>
      </c>
      <c r="C2021" s="21" t="n">
        <v>11</v>
      </c>
      <c r="D2021" s="25" t="inlineStr">
        <is>
          <t>Payout</t>
        </is>
      </c>
      <c r="E2021" s="19" t="inlineStr">
        <is>
          <t>IQ Capital</t>
        </is>
      </c>
      <c r="F2021" s="19" t="inlineStr">
        <is>
          <t>#29 Instant-Direct 100k</t>
        </is>
      </c>
      <c r="G2021" s="22" t="n">
        <v>100000</v>
      </c>
      <c r="H2021" s="22" t="n">
        <v>8000</v>
      </c>
      <c r="I2021" s="22" t="n">
        <v>15572363.15</v>
      </c>
      <c r="J2021" s="19" t="inlineStr">
        <is>
          <t>10 % × 100,000 × split 80%</t>
        </is>
      </c>
    </row>
    <row r="2022">
      <c r="A2022" s="13" t="n">
        <v>2021</v>
      </c>
      <c r="B2022" s="14" t="n">
        <v>46604</v>
      </c>
      <c r="C2022" s="15" t="n">
        <v>11</v>
      </c>
      <c r="D2022" s="25" t="inlineStr">
        <is>
          <t>Payout</t>
        </is>
      </c>
      <c r="E2022" s="13" t="inlineStr">
        <is>
          <t>IQ Capital</t>
        </is>
      </c>
      <c r="F2022" s="13" t="inlineStr">
        <is>
          <t>#30 Instant-Direct 100k</t>
        </is>
      </c>
      <c r="G2022" s="17" t="n">
        <v>100000</v>
      </c>
      <c r="H2022" s="17" t="n">
        <v>8000</v>
      </c>
      <c r="I2022" s="17" t="n">
        <v>15580363.15</v>
      </c>
      <c r="J2022" s="13" t="inlineStr">
        <is>
          <t>10 % × 100,000 × split 80%</t>
        </is>
      </c>
    </row>
    <row r="2023">
      <c r="A2023" s="19" t="n">
        <v>2022</v>
      </c>
      <c r="B2023" s="20" t="n">
        <v>46604</v>
      </c>
      <c r="C2023" s="21" t="n">
        <v>11</v>
      </c>
      <c r="D2023" s="25" t="inlineStr">
        <is>
          <t>Payout</t>
        </is>
      </c>
      <c r="E2023" s="19" t="inlineStr">
        <is>
          <t>IQ Capital</t>
        </is>
      </c>
      <c r="F2023" s="19" t="inlineStr">
        <is>
          <t>#31 Instant-Direct 100k</t>
        </is>
      </c>
      <c r="G2023" s="22" t="n">
        <v>100000</v>
      </c>
      <c r="H2023" s="22" t="n">
        <v>8000</v>
      </c>
      <c r="I2023" s="22" t="n">
        <v>15588363.15</v>
      </c>
      <c r="J2023" s="19" t="inlineStr">
        <is>
          <t>10 % × 100,000 × split 80%</t>
        </is>
      </c>
    </row>
    <row r="2024">
      <c r="A2024" s="13" t="n">
        <v>2023</v>
      </c>
      <c r="B2024" s="14" t="n">
        <v>46604</v>
      </c>
      <c r="C2024" s="15" t="n">
        <v>11</v>
      </c>
      <c r="D2024" s="25" t="inlineStr">
        <is>
          <t>Payout</t>
        </is>
      </c>
      <c r="E2024" s="13" t="inlineStr">
        <is>
          <t>IQ Capital</t>
        </is>
      </c>
      <c r="F2024" s="13" t="inlineStr">
        <is>
          <t>#32 Instant-Direct 100k</t>
        </is>
      </c>
      <c r="G2024" s="17" t="n">
        <v>100000</v>
      </c>
      <c r="H2024" s="17" t="n">
        <v>8000</v>
      </c>
      <c r="I2024" s="17" t="n">
        <v>15596363.15</v>
      </c>
      <c r="J2024" s="13" t="inlineStr">
        <is>
          <t>10 % × 100,000 × split 80%</t>
        </is>
      </c>
    </row>
    <row r="2025">
      <c r="A2025" s="19" t="n">
        <v>2024</v>
      </c>
      <c r="B2025" s="20" t="n">
        <v>46604</v>
      </c>
      <c r="C2025" s="21" t="n">
        <v>11</v>
      </c>
      <c r="D2025" s="25" t="inlineStr">
        <is>
          <t>Payout</t>
        </is>
      </c>
      <c r="E2025" s="19" t="inlineStr">
        <is>
          <t>IQ Capital</t>
        </is>
      </c>
      <c r="F2025" s="19" t="inlineStr">
        <is>
          <t>#33 Instant-Direct 100k</t>
        </is>
      </c>
      <c r="G2025" s="22" t="n">
        <v>100000</v>
      </c>
      <c r="H2025" s="22" t="n">
        <v>8000</v>
      </c>
      <c r="I2025" s="22" t="n">
        <v>15604363.15</v>
      </c>
      <c r="J2025" s="19" t="inlineStr">
        <is>
          <t>10 % × 100,000 × split 80%</t>
        </is>
      </c>
    </row>
    <row r="2026">
      <c r="A2026" s="13" t="n">
        <v>2025</v>
      </c>
      <c r="B2026" s="14" t="n">
        <v>46604</v>
      </c>
      <c r="C2026" s="15" t="n">
        <v>11</v>
      </c>
      <c r="D2026" s="25" t="inlineStr">
        <is>
          <t>Payout</t>
        </is>
      </c>
      <c r="E2026" s="13" t="inlineStr">
        <is>
          <t>IQ Capital</t>
        </is>
      </c>
      <c r="F2026" s="13" t="inlineStr">
        <is>
          <t>#34 Instant-Direct 100k</t>
        </is>
      </c>
      <c r="G2026" s="17" t="n">
        <v>100000</v>
      </c>
      <c r="H2026" s="17" t="n">
        <v>8000</v>
      </c>
      <c r="I2026" s="17" t="n">
        <v>15612363.15</v>
      </c>
      <c r="J2026" s="13" t="inlineStr">
        <is>
          <t>10 % × 100,000 × split 80%</t>
        </is>
      </c>
    </row>
    <row r="2027">
      <c r="A2027" s="19" t="n">
        <v>2026</v>
      </c>
      <c r="B2027" s="20" t="n">
        <v>46604</v>
      </c>
      <c r="C2027" s="21" t="n">
        <v>11</v>
      </c>
      <c r="D2027" s="25" t="inlineStr">
        <is>
          <t>Payout</t>
        </is>
      </c>
      <c r="E2027" s="19" t="inlineStr">
        <is>
          <t>IQ Capital</t>
        </is>
      </c>
      <c r="F2027" s="19" t="inlineStr">
        <is>
          <t>#35 Instant-Direct 100k</t>
        </is>
      </c>
      <c r="G2027" s="22" t="n">
        <v>100000</v>
      </c>
      <c r="H2027" s="22" t="n">
        <v>8000</v>
      </c>
      <c r="I2027" s="22" t="n">
        <v>15620363.15</v>
      </c>
      <c r="J2027" s="19" t="inlineStr">
        <is>
          <t>10 % × 100,000 × split 80%</t>
        </is>
      </c>
    </row>
    <row r="2028">
      <c r="A2028" s="13" t="n">
        <v>2027</v>
      </c>
      <c r="B2028" s="14" t="n">
        <v>46604</v>
      </c>
      <c r="C2028" s="15" t="n">
        <v>11</v>
      </c>
      <c r="D2028" s="25" t="inlineStr">
        <is>
          <t>Payout</t>
        </is>
      </c>
      <c r="E2028" s="13" t="inlineStr">
        <is>
          <t>IQ Capital</t>
        </is>
      </c>
      <c r="F2028" s="13" t="inlineStr">
        <is>
          <t>#36 Instant-Direct 100k</t>
        </is>
      </c>
      <c r="G2028" s="17" t="n">
        <v>100000</v>
      </c>
      <c r="H2028" s="17" t="n">
        <v>8000</v>
      </c>
      <c r="I2028" s="17" t="n">
        <v>15628363.15</v>
      </c>
      <c r="J2028" s="13" t="inlineStr">
        <is>
          <t>10 % × 100,000 × split 80%</t>
        </is>
      </c>
    </row>
    <row r="2029">
      <c r="A2029" s="19" t="n">
        <v>2028</v>
      </c>
      <c r="B2029" s="20" t="n">
        <v>46604</v>
      </c>
      <c r="C2029" s="21" t="n">
        <v>11</v>
      </c>
      <c r="D2029" s="25" t="inlineStr">
        <is>
          <t>Payout</t>
        </is>
      </c>
      <c r="E2029" s="19" t="inlineStr">
        <is>
          <t>IQ Capital</t>
        </is>
      </c>
      <c r="F2029" s="19" t="inlineStr">
        <is>
          <t>#37 Instant-Direct 100k</t>
        </is>
      </c>
      <c r="G2029" s="22" t="n">
        <v>100000</v>
      </c>
      <c r="H2029" s="22" t="n">
        <v>8000</v>
      </c>
      <c r="I2029" s="22" t="n">
        <v>15636363.15</v>
      </c>
      <c r="J2029" s="19" t="inlineStr">
        <is>
          <t>10 % × 100,000 × split 80%</t>
        </is>
      </c>
    </row>
    <row r="2030">
      <c r="A2030" s="13" t="n">
        <v>2029</v>
      </c>
      <c r="B2030" s="14" t="n">
        <v>46604</v>
      </c>
      <c r="C2030" s="15" t="n">
        <v>11</v>
      </c>
      <c r="D2030" s="25" t="inlineStr">
        <is>
          <t>Payout</t>
        </is>
      </c>
      <c r="E2030" s="13" t="inlineStr">
        <is>
          <t>IQ Capital</t>
        </is>
      </c>
      <c r="F2030" s="13" t="inlineStr">
        <is>
          <t>#38 Instant-Direct 100k</t>
        </is>
      </c>
      <c r="G2030" s="17" t="n">
        <v>100000</v>
      </c>
      <c r="H2030" s="17" t="n">
        <v>8000</v>
      </c>
      <c r="I2030" s="17" t="n">
        <v>15644363.15</v>
      </c>
      <c r="J2030" s="13" t="inlineStr">
        <is>
          <t>10 % × 100,000 × split 80%</t>
        </is>
      </c>
    </row>
    <row r="2031">
      <c r="A2031" s="19" t="n">
        <v>2030</v>
      </c>
      <c r="B2031" s="20" t="n">
        <v>46604</v>
      </c>
      <c r="C2031" s="21" t="n">
        <v>11</v>
      </c>
      <c r="D2031" s="25" t="inlineStr">
        <is>
          <t>Payout</t>
        </is>
      </c>
      <c r="E2031" s="19" t="inlineStr">
        <is>
          <t>IQ Capital</t>
        </is>
      </c>
      <c r="F2031" s="19" t="inlineStr">
        <is>
          <t>#39 Instant-Direct 100k</t>
        </is>
      </c>
      <c r="G2031" s="22" t="n">
        <v>100000</v>
      </c>
      <c r="H2031" s="22" t="n">
        <v>8000</v>
      </c>
      <c r="I2031" s="22" t="n">
        <v>15652363.15</v>
      </c>
      <c r="J2031" s="19" t="inlineStr">
        <is>
          <t>10 % × 100,000 × split 80%</t>
        </is>
      </c>
    </row>
    <row r="2032">
      <c r="A2032" s="13" t="n">
        <v>2031</v>
      </c>
      <c r="B2032" s="14" t="n">
        <v>46604</v>
      </c>
      <c r="C2032" s="15" t="n">
        <v>11</v>
      </c>
      <c r="D2032" s="25" t="inlineStr">
        <is>
          <t>Payout</t>
        </is>
      </c>
      <c r="E2032" s="13" t="inlineStr">
        <is>
          <t>IQ Capital</t>
        </is>
      </c>
      <c r="F2032" s="13" t="inlineStr">
        <is>
          <t>#40 Instant-Direct 100k</t>
        </is>
      </c>
      <c r="G2032" s="17" t="n">
        <v>100000</v>
      </c>
      <c r="H2032" s="17" t="n">
        <v>8000</v>
      </c>
      <c r="I2032" s="17" t="n">
        <v>15660363.15</v>
      </c>
      <c r="J2032" s="13" t="inlineStr">
        <is>
          <t>10 % × 100,000 × split 80%</t>
        </is>
      </c>
    </row>
    <row r="2033">
      <c r="A2033" s="19" t="n">
        <v>2032</v>
      </c>
      <c r="B2033" s="20" t="n">
        <v>46604</v>
      </c>
      <c r="C2033" s="21" t="n">
        <v>11</v>
      </c>
      <c r="D2033" s="25" t="inlineStr">
        <is>
          <t>Payout</t>
        </is>
      </c>
      <c r="E2033" s="19" t="inlineStr">
        <is>
          <t>IQ Capital</t>
        </is>
      </c>
      <c r="F2033" s="19" t="inlineStr">
        <is>
          <t>#41 Instant-Direct 100k</t>
        </is>
      </c>
      <c r="G2033" s="22" t="n">
        <v>100000</v>
      </c>
      <c r="H2033" s="22" t="n">
        <v>8000</v>
      </c>
      <c r="I2033" s="22" t="n">
        <v>15668363.15</v>
      </c>
      <c r="J2033" s="19" t="inlineStr">
        <is>
          <t>10 % × 100,000 × split 80%</t>
        </is>
      </c>
    </row>
    <row r="2034">
      <c r="A2034" s="13" t="n">
        <v>2033</v>
      </c>
      <c r="B2034" s="14" t="n">
        <v>46604</v>
      </c>
      <c r="C2034" s="15" t="n">
        <v>11</v>
      </c>
      <c r="D2034" s="25" t="inlineStr">
        <is>
          <t>Payout</t>
        </is>
      </c>
      <c r="E2034" s="13" t="inlineStr">
        <is>
          <t>IQ Capital</t>
        </is>
      </c>
      <c r="F2034" s="13" t="inlineStr">
        <is>
          <t>#42 Instant-Direct 100k</t>
        </is>
      </c>
      <c r="G2034" s="17" t="n">
        <v>100000</v>
      </c>
      <c r="H2034" s="17" t="n">
        <v>8000</v>
      </c>
      <c r="I2034" s="17" t="n">
        <v>15676363.15</v>
      </c>
      <c r="J2034" s="13" t="inlineStr">
        <is>
          <t>10 % × 100,000 × split 80%</t>
        </is>
      </c>
    </row>
    <row r="2035">
      <c r="A2035" s="19" t="n">
        <v>2034</v>
      </c>
      <c r="B2035" s="20" t="n">
        <v>46604</v>
      </c>
      <c r="C2035" s="21" t="n">
        <v>11</v>
      </c>
      <c r="D2035" s="25" t="inlineStr">
        <is>
          <t>Payout</t>
        </is>
      </c>
      <c r="E2035" s="19" t="inlineStr">
        <is>
          <t>IQ Capital</t>
        </is>
      </c>
      <c r="F2035" s="19" t="inlineStr">
        <is>
          <t>#43 Instant-Direct 100k</t>
        </is>
      </c>
      <c r="G2035" s="22" t="n">
        <v>100000</v>
      </c>
      <c r="H2035" s="22" t="n">
        <v>8000</v>
      </c>
      <c r="I2035" s="22" t="n">
        <v>15684363.15</v>
      </c>
      <c r="J2035" s="19" t="inlineStr">
        <is>
          <t>10 % × 100,000 × split 80%</t>
        </is>
      </c>
    </row>
    <row r="2036">
      <c r="A2036" s="13" t="n">
        <v>2035</v>
      </c>
      <c r="B2036" s="14" t="n">
        <v>46604</v>
      </c>
      <c r="C2036" s="15" t="n">
        <v>11</v>
      </c>
      <c r="D2036" s="25" t="inlineStr">
        <is>
          <t>Payout</t>
        </is>
      </c>
      <c r="E2036" s="13" t="inlineStr">
        <is>
          <t>IQ Capital</t>
        </is>
      </c>
      <c r="F2036" s="13" t="inlineStr">
        <is>
          <t>#44 Instant-Direct 100k</t>
        </is>
      </c>
      <c r="G2036" s="17" t="n">
        <v>100000</v>
      </c>
      <c r="H2036" s="17" t="n">
        <v>8000</v>
      </c>
      <c r="I2036" s="17" t="n">
        <v>15692363.15</v>
      </c>
      <c r="J2036" s="13" t="inlineStr">
        <is>
          <t>10 % × 100,000 × split 80%</t>
        </is>
      </c>
    </row>
    <row r="2037">
      <c r="A2037" s="19" t="n">
        <v>2036</v>
      </c>
      <c r="B2037" s="20" t="n">
        <v>46604</v>
      </c>
      <c r="C2037" s="21" t="n">
        <v>11</v>
      </c>
      <c r="D2037" s="25" t="inlineStr">
        <is>
          <t>Payout</t>
        </is>
      </c>
      <c r="E2037" s="19" t="inlineStr">
        <is>
          <t>IQ Capital</t>
        </is>
      </c>
      <c r="F2037" s="19" t="inlineStr">
        <is>
          <t>#45 Instant-Direct 100k</t>
        </is>
      </c>
      <c r="G2037" s="22" t="n">
        <v>100000</v>
      </c>
      <c r="H2037" s="22" t="n">
        <v>8000</v>
      </c>
      <c r="I2037" s="22" t="n">
        <v>15700363.15</v>
      </c>
      <c r="J2037" s="19" t="inlineStr">
        <is>
          <t>10 % × 100,000 × split 80%</t>
        </is>
      </c>
    </row>
    <row r="2038">
      <c r="A2038" s="13" t="n">
        <v>2037</v>
      </c>
      <c r="B2038" s="14" t="n">
        <v>46604</v>
      </c>
      <c r="C2038" s="15" t="n">
        <v>11</v>
      </c>
      <c r="D2038" s="25" t="inlineStr">
        <is>
          <t>Payout</t>
        </is>
      </c>
      <c r="E2038" s="13" t="inlineStr">
        <is>
          <t>Instant Funding</t>
        </is>
      </c>
      <c r="F2038" s="13" t="inlineStr">
        <is>
          <t>#46 Instant-Direct 120k</t>
        </is>
      </c>
      <c r="G2038" s="17" t="n">
        <v>120000</v>
      </c>
      <c r="H2038" s="17" t="n">
        <v>9600</v>
      </c>
      <c r="I2038" s="17" t="n">
        <v>15709963.15</v>
      </c>
      <c r="J2038" s="13" t="inlineStr">
        <is>
          <t>10 % × 120,000 × split 80%</t>
        </is>
      </c>
    </row>
    <row r="2039">
      <c r="A2039" s="19" t="n">
        <v>2038</v>
      </c>
      <c r="B2039" s="20" t="n">
        <v>46604</v>
      </c>
      <c r="C2039" s="21" t="n">
        <v>11</v>
      </c>
      <c r="D2039" s="25" t="inlineStr">
        <is>
          <t>Payout</t>
        </is>
      </c>
      <c r="E2039" s="19" t="inlineStr">
        <is>
          <t>Instant Funding</t>
        </is>
      </c>
      <c r="F2039" s="19" t="inlineStr">
        <is>
          <t>#47 Instant-Direct 120k</t>
        </is>
      </c>
      <c r="G2039" s="22" t="n">
        <v>120000</v>
      </c>
      <c r="H2039" s="22" t="n">
        <v>9600</v>
      </c>
      <c r="I2039" s="22" t="n">
        <v>15719563.15</v>
      </c>
      <c r="J2039" s="19" t="inlineStr">
        <is>
          <t>10 % × 120,000 × split 80%</t>
        </is>
      </c>
    </row>
    <row r="2040">
      <c r="A2040" s="13" t="n">
        <v>2039</v>
      </c>
      <c r="B2040" s="14" t="n">
        <v>46604</v>
      </c>
      <c r="C2040" s="15" t="n">
        <v>11</v>
      </c>
      <c r="D2040" s="25" t="inlineStr">
        <is>
          <t>Payout</t>
        </is>
      </c>
      <c r="E2040" s="13" t="inlineStr">
        <is>
          <t>Instant Funding</t>
        </is>
      </c>
      <c r="F2040" s="13" t="inlineStr">
        <is>
          <t>#48 Instant-Direct 120k</t>
        </is>
      </c>
      <c r="G2040" s="17" t="n">
        <v>120000</v>
      </c>
      <c r="H2040" s="17" t="n">
        <v>9600</v>
      </c>
      <c r="I2040" s="17" t="n">
        <v>15729163.15</v>
      </c>
      <c r="J2040" s="13" t="inlineStr">
        <is>
          <t>10 % × 120,000 × split 80%</t>
        </is>
      </c>
    </row>
    <row r="2041">
      <c r="A2041" s="19" t="n">
        <v>2040</v>
      </c>
      <c r="B2041" s="20" t="n">
        <v>46604</v>
      </c>
      <c r="C2041" s="21" t="n">
        <v>11</v>
      </c>
      <c r="D2041" s="25" t="inlineStr">
        <is>
          <t>Payout</t>
        </is>
      </c>
      <c r="E2041" s="19" t="inlineStr">
        <is>
          <t>Audacity Capital</t>
        </is>
      </c>
      <c r="F2041" s="19" t="inlineStr">
        <is>
          <t>#49 Instant-Direct 50k</t>
        </is>
      </c>
      <c r="G2041" s="22" t="n">
        <v>50000</v>
      </c>
      <c r="H2041" s="22" t="n">
        <v>4500</v>
      </c>
      <c r="I2041" s="22" t="n">
        <v>15733663.15</v>
      </c>
      <c r="J2041" s="19" t="inlineStr">
        <is>
          <t>10 % × 50,000 × split 90%</t>
        </is>
      </c>
    </row>
    <row r="2042">
      <c r="A2042" s="13" t="n">
        <v>2041</v>
      </c>
      <c r="B2042" s="14" t="n">
        <v>46604</v>
      </c>
      <c r="C2042" s="15" t="n">
        <v>11</v>
      </c>
      <c r="D2042" s="25" t="inlineStr">
        <is>
          <t>Payout</t>
        </is>
      </c>
      <c r="E2042" s="13" t="inlineStr">
        <is>
          <t>Crypto Fund Trader</t>
        </is>
      </c>
      <c r="F2042" s="13" t="inlineStr">
        <is>
          <t>#50 Instant-Direct 10k</t>
        </is>
      </c>
      <c r="G2042" s="17" t="n">
        <v>10000</v>
      </c>
      <c r="H2042" s="17" t="n">
        <v>800</v>
      </c>
      <c r="I2042" s="17" t="n">
        <v>15734463.15</v>
      </c>
      <c r="J2042" s="13" t="inlineStr">
        <is>
          <t>10 % × 10,000 × split 80%</t>
        </is>
      </c>
    </row>
    <row r="2043">
      <c r="A2043" s="19" t="n">
        <v>2042</v>
      </c>
      <c r="B2043" s="20" t="n">
        <v>46604</v>
      </c>
      <c r="C2043" s="21" t="n">
        <v>11</v>
      </c>
      <c r="D2043" s="25" t="inlineStr">
        <is>
          <t>Payout</t>
        </is>
      </c>
      <c r="E2043" s="19" t="inlineStr">
        <is>
          <t>Instant Funding</t>
        </is>
      </c>
      <c r="F2043" s="19" t="inlineStr">
        <is>
          <t>#51 Instant-Direct 120k</t>
        </is>
      </c>
      <c r="G2043" s="22" t="n">
        <v>120000</v>
      </c>
      <c r="H2043" s="22" t="n">
        <v>9600</v>
      </c>
      <c r="I2043" s="22" t="n">
        <v>15744063.15</v>
      </c>
      <c r="J2043" s="19" t="inlineStr">
        <is>
          <t>10 % × 120,000 × split 80%</t>
        </is>
      </c>
    </row>
    <row r="2044">
      <c r="A2044" s="13" t="n">
        <v>2043</v>
      </c>
      <c r="B2044" s="14" t="n">
        <v>46604</v>
      </c>
      <c r="C2044" s="15" t="n">
        <v>11</v>
      </c>
      <c r="D2044" s="25" t="inlineStr">
        <is>
          <t>Payout</t>
        </is>
      </c>
      <c r="E2044" s="13" t="inlineStr">
        <is>
          <t>Instant Funding</t>
        </is>
      </c>
      <c r="F2044" s="13" t="inlineStr">
        <is>
          <t>#52 Instant-Direct 120k</t>
        </is>
      </c>
      <c r="G2044" s="17" t="n">
        <v>120000</v>
      </c>
      <c r="H2044" s="17" t="n">
        <v>9600</v>
      </c>
      <c r="I2044" s="17" t="n">
        <v>15753663.15</v>
      </c>
      <c r="J2044" s="13" t="inlineStr">
        <is>
          <t>10 % × 120,000 × split 80%</t>
        </is>
      </c>
    </row>
    <row r="2045">
      <c r="A2045" s="19" t="n">
        <v>2044</v>
      </c>
      <c r="B2045" s="20" t="n">
        <v>46604</v>
      </c>
      <c r="C2045" s="21" t="n">
        <v>11</v>
      </c>
      <c r="D2045" s="25" t="inlineStr">
        <is>
          <t>Payout</t>
        </is>
      </c>
      <c r="E2045" s="19" t="inlineStr">
        <is>
          <t>Instant Funding</t>
        </is>
      </c>
      <c r="F2045" s="19" t="inlineStr">
        <is>
          <t>#53 Instant-Direct 120k</t>
        </is>
      </c>
      <c r="G2045" s="22" t="n">
        <v>120000</v>
      </c>
      <c r="H2045" s="22" t="n">
        <v>9600</v>
      </c>
      <c r="I2045" s="22" t="n">
        <v>15763263.15</v>
      </c>
      <c r="J2045" s="19" t="inlineStr">
        <is>
          <t>10 % × 120,000 × split 80%</t>
        </is>
      </c>
    </row>
    <row r="2046">
      <c r="A2046" s="13" t="n">
        <v>2045</v>
      </c>
      <c r="B2046" s="14" t="n">
        <v>46604</v>
      </c>
      <c r="C2046" s="15" t="n">
        <v>11</v>
      </c>
      <c r="D2046" s="25" t="inlineStr">
        <is>
          <t>Payout</t>
        </is>
      </c>
      <c r="E2046" s="13" t="inlineStr">
        <is>
          <t>Instant Funding</t>
        </is>
      </c>
      <c r="F2046" s="13" t="inlineStr">
        <is>
          <t>#54 Instant-Direct 120k</t>
        </is>
      </c>
      <c r="G2046" s="17" t="n">
        <v>120000</v>
      </c>
      <c r="H2046" s="17" t="n">
        <v>9600</v>
      </c>
      <c r="I2046" s="17" t="n">
        <v>15772863.15</v>
      </c>
      <c r="J2046" s="13" t="inlineStr">
        <is>
          <t>10 % × 120,000 × split 80%</t>
        </is>
      </c>
    </row>
    <row r="2047">
      <c r="A2047" s="19" t="n">
        <v>2046</v>
      </c>
      <c r="B2047" s="20" t="n">
        <v>46604</v>
      </c>
      <c r="C2047" s="21" t="n">
        <v>11</v>
      </c>
      <c r="D2047" s="25" t="inlineStr">
        <is>
          <t>Payout</t>
        </is>
      </c>
      <c r="E2047" s="19" t="inlineStr">
        <is>
          <t>Instant Funding</t>
        </is>
      </c>
      <c r="F2047" s="19" t="inlineStr">
        <is>
          <t>#55 Instant-Direct 120k</t>
        </is>
      </c>
      <c r="G2047" s="22" t="n">
        <v>120000</v>
      </c>
      <c r="H2047" s="22" t="n">
        <v>9600</v>
      </c>
      <c r="I2047" s="22" t="n">
        <v>15782463.15</v>
      </c>
      <c r="J2047" s="19" t="inlineStr">
        <is>
          <t>10 % × 120,000 × split 80%</t>
        </is>
      </c>
    </row>
    <row r="2048">
      <c r="A2048" s="13" t="n">
        <v>2047</v>
      </c>
      <c r="B2048" s="14" t="n">
        <v>46604</v>
      </c>
      <c r="C2048" s="15" t="n">
        <v>11</v>
      </c>
      <c r="D2048" s="25" t="inlineStr">
        <is>
          <t>Payout</t>
        </is>
      </c>
      <c r="E2048" s="13" t="inlineStr">
        <is>
          <t>Kickstart Trading</t>
        </is>
      </c>
      <c r="F2048" s="13" t="inlineStr">
        <is>
          <t>#56 Instant-Direct 100k</t>
        </is>
      </c>
      <c r="G2048" s="17" t="n">
        <v>100000</v>
      </c>
      <c r="H2048" s="17" t="n">
        <v>8000</v>
      </c>
      <c r="I2048" s="17" t="n">
        <v>15790463.15</v>
      </c>
      <c r="J2048" s="13" t="inlineStr">
        <is>
          <t>10 % × 100,000 × split 80%</t>
        </is>
      </c>
    </row>
    <row r="2049">
      <c r="A2049" s="19" t="n">
        <v>2048</v>
      </c>
      <c r="B2049" s="20" t="n">
        <v>46604</v>
      </c>
      <c r="C2049" s="21" t="n">
        <v>11</v>
      </c>
      <c r="D2049" s="25" t="inlineStr">
        <is>
          <t>Payout</t>
        </is>
      </c>
      <c r="E2049" s="19" t="inlineStr">
        <is>
          <t>Kickstart Trading</t>
        </is>
      </c>
      <c r="F2049" s="19" t="inlineStr">
        <is>
          <t>#57 Instant-Direct 100k</t>
        </is>
      </c>
      <c r="G2049" s="22" t="n">
        <v>100000</v>
      </c>
      <c r="H2049" s="22" t="n">
        <v>8000</v>
      </c>
      <c r="I2049" s="22" t="n">
        <v>15798463.15</v>
      </c>
      <c r="J2049" s="19" t="inlineStr">
        <is>
          <t>10 % × 100,000 × split 80%</t>
        </is>
      </c>
    </row>
    <row r="2050">
      <c r="A2050" s="13" t="n">
        <v>2049</v>
      </c>
      <c r="B2050" s="14" t="n">
        <v>46604</v>
      </c>
      <c r="C2050" s="15" t="n">
        <v>11</v>
      </c>
      <c r="D2050" s="25" t="inlineStr">
        <is>
          <t>Payout</t>
        </is>
      </c>
      <c r="E2050" s="13" t="inlineStr">
        <is>
          <t>Kickstart Trading</t>
        </is>
      </c>
      <c r="F2050" s="13" t="inlineStr">
        <is>
          <t>#58 Instant-Direct 100k</t>
        </is>
      </c>
      <c r="G2050" s="17" t="n">
        <v>100000</v>
      </c>
      <c r="H2050" s="17" t="n">
        <v>8000</v>
      </c>
      <c r="I2050" s="17" t="n">
        <v>15806463.15</v>
      </c>
      <c r="J2050" s="13" t="inlineStr">
        <is>
          <t>10 % × 100,000 × split 80%</t>
        </is>
      </c>
    </row>
    <row r="2051">
      <c r="A2051" s="19" t="n">
        <v>2050</v>
      </c>
      <c r="B2051" s="20" t="n">
        <v>46604</v>
      </c>
      <c r="C2051" s="21" t="n">
        <v>11</v>
      </c>
      <c r="D2051" s="25" t="inlineStr">
        <is>
          <t>Payout</t>
        </is>
      </c>
      <c r="E2051" s="19" t="inlineStr">
        <is>
          <t>Kickstart Trading</t>
        </is>
      </c>
      <c r="F2051" s="19" t="inlineStr">
        <is>
          <t>#59 Instant-Direct 100k</t>
        </is>
      </c>
      <c r="G2051" s="22" t="n">
        <v>100000</v>
      </c>
      <c r="H2051" s="22" t="n">
        <v>8000</v>
      </c>
      <c r="I2051" s="22" t="n">
        <v>15814463.15</v>
      </c>
      <c r="J2051" s="19" t="inlineStr">
        <is>
          <t>10 % × 100,000 × split 80%</t>
        </is>
      </c>
    </row>
    <row r="2052">
      <c r="A2052" s="13" t="n">
        <v>2051</v>
      </c>
      <c r="B2052" s="14" t="n">
        <v>46604</v>
      </c>
      <c r="C2052" s="15" t="n">
        <v>11</v>
      </c>
      <c r="D2052" s="25" t="inlineStr">
        <is>
          <t>Payout</t>
        </is>
      </c>
      <c r="E2052" s="13" t="inlineStr">
        <is>
          <t>Kickstart Trading</t>
        </is>
      </c>
      <c r="F2052" s="13" t="inlineStr">
        <is>
          <t>#60 Instant-Direct 100k</t>
        </is>
      </c>
      <c r="G2052" s="17" t="n">
        <v>100000</v>
      </c>
      <c r="H2052" s="17" t="n">
        <v>8000</v>
      </c>
      <c r="I2052" s="17" t="n">
        <v>15822463.15</v>
      </c>
      <c r="J2052" s="13" t="inlineStr">
        <is>
          <t>10 % × 100,000 × split 80%</t>
        </is>
      </c>
    </row>
    <row r="2053">
      <c r="A2053" s="19" t="n">
        <v>2052</v>
      </c>
      <c r="B2053" s="20" t="n">
        <v>46604</v>
      </c>
      <c r="C2053" s="21" t="n">
        <v>11</v>
      </c>
      <c r="D2053" s="25" t="inlineStr">
        <is>
          <t>Payout</t>
        </is>
      </c>
      <c r="E2053" s="19" t="inlineStr">
        <is>
          <t>Kickstart Trading</t>
        </is>
      </c>
      <c r="F2053" s="19" t="inlineStr">
        <is>
          <t>#61 Instant-Direct 100k</t>
        </is>
      </c>
      <c r="G2053" s="22" t="n">
        <v>100000</v>
      </c>
      <c r="H2053" s="22" t="n">
        <v>8000</v>
      </c>
      <c r="I2053" s="22" t="n">
        <v>15830463.15</v>
      </c>
      <c r="J2053" s="19" t="inlineStr">
        <is>
          <t>10 % × 100,000 × split 80%</t>
        </is>
      </c>
    </row>
    <row r="2054">
      <c r="A2054" s="13" t="n">
        <v>2053</v>
      </c>
      <c r="B2054" s="14" t="n">
        <v>46604</v>
      </c>
      <c r="C2054" s="15" t="n">
        <v>11</v>
      </c>
      <c r="D2054" s="25" t="inlineStr">
        <is>
          <t>Payout</t>
        </is>
      </c>
      <c r="E2054" s="13" t="inlineStr">
        <is>
          <t>Kickstart Trading</t>
        </is>
      </c>
      <c r="F2054" s="13" t="inlineStr">
        <is>
          <t>#62 Instant-Direct 100k</t>
        </is>
      </c>
      <c r="G2054" s="17" t="n">
        <v>100000</v>
      </c>
      <c r="H2054" s="17" t="n">
        <v>8000</v>
      </c>
      <c r="I2054" s="17" t="n">
        <v>15838463.15</v>
      </c>
      <c r="J2054" s="13" t="inlineStr">
        <is>
          <t>10 % × 100,000 × split 80%</t>
        </is>
      </c>
    </row>
    <row r="2055">
      <c r="A2055" s="19" t="n">
        <v>2054</v>
      </c>
      <c r="B2055" s="20" t="n">
        <v>46604</v>
      </c>
      <c r="C2055" s="21" t="n">
        <v>11</v>
      </c>
      <c r="D2055" s="25" t="inlineStr">
        <is>
          <t>Payout</t>
        </is>
      </c>
      <c r="E2055" s="19" t="inlineStr">
        <is>
          <t>Kickstart Trading</t>
        </is>
      </c>
      <c r="F2055" s="19" t="inlineStr">
        <is>
          <t>#63 Instant-Direct 100k</t>
        </is>
      </c>
      <c r="G2055" s="22" t="n">
        <v>100000</v>
      </c>
      <c r="H2055" s="22" t="n">
        <v>8000</v>
      </c>
      <c r="I2055" s="22" t="n">
        <v>15846463.15</v>
      </c>
      <c r="J2055" s="19" t="inlineStr">
        <is>
          <t>10 % × 100,000 × split 80%</t>
        </is>
      </c>
    </row>
    <row r="2056">
      <c r="A2056" s="13" t="n">
        <v>2055</v>
      </c>
      <c r="B2056" s="14" t="n">
        <v>46604</v>
      </c>
      <c r="C2056" s="15" t="n">
        <v>11</v>
      </c>
      <c r="D2056" s="25" t="inlineStr">
        <is>
          <t>Payout</t>
        </is>
      </c>
      <c r="E2056" s="13" t="inlineStr">
        <is>
          <t>Kickstart Trading</t>
        </is>
      </c>
      <c r="F2056" s="13" t="inlineStr">
        <is>
          <t>#64 Instant-Direct 100k</t>
        </is>
      </c>
      <c r="G2056" s="17" t="n">
        <v>100000</v>
      </c>
      <c r="H2056" s="17" t="n">
        <v>8000</v>
      </c>
      <c r="I2056" s="17" t="n">
        <v>15854463.15</v>
      </c>
      <c r="J2056" s="13" t="inlineStr">
        <is>
          <t>10 % × 100,000 × split 80%</t>
        </is>
      </c>
    </row>
    <row r="2057">
      <c r="A2057" s="19" t="n">
        <v>2056</v>
      </c>
      <c r="B2057" s="20" t="n">
        <v>46604</v>
      </c>
      <c r="C2057" s="21" t="n">
        <v>11</v>
      </c>
      <c r="D2057" s="25" t="inlineStr">
        <is>
          <t>Payout</t>
        </is>
      </c>
      <c r="E2057" s="19" t="inlineStr">
        <is>
          <t>Kickstart Trading</t>
        </is>
      </c>
      <c r="F2057" s="19" t="inlineStr">
        <is>
          <t>#65 Instant-Direct 100k</t>
        </is>
      </c>
      <c r="G2057" s="22" t="n">
        <v>100000</v>
      </c>
      <c r="H2057" s="22" t="n">
        <v>8000</v>
      </c>
      <c r="I2057" s="22" t="n">
        <v>15862463.15</v>
      </c>
      <c r="J2057" s="19" t="inlineStr">
        <is>
          <t>10 % × 100,000 × split 80%</t>
        </is>
      </c>
    </row>
    <row r="2058">
      <c r="A2058" s="13" t="n">
        <v>2057</v>
      </c>
      <c r="B2058" s="14" t="n">
        <v>46604</v>
      </c>
      <c r="C2058" s="15" t="n">
        <v>11</v>
      </c>
      <c r="D2058" s="25" t="inlineStr">
        <is>
          <t>Payout</t>
        </is>
      </c>
      <c r="E2058" s="13" t="inlineStr">
        <is>
          <t>Audacity Capital</t>
        </is>
      </c>
      <c r="F2058" s="13" t="inlineStr">
        <is>
          <t>#66 Instant-Direct 50k</t>
        </is>
      </c>
      <c r="G2058" s="17" t="n">
        <v>50000</v>
      </c>
      <c r="H2058" s="17" t="n">
        <v>4500</v>
      </c>
      <c r="I2058" s="17" t="n">
        <v>15866963.15</v>
      </c>
      <c r="J2058" s="13" t="inlineStr">
        <is>
          <t>10 % × 50,000 × split 90%</t>
        </is>
      </c>
    </row>
    <row r="2059">
      <c r="A2059" s="19" t="n">
        <v>2058</v>
      </c>
      <c r="B2059" s="20" t="n">
        <v>46604</v>
      </c>
      <c r="C2059" s="21" t="n">
        <v>11</v>
      </c>
      <c r="D2059" s="25" t="inlineStr">
        <is>
          <t>Payout</t>
        </is>
      </c>
      <c r="E2059" s="19" t="inlineStr">
        <is>
          <t>Audacity Capital</t>
        </is>
      </c>
      <c r="F2059" s="19" t="inlineStr">
        <is>
          <t>#67 Instant-Direct 50k</t>
        </is>
      </c>
      <c r="G2059" s="22" t="n">
        <v>50000</v>
      </c>
      <c r="H2059" s="22" t="n">
        <v>4500</v>
      </c>
      <c r="I2059" s="22" t="n">
        <v>15871463.15</v>
      </c>
      <c r="J2059" s="19" t="inlineStr">
        <is>
          <t>10 % × 50,000 × split 90%</t>
        </is>
      </c>
    </row>
    <row r="2060">
      <c r="A2060" s="13" t="n">
        <v>2059</v>
      </c>
      <c r="B2060" s="14" t="n">
        <v>46604</v>
      </c>
      <c r="C2060" s="15" t="n">
        <v>11</v>
      </c>
      <c r="D2060" s="25" t="inlineStr">
        <is>
          <t>Payout</t>
        </is>
      </c>
      <c r="E2060" s="13" t="inlineStr">
        <is>
          <t>Audacity Capital</t>
        </is>
      </c>
      <c r="F2060" s="13" t="inlineStr">
        <is>
          <t>#68 Instant-Direct 50k</t>
        </is>
      </c>
      <c r="G2060" s="17" t="n">
        <v>50000</v>
      </c>
      <c r="H2060" s="17" t="n">
        <v>4500</v>
      </c>
      <c r="I2060" s="17" t="n">
        <v>15875963.15</v>
      </c>
      <c r="J2060" s="13" t="inlineStr">
        <is>
          <t>10 % × 50,000 × split 90%</t>
        </is>
      </c>
    </row>
    <row r="2061">
      <c r="A2061" s="19" t="n">
        <v>2060</v>
      </c>
      <c r="B2061" s="20" t="n">
        <v>46604</v>
      </c>
      <c r="C2061" s="21" t="n">
        <v>11</v>
      </c>
      <c r="D2061" s="25" t="inlineStr">
        <is>
          <t>Payout</t>
        </is>
      </c>
      <c r="E2061" s="19" t="inlineStr">
        <is>
          <t>Audacity Capital</t>
        </is>
      </c>
      <c r="F2061" s="19" t="inlineStr">
        <is>
          <t>#69 Instant-Direct 50k</t>
        </is>
      </c>
      <c r="G2061" s="22" t="n">
        <v>50000</v>
      </c>
      <c r="H2061" s="22" t="n">
        <v>4500</v>
      </c>
      <c r="I2061" s="22" t="n">
        <v>15880463.15</v>
      </c>
      <c r="J2061" s="19" t="inlineStr">
        <is>
          <t>10 % × 50,000 × split 90%</t>
        </is>
      </c>
    </row>
    <row r="2062">
      <c r="A2062" s="13" t="n">
        <v>2061</v>
      </c>
      <c r="B2062" s="14" t="n">
        <v>46604</v>
      </c>
      <c r="C2062" s="15" t="n">
        <v>11</v>
      </c>
      <c r="D2062" s="25" t="inlineStr">
        <is>
          <t>Payout</t>
        </is>
      </c>
      <c r="E2062" s="13" t="inlineStr">
        <is>
          <t>Audacity Capital</t>
        </is>
      </c>
      <c r="F2062" s="13" t="inlineStr">
        <is>
          <t>#70 Instant-Direct 50k</t>
        </is>
      </c>
      <c r="G2062" s="17" t="n">
        <v>50000</v>
      </c>
      <c r="H2062" s="17" t="n">
        <v>4500</v>
      </c>
      <c r="I2062" s="17" t="n">
        <v>15884963.15</v>
      </c>
      <c r="J2062" s="13" t="inlineStr">
        <is>
          <t>10 % × 50,000 × split 90%</t>
        </is>
      </c>
    </row>
    <row r="2063">
      <c r="A2063" s="19" t="n">
        <v>2062</v>
      </c>
      <c r="B2063" s="20" t="n">
        <v>46604</v>
      </c>
      <c r="C2063" s="21" t="n">
        <v>11</v>
      </c>
      <c r="D2063" s="25" t="inlineStr">
        <is>
          <t>Payout</t>
        </is>
      </c>
      <c r="E2063" s="19" t="inlineStr">
        <is>
          <t>Audacity Capital</t>
        </is>
      </c>
      <c r="F2063" s="19" t="inlineStr">
        <is>
          <t>#71 Instant-Direct 50k</t>
        </is>
      </c>
      <c r="G2063" s="22" t="n">
        <v>50000</v>
      </c>
      <c r="H2063" s="22" t="n">
        <v>4500</v>
      </c>
      <c r="I2063" s="22" t="n">
        <v>15889463.15</v>
      </c>
      <c r="J2063" s="19" t="inlineStr">
        <is>
          <t>10 % × 50,000 × split 90%</t>
        </is>
      </c>
    </row>
    <row r="2064">
      <c r="A2064" s="13" t="n">
        <v>2063</v>
      </c>
      <c r="B2064" s="14" t="n">
        <v>46604</v>
      </c>
      <c r="C2064" s="15" t="n">
        <v>11</v>
      </c>
      <c r="D2064" s="25" t="inlineStr">
        <is>
          <t>Payout</t>
        </is>
      </c>
      <c r="E2064" s="13" t="inlineStr">
        <is>
          <t>Audacity Capital</t>
        </is>
      </c>
      <c r="F2064" s="13" t="inlineStr">
        <is>
          <t>#72 Instant-Direct 50k</t>
        </is>
      </c>
      <c r="G2064" s="17" t="n">
        <v>50000</v>
      </c>
      <c r="H2064" s="17" t="n">
        <v>4500</v>
      </c>
      <c r="I2064" s="17" t="n">
        <v>15893963.15</v>
      </c>
      <c r="J2064" s="13" t="inlineStr">
        <is>
          <t>10 % × 50,000 × split 90%</t>
        </is>
      </c>
    </row>
    <row r="2065">
      <c r="A2065" s="19" t="n">
        <v>2064</v>
      </c>
      <c r="B2065" s="20" t="n">
        <v>46604</v>
      </c>
      <c r="C2065" s="21" t="n">
        <v>11</v>
      </c>
      <c r="D2065" s="25" t="inlineStr">
        <is>
          <t>Payout</t>
        </is>
      </c>
      <c r="E2065" s="19" t="inlineStr">
        <is>
          <t>Audacity Capital</t>
        </is>
      </c>
      <c r="F2065" s="19" t="inlineStr">
        <is>
          <t>#73 Instant-Direct 50k</t>
        </is>
      </c>
      <c r="G2065" s="22" t="n">
        <v>50000</v>
      </c>
      <c r="H2065" s="22" t="n">
        <v>4500</v>
      </c>
      <c r="I2065" s="22" t="n">
        <v>15898463.15</v>
      </c>
      <c r="J2065" s="19" t="inlineStr">
        <is>
          <t>10 % × 50,000 × split 90%</t>
        </is>
      </c>
    </row>
    <row r="2066">
      <c r="A2066" s="13" t="n">
        <v>2065</v>
      </c>
      <c r="B2066" s="14" t="n">
        <v>46604</v>
      </c>
      <c r="C2066" s="15" t="n">
        <v>11</v>
      </c>
      <c r="D2066" s="25" t="inlineStr">
        <is>
          <t>Payout</t>
        </is>
      </c>
      <c r="E2066" s="13" t="inlineStr">
        <is>
          <t>Audacity Capital</t>
        </is>
      </c>
      <c r="F2066" s="13" t="inlineStr">
        <is>
          <t>#74 Instant-Direct 50k</t>
        </is>
      </c>
      <c r="G2066" s="17" t="n">
        <v>50000</v>
      </c>
      <c r="H2066" s="17" t="n">
        <v>4500</v>
      </c>
      <c r="I2066" s="17" t="n">
        <v>15902963.15</v>
      </c>
      <c r="J2066" s="13" t="inlineStr">
        <is>
          <t>10 % × 50,000 × split 90%</t>
        </is>
      </c>
    </row>
    <row r="2067">
      <c r="A2067" s="19" t="n">
        <v>2066</v>
      </c>
      <c r="B2067" s="20" t="n">
        <v>46604</v>
      </c>
      <c r="C2067" s="21" t="n">
        <v>11</v>
      </c>
      <c r="D2067" s="25" t="inlineStr">
        <is>
          <t>Payout</t>
        </is>
      </c>
      <c r="E2067" s="19" t="inlineStr">
        <is>
          <t>Audacity Capital</t>
        </is>
      </c>
      <c r="F2067" s="19" t="inlineStr">
        <is>
          <t>#75 Instant-Direct 50k</t>
        </is>
      </c>
      <c r="G2067" s="22" t="n">
        <v>50000</v>
      </c>
      <c r="H2067" s="22" t="n">
        <v>4500</v>
      </c>
      <c r="I2067" s="22" t="n">
        <v>15907463.15</v>
      </c>
      <c r="J2067" s="19" t="inlineStr">
        <is>
          <t>10 % × 50,000 × split 90%</t>
        </is>
      </c>
    </row>
    <row r="2068">
      <c r="A2068" s="13" t="n">
        <v>2067</v>
      </c>
      <c r="B2068" s="14" t="n">
        <v>46604</v>
      </c>
      <c r="C2068" s="15" t="n">
        <v>11</v>
      </c>
      <c r="D2068" s="25" t="inlineStr">
        <is>
          <t>Payout</t>
        </is>
      </c>
      <c r="E2068" s="13" t="inlineStr">
        <is>
          <t>Audacity Capital</t>
        </is>
      </c>
      <c r="F2068" s="13" t="inlineStr">
        <is>
          <t>#76 Instant-Direct 50k</t>
        </is>
      </c>
      <c r="G2068" s="17" t="n">
        <v>50000</v>
      </c>
      <c r="H2068" s="17" t="n">
        <v>4500</v>
      </c>
      <c r="I2068" s="17" t="n">
        <v>15911963.15</v>
      </c>
      <c r="J2068" s="13" t="inlineStr">
        <is>
          <t>10 % × 50,000 × split 90%</t>
        </is>
      </c>
    </row>
    <row r="2069">
      <c r="A2069" s="19" t="n">
        <v>2068</v>
      </c>
      <c r="B2069" s="20" t="n">
        <v>46604</v>
      </c>
      <c r="C2069" s="21" t="n">
        <v>11</v>
      </c>
      <c r="D2069" s="25" t="inlineStr">
        <is>
          <t>Payout</t>
        </is>
      </c>
      <c r="E2069" s="19" t="inlineStr">
        <is>
          <t>Audacity Capital</t>
        </is>
      </c>
      <c r="F2069" s="19" t="inlineStr">
        <is>
          <t>#77 Instant-Direct 50k</t>
        </is>
      </c>
      <c r="G2069" s="22" t="n">
        <v>50000</v>
      </c>
      <c r="H2069" s="22" t="n">
        <v>4500</v>
      </c>
      <c r="I2069" s="22" t="n">
        <v>15916463.15</v>
      </c>
      <c r="J2069" s="19" t="inlineStr">
        <is>
          <t>10 % × 50,000 × split 90%</t>
        </is>
      </c>
    </row>
    <row r="2070">
      <c r="A2070" s="13" t="n">
        <v>2069</v>
      </c>
      <c r="B2070" s="14" t="n">
        <v>46604</v>
      </c>
      <c r="C2070" s="15" t="n">
        <v>11</v>
      </c>
      <c r="D2070" s="25" t="inlineStr">
        <is>
          <t>Payout</t>
        </is>
      </c>
      <c r="E2070" s="13" t="inlineStr">
        <is>
          <t>Audacity Capital</t>
        </is>
      </c>
      <c r="F2070" s="13" t="inlineStr">
        <is>
          <t>#78 Instant-Direct 50k</t>
        </is>
      </c>
      <c r="G2070" s="17" t="n">
        <v>50000</v>
      </c>
      <c r="H2070" s="17" t="n">
        <v>4500</v>
      </c>
      <c r="I2070" s="17" t="n">
        <v>15920963.15</v>
      </c>
      <c r="J2070" s="13" t="inlineStr">
        <is>
          <t>10 % × 50,000 × split 90%</t>
        </is>
      </c>
    </row>
    <row r="2071">
      <c r="A2071" s="19" t="n">
        <v>2070</v>
      </c>
      <c r="B2071" s="20" t="n">
        <v>46604</v>
      </c>
      <c r="C2071" s="21" t="n">
        <v>11</v>
      </c>
      <c r="D2071" s="25" t="inlineStr">
        <is>
          <t>Payout</t>
        </is>
      </c>
      <c r="E2071" s="19" t="inlineStr">
        <is>
          <t>Fill88</t>
        </is>
      </c>
      <c r="F2071" s="19" t="inlineStr">
        <is>
          <t>#79 Instant-Direct 100k</t>
        </is>
      </c>
      <c r="G2071" s="22" t="n">
        <v>100000</v>
      </c>
      <c r="H2071" s="22" t="n">
        <v>8000</v>
      </c>
      <c r="I2071" s="22" t="n">
        <v>15928963.15</v>
      </c>
      <c r="J2071" s="19" t="inlineStr">
        <is>
          <t>10 % × 100,000 × split 80%</t>
        </is>
      </c>
    </row>
    <row r="2072">
      <c r="A2072" s="13" t="n">
        <v>2071</v>
      </c>
      <c r="B2072" s="14" t="n">
        <v>46604</v>
      </c>
      <c r="C2072" s="15" t="n">
        <v>11</v>
      </c>
      <c r="D2072" s="25" t="inlineStr">
        <is>
          <t>Payout</t>
        </is>
      </c>
      <c r="E2072" s="13" t="inlineStr">
        <is>
          <t>Fill88</t>
        </is>
      </c>
      <c r="F2072" s="13" t="inlineStr">
        <is>
          <t>#80 Instant-Direct 100k</t>
        </is>
      </c>
      <c r="G2072" s="17" t="n">
        <v>100000</v>
      </c>
      <c r="H2072" s="17" t="n">
        <v>8000</v>
      </c>
      <c r="I2072" s="17" t="n">
        <v>15936963.15</v>
      </c>
      <c r="J2072" s="13" t="inlineStr">
        <is>
          <t>10 % × 100,000 × split 80%</t>
        </is>
      </c>
    </row>
    <row r="2073">
      <c r="A2073" s="19" t="n">
        <v>2072</v>
      </c>
      <c r="B2073" s="20" t="n">
        <v>46604</v>
      </c>
      <c r="C2073" s="21" t="n">
        <v>11</v>
      </c>
      <c r="D2073" s="25" t="inlineStr">
        <is>
          <t>Payout</t>
        </is>
      </c>
      <c r="E2073" s="19" t="inlineStr">
        <is>
          <t>Fill88</t>
        </is>
      </c>
      <c r="F2073" s="19" t="inlineStr">
        <is>
          <t>#81 Instant-Direct 100k</t>
        </is>
      </c>
      <c r="G2073" s="22" t="n">
        <v>100000</v>
      </c>
      <c r="H2073" s="22" t="n">
        <v>8000</v>
      </c>
      <c r="I2073" s="22" t="n">
        <v>15944963.15</v>
      </c>
      <c r="J2073" s="19" t="inlineStr">
        <is>
          <t>10 % × 100,000 × split 80%</t>
        </is>
      </c>
    </row>
    <row r="2074">
      <c r="A2074" s="13" t="n">
        <v>2073</v>
      </c>
      <c r="B2074" s="14" t="n">
        <v>46604</v>
      </c>
      <c r="C2074" s="15" t="n">
        <v>11</v>
      </c>
      <c r="D2074" s="25" t="inlineStr">
        <is>
          <t>Payout</t>
        </is>
      </c>
      <c r="E2074" s="13" t="inlineStr">
        <is>
          <t>Fill88</t>
        </is>
      </c>
      <c r="F2074" s="13" t="inlineStr">
        <is>
          <t>#82 Instant-Direct 100k</t>
        </is>
      </c>
      <c r="G2074" s="17" t="n">
        <v>100000</v>
      </c>
      <c r="H2074" s="17" t="n">
        <v>8000</v>
      </c>
      <c r="I2074" s="17" t="n">
        <v>15952963.15</v>
      </c>
      <c r="J2074" s="13" t="inlineStr">
        <is>
          <t>10 % × 100,000 × split 80%</t>
        </is>
      </c>
    </row>
    <row r="2075">
      <c r="A2075" s="19" t="n">
        <v>2074</v>
      </c>
      <c r="B2075" s="20" t="n">
        <v>46604</v>
      </c>
      <c r="C2075" s="21" t="n">
        <v>11</v>
      </c>
      <c r="D2075" s="25" t="inlineStr">
        <is>
          <t>Payout</t>
        </is>
      </c>
      <c r="E2075" s="19" t="inlineStr">
        <is>
          <t>Fill88</t>
        </is>
      </c>
      <c r="F2075" s="19" t="inlineStr">
        <is>
          <t>#83 Instant-Direct 100k</t>
        </is>
      </c>
      <c r="G2075" s="22" t="n">
        <v>100000</v>
      </c>
      <c r="H2075" s="22" t="n">
        <v>8000</v>
      </c>
      <c r="I2075" s="22" t="n">
        <v>15960963.15</v>
      </c>
      <c r="J2075" s="19" t="inlineStr">
        <is>
          <t>10 % × 100,000 × split 80%</t>
        </is>
      </c>
    </row>
    <row r="2076">
      <c r="A2076" s="13" t="n">
        <v>2075</v>
      </c>
      <c r="B2076" s="14" t="n">
        <v>46604</v>
      </c>
      <c r="C2076" s="15" t="n">
        <v>11</v>
      </c>
      <c r="D2076" s="25" t="inlineStr">
        <is>
          <t>Payout</t>
        </is>
      </c>
      <c r="E2076" s="13" t="inlineStr">
        <is>
          <t>Fill88</t>
        </is>
      </c>
      <c r="F2076" s="13" t="inlineStr">
        <is>
          <t>#84 Instant-Direct 100k</t>
        </is>
      </c>
      <c r="G2076" s="17" t="n">
        <v>100000</v>
      </c>
      <c r="H2076" s="17" t="n">
        <v>8000</v>
      </c>
      <c r="I2076" s="17" t="n">
        <v>15968963.15</v>
      </c>
      <c r="J2076" s="13" t="inlineStr">
        <is>
          <t>10 % × 100,000 × split 80%</t>
        </is>
      </c>
    </row>
    <row r="2077">
      <c r="A2077" s="19" t="n">
        <v>2076</v>
      </c>
      <c r="B2077" s="20" t="n">
        <v>46604</v>
      </c>
      <c r="C2077" s="21" t="n">
        <v>11</v>
      </c>
      <c r="D2077" s="25" t="inlineStr">
        <is>
          <t>Payout</t>
        </is>
      </c>
      <c r="E2077" s="19" t="inlineStr">
        <is>
          <t>Finotive Funding</t>
        </is>
      </c>
      <c r="F2077" s="19" t="inlineStr">
        <is>
          <t>#85 Instant-Direct 100k</t>
        </is>
      </c>
      <c r="G2077" s="22" t="n">
        <v>100000</v>
      </c>
      <c r="H2077" s="22" t="n">
        <v>7500</v>
      </c>
      <c r="I2077" s="22" t="n">
        <v>15976463.15</v>
      </c>
      <c r="J2077" s="19" t="inlineStr">
        <is>
          <t>10 % × 100,000 × split 75%</t>
        </is>
      </c>
    </row>
    <row r="2078">
      <c r="A2078" s="13" t="n">
        <v>2077</v>
      </c>
      <c r="B2078" s="14" t="n">
        <v>46604</v>
      </c>
      <c r="C2078" s="15" t="n">
        <v>11</v>
      </c>
      <c r="D2078" s="25" t="inlineStr">
        <is>
          <t>Payout</t>
        </is>
      </c>
      <c r="E2078" s="13" t="inlineStr">
        <is>
          <t>Finotive Funding</t>
        </is>
      </c>
      <c r="F2078" s="13" t="inlineStr">
        <is>
          <t>#86 Instant-Direct 100k</t>
        </is>
      </c>
      <c r="G2078" s="17" t="n">
        <v>100000</v>
      </c>
      <c r="H2078" s="17" t="n">
        <v>7500</v>
      </c>
      <c r="I2078" s="17" t="n">
        <v>15983963.15</v>
      </c>
      <c r="J2078" s="13" t="inlineStr">
        <is>
          <t>10 % × 100,000 × split 75%</t>
        </is>
      </c>
    </row>
    <row r="2079">
      <c r="A2079" s="19" t="n">
        <v>2078</v>
      </c>
      <c r="B2079" s="20" t="n">
        <v>46604</v>
      </c>
      <c r="C2079" s="21" t="n">
        <v>11</v>
      </c>
      <c r="D2079" s="25" t="inlineStr">
        <is>
          <t>Payout</t>
        </is>
      </c>
      <c r="E2079" s="19" t="inlineStr">
        <is>
          <t>Finotive Funding</t>
        </is>
      </c>
      <c r="F2079" s="19" t="inlineStr">
        <is>
          <t>#87 Instant-Direct 100k</t>
        </is>
      </c>
      <c r="G2079" s="22" t="n">
        <v>100000</v>
      </c>
      <c r="H2079" s="22" t="n">
        <v>7500</v>
      </c>
      <c r="I2079" s="22" t="n">
        <v>15991463.15</v>
      </c>
      <c r="J2079" s="19" t="inlineStr">
        <is>
          <t>10 % × 100,000 × split 75%</t>
        </is>
      </c>
    </row>
    <row r="2080">
      <c r="A2080" s="13" t="n">
        <v>2079</v>
      </c>
      <c r="B2080" s="14" t="n">
        <v>46604</v>
      </c>
      <c r="C2080" s="15" t="n">
        <v>11</v>
      </c>
      <c r="D2080" s="25" t="inlineStr">
        <is>
          <t>Payout</t>
        </is>
      </c>
      <c r="E2080" s="13" t="inlineStr">
        <is>
          <t>Finotive Funding</t>
        </is>
      </c>
      <c r="F2080" s="13" t="inlineStr">
        <is>
          <t>#88 Instant-Direct 100k</t>
        </is>
      </c>
      <c r="G2080" s="17" t="n">
        <v>100000</v>
      </c>
      <c r="H2080" s="17" t="n">
        <v>7500</v>
      </c>
      <c r="I2080" s="17" t="n">
        <v>15998963.15</v>
      </c>
      <c r="J2080" s="13" t="inlineStr">
        <is>
          <t>10 % × 100,000 × split 75%</t>
        </is>
      </c>
    </row>
    <row r="2081">
      <c r="A2081" s="19" t="n">
        <v>2080</v>
      </c>
      <c r="B2081" s="20" t="n">
        <v>46604</v>
      </c>
      <c r="C2081" s="21" t="n">
        <v>11</v>
      </c>
      <c r="D2081" s="25" t="inlineStr">
        <is>
          <t>Payout</t>
        </is>
      </c>
      <c r="E2081" s="19" t="inlineStr">
        <is>
          <t>Finotive Funding</t>
        </is>
      </c>
      <c r="F2081" s="19" t="inlineStr">
        <is>
          <t>#89 Instant-Direct 100k</t>
        </is>
      </c>
      <c r="G2081" s="22" t="n">
        <v>100000</v>
      </c>
      <c r="H2081" s="22" t="n">
        <v>7500</v>
      </c>
      <c r="I2081" s="22" t="n">
        <v>16006463.15</v>
      </c>
      <c r="J2081" s="19" t="inlineStr">
        <is>
          <t>10 % × 100,000 × split 75%</t>
        </is>
      </c>
    </row>
    <row r="2082">
      <c r="A2082" s="13" t="n">
        <v>2081</v>
      </c>
      <c r="B2082" s="14" t="n">
        <v>46604</v>
      </c>
      <c r="C2082" s="15" t="n">
        <v>11</v>
      </c>
      <c r="D2082" s="25" t="inlineStr">
        <is>
          <t>Payout</t>
        </is>
      </c>
      <c r="E2082" s="13" t="inlineStr">
        <is>
          <t>Finotive Funding</t>
        </is>
      </c>
      <c r="F2082" s="13" t="inlineStr">
        <is>
          <t>#90 Instant-Direct 100k</t>
        </is>
      </c>
      <c r="G2082" s="17" t="n">
        <v>100000</v>
      </c>
      <c r="H2082" s="17" t="n">
        <v>7500</v>
      </c>
      <c r="I2082" s="17" t="n">
        <v>16013963.15</v>
      </c>
      <c r="J2082" s="13" t="inlineStr">
        <is>
          <t>10 % × 100,000 × split 75%</t>
        </is>
      </c>
    </row>
    <row r="2083">
      <c r="A2083" s="19" t="n">
        <v>2082</v>
      </c>
      <c r="B2083" s="20" t="n">
        <v>46604</v>
      </c>
      <c r="C2083" s="21" t="n">
        <v>11</v>
      </c>
      <c r="D2083" s="25" t="inlineStr">
        <is>
          <t>Payout</t>
        </is>
      </c>
      <c r="E2083" s="19" t="inlineStr">
        <is>
          <t>FNC Funding</t>
        </is>
      </c>
      <c r="F2083" s="19" t="inlineStr">
        <is>
          <t>#91 Instant-Direct 100k</t>
        </is>
      </c>
      <c r="G2083" s="22" t="n">
        <v>100000</v>
      </c>
      <c r="H2083" s="22" t="n">
        <v>7500</v>
      </c>
      <c r="I2083" s="22" t="n">
        <v>16021463.15</v>
      </c>
      <c r="J2083" s="19" t="inlineStr">
        <is>
          <t>10 % × 100,000 × split 75%</t>
        </is>
      </c>
    </row>
    <row r="2084">
      <c r="A2084" s="13" t="n">
        <v>2083</v>
      </c>
      <c r="B2084" s="14" t="n">
        <v>46604</v>
      </c>
      <c r="C2084" s="15" t="n">
        <v>11</v>
      </c>
      <c r="D2084" s="25" t="inlineStr">
        <is>
          <t>Payout</t>
        </is>
      </c>
      <c r="E2084" s="13" t="inlineStr">
        <is>
          <t>FNC Funding</t>
        </is>
      </c>
      <c r="F2084" s="13" t="inlineStr">
        <is>
          <t>#92 Instant-Direct 100k</t>
        </is>
      </c>
      <c r="G2084" s="17" t="n">
        <v>100000</v>
      </c>
      <c r="H2084" s="17" t="n">
        <v>7500</v>
      </c>
      <c r="I2084" s="17" t="n">
        <v>16028963.15</v>
      </c>
      <c r="J2084" s="13" t="inlineStr">
        <is>
          <t>10 % × 100,000 × split 75%</t>
        </is>
      </c>
    </row>
    <row r="2085">
      <c r="A2085" s="19" t="n">
        <v>2084</v>
      </c>
      <c r="B2085" s="20" t="n">
        <v>46604</v>
      </c>
      <c r="C2085" s="21" t="n">
        <v>11</v>
      </c>
      <c r="D2085" s="25" t="inlineStr">
        <is>
          <t>Payout</t>
        </is>
      </c>
      <c r="E2085" s="19" t="inlineStr">
        <is>
          <t>FNC Funding</t>
        </is>
      </c>
      <c r="F2085" s="19" t="inlineStr">
        <is>
          <t>#93 Instant-Direct 100k</t>
        </is>
      </c>
      <c r="G2085" s="22" t="n">
        <v>100000</v>
      </c>
      <c r="H2085" s="22" t="n">
        <v>7500</v>
      </c>
      <c r="I2085" s="22" t="n">
        <v>16036463.15</v>
      </c>
      <c r="J2085" s="19" t="inlineStr">
        <is>
          <t>10 % × 100,000 × split 75%</t>
        </is>
      </c>
    </row>
    <row r="2086">
      <c r="A2086" s="13" t="n">
        <v>2085</v>
      </c>
      <c r="B2086" s="14" t="n">
        <v>46604</v>
      </c>
      <c r="C2086" s="15" t="n">
        <v>11</v>
      </c>
      <c r="D2086" s="25" t="inlineStr">
        <is>
          <t>Payout</t>
        </is>
      </c>
      <c r="E2086" s="13" t="inlineStr">
        <is>
          <t>FNC Funding</t>
        </is>
      </c>
      <c r="F2086" s="13" t="inlineStr">
        <is>
          <t>#94 Instant-Direct 100k</t>
        </is>
      </c>
      <c r="G2086" s="17" t="n">
        <v>100000</v>
      </c>
      <c r="H2086" s="17" t="n">
        <v>7500</v>
      </c>
      <c r="I2086" s="17" t="n">
        <v>16043963.15</v>
      </c>
      <c r="J2086" s="13" t="inlineStr">
        <is>
          <t>10 % × 100,000 × split 75%</t>
        </is>
      </c>
    </row>
    <row r="2087">
      <c r="A2087" s="19" t="n">
        <v>2086</v>
      </c>
      <c r="B2087" s="20" t="n">
        <v>46604</v>
      </c>
      <c r="C2087" s="21" t="n">
        <v>11</v>
      </c>
      <c r="D2087" s="25" t="inlineStr">
        <is>
          <t>Payout</t>
        </is>
      </c>
      <c r="E2087" s="19" t="inlineStr">
        <is>
          <t>FNC Funding</t>
        </is>
      </c>
      <c r="F2087" s="19" t="inlineStr">
        <is>
          <t>#95 Instant-Direct 100k</t>
        </is>
      </c>
      <c r="G2087" s="22" t="n">
        <v>100000</v>
      </c>
      <c r="H2087" s="22" t="n">
        <v>7500</v>
      </c>
      <c r="I2087" s="22" t="n">
        <v>16051463.15</v>
      </c>
      <c r="J2087" s="19" t="inlineStr">
        <is>
          <t>10 % × 100,000 × split 75%</t>
        </is>
      </c>
    </row>
    <row r="2088">
      <c r="A2088" s="13" t="n">
        <v>2087</v>
      </c>
      <c r="B2088" s="14" t="n">
        <v>46604</v>
      </c>
      <c r="C2088" s="15" t="n">
        <v>11</v>
      </c>
      <c r="D2088" s="25" t="inlineStr">
        <is>
          <t>Payout</t>
        </is>
      </c>
      <c r="E2088" s="13" t="inlineStr">
        <is>
          <t>Funding Traders</t>
        </is>
      </c>
      <c r="F2088" s="13" t="inlineStr">
        <is>
          <t>#96 Instant-Direct 400k</t>
        </is>
      </c>
      <c r="G2088" s="17" t="n">
        <v>400000</v>
      </c>
      <c r="H2088" s="17" t="n">
        <v>40000</v>
      </c>
      <c r="I2088" s="17" t="n">
        <v>16091463.15</v>
      </c>
      <c r="J2088" s="13" t="inlineStr">
        <is>
          <t>10 % × 400,000 × split 100%</t>
        </is>
      </c>
    </row>
    <row r="2089">
      <c r="A2089" s="19" t="n">
        <v>2088</v>
      </c>
      <c r="B2089" s="20" t="n">
        <v>46604</v>
      </c>
      <c r="C2089" s="21" t="n">
        <v>11</v>
      </c>
      <c r="D2089" s="25" t="inlineStr">
        <is>
          <t>Payout</t>
        </is>
      </c>
      <c r="E2089" s="19" t="inlineStr">
        <is>
          <t>Ifunds</t>
        </is>
      </c>
      <c r="F2089" s="19" t="inlineStr">
        <is>
          <t>#97 Instant-Direct 500k</t>
        </is>
      </c>
      <c r="G2089" s="22" t="n">
        <v>500000</v>
      </c>
      <c r="H2089" s="22" t="n">
        <v>40000</v>
      </c>
      <c r="I2089" s="22" t="n">
        <v>16131463.15</v>
      </c>
      <c r="J2089" s="19" t="inlineStr">
        <is>
          <t>10 % × 500,000 × split 80%</t>
        </is>
      </c>
    </row>
    <row r="2090">
      <c r="A2090" s="13" t="n">
        <v>2089</v>
      </c>
      <c r="B2090" s="14" t="n">
        <v>46604</v>
      </c>
      <c r="C2090" s="15" t="n">
        <v>11</v>
      </c>
      <c r="D2090" s="25" t="inlineStr">
        <is>
          <t>Payout</t>
        </is>
      </c>
      <c r="E2090" s="13" t="inlineStr">
        <is>
          <t>Alpine Funded</t>
        </is>
      </c>
      <c r="F2090" s="13" t="inlineStr">
        <is>
          <t>#98 Instant-Direct 200k</t>
        </is>
      </c>
      <c r="G2090" s="17" t="n">
        <v>200000</v>
      </c>
      <c r="H2090" s="17" t="n">
        <v>20000</v>
      </c>
      <c r="I2090" s="17" t="n">
        <v>16151463.15</v>
      </c>
      <c r="J2090" s="13" t="inlineStr">
        <is>
          <t>10 % × 200,000 × split 100%</t>
        </is>
      </c>
    </row>
    <row r="2091">
      <c r="A2091" s="19" t="n">
        <v>2090</v>
      </c>
      <c r="B2091" s="20" t="n">
        <v>46604</v>
      </c>
      <c r="C2091" s="21" t="n">
        <v>11</v>
      </c>
      <c r="D2091" s="25" t="inlineStr">
        <is>
          <t>Payout</t>
        </is>
      </c>
      <c r="E2091" s="19" t="inlineStr">
        <is>
          <t>Alpine Funded</t>
        </is>
      </c>
      <c r="F2091" s="19" t="inlineStr">
        <is>
          <t>#99 Instant-Direct 200k</t>
        </is>
      </c>
      <c r="G2091" s="22" t="n">
        <v>200000</v>
      </c>
      <c r="H2091" s="22" t="n">
        <v>20000</v>
      </c>
      <c r="I2091" s="22" t="n">
        <v>16171463.15</v>
      </c>
      <c r="J2091" s="19" t="inlineStr">
        <is>
          <t>10 % × 200,000 × split 100%</t>
        </is>
      </c>
    </row>
    <row r="2092">
      <c r="A2092" s="13" t="n">
        <v>2091</v>
      </c>
      <c r="B2092" s="14" t="n">
        <v>46604</v>
      </c>
      <c r="C2092" s="15" t="n">
        <v>11</v>
      </c>
      <c r="D2092" s="25" t="inlineStr">
        <is>
          <t>Payout</t>
        </is>
      </c>
      <c r="E2092" s="13" t="inlineStr">
        <is>
          <t>AquaFunded</t>
        </is>
      </c>
      <c r="F2092" s="13" t="inlineStr">
        <is>
          <t>#100 Instant-Direct 400k</t>
        </is>
      </c>
      <c r="G2092" s="17" t="n">
        <v>400000</v>
      </c>
      <c r="H2092" s="17" t="n">
        <v>36000</v>
      </c>
      <c r="I2092" s="17" t="n">
        <v>16207463.15</v>
      </c>
      <c r="J2092" s="13" t="inlineStr">
        <is>
          <t>10 % × 400,000 × split 90%</t>
        </is>
      </c>
    </row>
    <row r="2093">
      <c r="A2093" s="19" t="n">
        <v>2092</v>
      </c>
      <c r="B2093" s="20" t="n">
        <v>46604</v>
      </c>
      <c r="C2093" s="21" t="n">
        <v>11</v>
      </c>
      <c r="D2093" s="25" t="inlineStr">
        <is>
          <t>Payout</t>
        </is>
      </c>
      <c r="E2093" s="19" t="inlineStr">
        <is>
          <t>Atlas Funded</t>
        </is>
      </c>
      <c r="F2093" s="19" t="inlineStr">
        <is>
          <t>#101 Instant-Direct 300k</t>
        </is>
      </c>
      <c r="G2093" s="22" t="n">
        <v>300000</v>
      </c>
      <c r="H2093" s="22" t="n">
        <v>30000</v>
      </c>
      <c r="I2093" s="22" t="n">
        <v>16237463.15</v>
      </c>
      <c r="J2093" s="19" t="inlineStr">
        <is>
          <t>10 % × 300,000 × split 100%</t>
        </is>
      </c>
    </row>
    <row r="2094">
      <c r="A2094" s="13" t="n">
        <v>2093</v>
      </c>
      <c r="B2094" s="14" t="n">
        <v>46604</v>
      </c>
      <c r="C2094" s="15" t="n">
        <v>11</v>
      </c>
      <c r="D2094" s="25" t="inlineStr">
        <is>
          <t>Payout</t>
        </is>
      </c>
      <c r="E2094" s="13" t="inlineStr">
        <is>
          <t>Atmos Funded</t>
        </is>
      </c>
      <c r="F2094" s="13" t="inlineStr">
        <is>
          <t>#102 Instant-Direct 100k</t>
        </is>
      </c>
      <c r="G2094" s="17" t="n">
        <v>100000</v>
      </c>
      <c r="H2094" s="17" t="n">
        <v>9000</v>
      </c>
      <c r="I2094" s="17" t="n">
        <v>16246463.15</v>
      </c>
      <c r="J2094" s="13" t="inlineStr">
        <is>
          <t>10 % × 100,000 × split 90%</t>
        </is>
      </c>
    </row>
    <row r="2095">
      <c r="A2095" s="19" t="n">
        <v>2094</v>
      </c>
      <c r="B2095" s="20" t="n">
        <v>46604</v>
      </c>
      <c r="C2095" s="21" t="n">
        <v>11</v>
      </c>
      <c r="D2095" s="25" t="inlineStr">
        <is>
          <t>Payout</t>
        </is>
      </c>
      <c r="E2095" s="19" t="inlineStr">
        <is>
          <t>Atmos Funded</t>
        </is>
      </c>
      <c r="F2095" s="19" t="inlineStr">
        <is>
          <t>#103 Instant-Direct 100k</t>
        </is>
      </c>
      <c r="G2095" s="22" t="n">
        <v>100000</v>
      </c>
      <c r="H2095" s="22" t="n">
        <v>9000</v>
      </c>
      <c r="I2095" s="22" t="n">
        <v>16255463.15</v>
      </c>
      <c r="J2095" s="19" t="inlineStr">
        <is>
          <t>10 % × 100,000 × split 90%</t>
        </is>
      </c>
    </row>
    <row r="2096">
      <c r="A2096" s="13" t="n">
        <v>2095</v>
      </c>
      <c r="B2096" s="14" t="n">
        <v>46604</v>
      </c>
      <c r="C2096" s="15" t="n">
        <v>11</v>
      </c>
      <c r="D2096" s="25" t="inlineStr">
        <is>
          <t>Payout</t>
        </is>
      </c>
      <c r="E2096" s="13" t="inlineStr">
        <is>
          <t>Atmos Funded</t>
        </is>
      </c>
      <c r="F2096" s="13" t="inlineStr">
        <is>
          <t>#104 Instant-Direct 100k</t>
        </is>
      </c>
      <c r="G2096" s="17" t="n">
        <v>100000</v>
      </c>
      <c r="H2096" s="17" t="n">
        <v>9000</v>
      </c>
      <c r="I2096" s="17" t="n">
        <v>16264463.15</v>
      </c>
      <c r="J2096" s="13" t="inlineStr">
        <is>
          <t>10 % × 100,000 × split 90%</t>
        </is>
      </c>
    </row>
    <row r="2097">
      <c r="A2097" s="19" t="n">
        <v>2096</v>
      </c>
      <c r="B2097" s="20" t="n">
        <v>46604</v>
      </c>
      <c r="C2097" s="21" t="n">
        <v>11</v>
      </c>
      <c r="D2097" s="25" t="inlineStr">
        <is>
          <t>Payout</t>
        </is>
      </c>
      <c r="E2097" s="19" t="inlineStr">
        <is>
          <t>Atmos Funded</t>
        </is>
      </c>
      <c r="F2097" s="19" t="inlineStr">
        <is>
          <t>#105 Instant-Direct 100k</t>
        </is>
      </c>
      <c r="G2097" s="22" t="n">
        <v>100000</v>
      </c>
      <c r="H2097" s="22" t="n">
        <v>9000</v>
      </c>
      <c r="I2097" s="22" t="n">
        <v>16273463.15</v>
      </c>
      <c r="J2097" s="19" t="inlineStr">
        <is>
          <t>10 % × 100,000 × split 90%</t>
        </is>
      </c>
    </row>
    <row r="2098">
      <c r="A2098" s="13" t="n">
        <v>2097</v>
      </c>
      <c r="B2098" s="14" t="n">
        <v>46604</v>
      </c>
      <c r="C2098" s="15" t="n">
        <v>11</v>
      </c>
      <c r="D2098" s="25" t="inlineStr">
        <is>
          <t>Payout</t>
        </is>
      </c>
      <c r="E2098" s="13" t="inlineStr">
        <is>
          <t>Blue Guardian</t>
        </is>
      </c>
      <c r="F2098" s="13" t="inlineStr">
        <is>
          <t>#106 Instant-Direct 400k</t>
        </is>
      </c>
      <c r="G2098" s="17" t="n">
        <v>400000</v>
      </c>
      <c r="H2098" s="17" t="n">
        <v>32000</v>
      </c>
      <c r="I2098" s="17" t="n">
        <v>16305463.15</v>
      </c>
      <c r="J2098" s="13" t="inlineStr">
        <is>
          <t>10 % × 400,000 × split 80%</t>
        </is>
      </c>
    </row>
    <row r="2099">
      <c r="A2099" s="19" t="n">
        <v>2098</v>
      </c>
      <c r="B2099" s="20" t="n">
        <v>46604</v>
      </c>
      <c r="C2099" s="21" t="n">
        <v>11</v>
      </c>
      <c r="D2099" s="25" t="inlineStr">
        <is>
          <t>Payout</t>
        </is>
      </c>
      <c r="E2099" s="19" t="inlineStr">
        <is>
          <t>FundedElite</t>
        </is>
      </c>
      <c r="F2099" s="19" t="inlineStr">
        <is>
          <t>#107 Instant-Direct 100k</t>
        </is>
      </c>
      <c r="G2099" s="22" t="n">
        <v>100000</v>
      </c>
      <c r="H2099" s="22" t="n">
        <v>9500</v>
      </c>
      <c r="I2099" s="22" t="n">
        <v>16314963.15</v>
      </c>
      <c r="J2099" s="19" t="inlineStr">
        <is>
          <t>10 % × 100,000 × split 95%</t>
        </is>
      </c>
    </row>
    <row r="2100">
      <c r="A2100" s="13" t="n">
        <v>2099</v>
      </c>
      <c r="B2100" s="14" t="n">
        <v>46604</v>
      </c>
      <c r="C2100" s="15" t="n">
        <v>11</v>
      </c>
      <c r="D2100" s="25" t="inlineStr">
        <is>
          <t>Payout</t>
        </is>
      </c>
      <c r="E2100" s="13" t="inlineStr">
        <is>
          <t>FundedElite</t>
        </is>
      </c>
      <c r="F2100" s="13" t="inlineStr">
        <is>
          <t>#108 Instant-Direct 100k</t>
        </is>
      </c>
      <c r="G2100" s="17" t="n">
        <v>100000</v>
      </c>
      <c r="H2100" s="17" t="n">
        <v>9500</v>
      </c>
      <c r="I2100" s="17" t="n">
        <v>16324463.15</v>
      </c>
      <c r="J2100" s="13" t="inlineStr">
        <is>
          <t>10 % × 100,000 × split 95%</t>
        </is>
      </c>
    </row>
    <row r="2101">
      <c r="A2101" s="19" t="n">
        <v>2100</v>
      </c>
      <c r="B2101" s="20" t="n">
        <v>46604</v>
      </c>
      <c r="C2101" s="21" t="n">
        <v>11</v>
      </c>
      <c r="D2101" s="25" t="inlineStr">
        <is>
          <t>Payout</t>
        </is>
      </c>
      <c r="E2101" s="19" t="inlineStr">
        <is>
          <t>FundedElite</t>
        </is>
      </c>
      <c r="F2101" s="19" t="inlineStr">
        <is>
          <t>#109 Instant-Direct 100k</t>
        </is>
      </c>
      <c r="G2101" s="22" t="n">
        <v>100000</v>
      </c>
      <c r="H2101" s="22" t="n">
        <v>9500</v>
      </c>
      <c r="I2101" s="22" t="n">
        <v>16333963.15</v>
      </c>
      <c r="J2101" s="19" t="inlineStr">
        <is>
          <t>10 % × 100,000 × split 95%</t>
        </is>
      </c>
    </row>
    <row r="2102">
      <c r="A2102" s="13" t="n">
        <v>2101</v>
      </c>
      <c r="B2102" s="14" t="n">
        <v>46604</v>
      </c>
      <c r="C2102" s="15" t="n">
        <v>11</v>
      </c>
      <c r="D2102" s="25" t="inlineStr">
        <is>
          <t>Payout</t>
        </is>
      </c>
      <c r="E2102" s="13" t="inlineStr">
        <is>
          <t>FundedElite</t>
        </is>
      </c>
      <c r="F2102" s="13" t="inlineStr">
        <is>
          <t>#110 Instant-Direct 100k</t>
        </is>
      </c>
      <c r="G2102" s="17" t="n">
        <v>100000</v>
      </c>
      <c r="H2102" s="17" t="n">
        <v>9500</v>
      </c>
      <c r="I2102" s="17" t="n">
        <v>16343463.15</v>
      </c>
      <c r="J2102" s="13" t="inlineStr">
        <is>
          <t>10 % × 100,000 × split 95%</t>
        </is>
      </c>
    </row>
    <row r="2103">
      <c r="A2103" s="19" t="n">
        <v>2102</v>
      </c>
      <c r="B2103" s="20" t="n">
        <v>46604</v>
      </c>
      <c r="C2103" s="21" t="n">
        <v>11</v>
      </c>
      <c r="D2103" s="25" t="inlineStr">
        <is>
          <t>Payout</t>
        </is>
      </c>
      <c r="E2103" s="19" t="inlineStr">
        <is>
          <t>Funding Pips</t>
        </is>
      </c>
      <c r="F2103" s="19" t="inlineStr">
        <is>
          <t>#111 Instant-Direct 200k</t>
        </is>
      </c>
      <c r="G2103" s="22" t="n">
        <v>200000</v>
      </c>
      <c r="H2103" s="22" t="n">
        <v>20000</v>
      </c>
      <c r="I2103" s="22" t="n">
        <v>16363463.15</v>
      </c>
      <c r="J2103" s="19" t="inlineStr">
        <is>
          <t>10 % × 200,000 × split 100%</t>
        </is>
      </c>
    </row>
    <row r="2104">
      <c r="A2104" s="13" t="n">
        <v>2103</v>
      </c>
      <c r="B2104" s="14" t="n">
        <v>46604</v>
      </c>
      <c r="C2104" s="15" t="n">
        <v>11</v>
      </c>
      <c r="D2104" s="25" t="inlineStr">
        <is>
          <t>Payout</t>
        </is>
      </c>
      <c r="E2104" s="13" t="inlineStr">
        <is>
          <t>Funding Pips</t>
        </is>
      </c>
      <c r="F2104" s="13" t="inlineStr">
        <is>
          <t>#112 Instant-Direct 200k</t>
        </is>
      </c>
      <c r="G2104" s="17" t="n">
        <v>200000</v>
      </c>
      <c r="H2104" s="17" t="n">
        <v>20000</v>
      </c>
      <c r="I2104" s="17" t="n">
        <v>16383463.15</v>
      </c>
      <c r="J2104" s="13" t="inlineStr">
        <is>
          <t>10 % × 200,000 × split 100%</t>
        </is>
      </c>
    </row>
    <row r="2105">
      <c r="A2105" s="19" t="n">
        <v>2104</v>
      </c>
      <c r="B2105" s="20" t="n">
        <v>46604</v>
      </c>
      <c r="C2105" s="21" t="n">
        <v>11</v>
      </c>
      <c r="D2105" s="25" t="inlineStr">
        <is>
          <t>Payout</t>
        </is>
      </c>
      <c r="E2105" s="19" t="inlineStr">
        <is>
          <t>Global Forex Funds</t>
        </is>
      </c>
      <c r="F2105" s="19" t="inlineStr">
        <is>
          <t>#113 Instant-Direct 100k</t>
        </is>
      </c>
      <c r="G2105" s="22" t="n">
        <v>100000</v>
      </c>
      <c r="H2105" s="22" t="n">
        <v>9000</v>
      </c>
      <c r="I2105" s="22" t="n">
        <v>16392463.15</v>
      </c>
      <c r="J2105" s="19" t="inlineStr">
        <is>
          <t>10 % × 100,000 × split 90%</t>
        </is>
      </c>
    </row>
    <row r="2106">
      <c r="A2106" s="13" t="n">
        <v>2105</v>
      </c>
      <c r="B2106" s="14" t="n">
        <v>46604</v>
      </c>
      <c r="C2106" s="15" t="n">
        <v>11</v>
      </c>
      <c r="D2106" s="25" t="inlineStr">
        <is>
          <t>Payout</t>
        </is>
      </c>
      <c r="E2106" s="13" t="inlineStr">
        <is>
          <t>Goat Funded Trader</t>
        </is>
      </c>
      <c r="F2106" s="13" t="inlineStr">
        <is>
          <t>#114 Instant-Direct 100k</t>
        </is>
      </c>
      <c r="G2106" s="17" t="n">
        <v>100000</v>
      </c>
      <c r="H2106" s="17" t="n">
        <v>10000</v>
      </c>
      <c r="I2106" s="17" t="n">
        <v>16402463.15</v>
      </c>
      <c r="J2106" s="13" t="inlineStr">
        <is>
          <t>10 % × 100,000 × split 100%</t>
        </is>
      </c>
    </row>
    <row r="2107">
      <c r="A2107" s="19" t="n">
        <v>2106</v>
      </c>
      <c r="B2107" s="20" t="n">
        <v>46604</v>
      </c>
      <c r="C2107" s="21" t="n">
        <v>11</v>
      </c>
      <c r="D2107" s="25" t="inlineStr">
        <is>
          <t>Payout</t>
        </is>
      </c>
      <c r="E2107" s="19" t="inlineStr">
        <is>
          <t>Goat Funded Trader</t>
        </is>
      </c>
      <c r="F2107" s="19" t="inlineStr">
        <is>
          <t>#115 Instant-Direct 100k</t>
        </is>
      </c>
      <c r="G2107" s="22" t="n">
        <v>100000</v>
      </c>
      <c r="H2107" s="22" t="n">
        <v>10000</v>
      </c>
      <c r="I2107" s="22" t="n">
        <v>16412463.15</v>
      </c>
      <c r="J2107" s="19" t="inlineStr">
        <is>
          <t>10 % × 100,000 × split 100%</t>
        </is>
      </c>
    </row>
    <row r="2108">
      <c r="A2108" s="13" t="n">
        <v>2107</v>
      </c>
      <c r="B2108" s="14" t="n">
        <v>46604</v>
      </c>
      <c r="C2108" s="15" t="n">
        <v>11</v>
      </c>
      <c r="D2108" s="25" t="inlineStr">
        <is>
          <t>Payout</t>
        </is>
      </c>
      <c r="E2108" s="13" t="inlineStr">
        <is>
          <t>Goat Funded Trader</t>
        </is>
      </c>
      <c r="F2108" s="13" t="inlineStr">
        <is>
          <t>#116 Instant-Direct 100k</t>
        </is>
      </c>
      <c r="G2108" s="17" t="n">
        <v>100000</v>
      </c>
      <c r="H2108" s="17" t="n">
        <v>10000</v>
      </c>
      <c r="I2108" s="17" t="n">
        <v>16422463.15</v>
      </c>
      <c r="J2108" s="13" t="inlineStr">
        <is>
          <t>10 % × 100,000 × split 100%</t>
        </is>
      </c>
    </row>
    <row r="2109">
      <c r="A2109" s="19" t="n">
        <v>2108</v>
      </c>
      <c r="B2109" s="20" t="n">
        <v>46604</v>
      </c>
      <c r="C2109" s="21" t="n">
        <v>11</v>
      </c>
      <c r="D2109" s="25" t="inlineStr">
        <is>
          <t>Payout</t>
        </is>
      </c>
      <c r="E2109" s="19" t="inlineStr">
        <is>
          <t>Goat Funded Trader</t>
        </is>
      </c>
      <c r="F2109" s="19" t="inlineStr">
        <is>
          <t>#117 Instant-Direct 100k</t>
        </is>
      </c>
      <c r="G2109" s="22" t="n">
        <v>100000</v>
      </c>
      <c r="H2109" s="22" t="n">
        <v>10000</v>
      </c>
      <c r="I2109" s="22" t="n">
        <v>16432463.15</v>
      </c>
      <c r="J2109" s="19" t="inlineStr">
        <is>
          <t>10 % × 100,000 × split 100%</t>
        </is>
      </c>
    </row>
    <row r="2110">
      <c r="A2110" s="13" t="n">
        <v>2109</v>
      </c>
      <c r="B2110" s="14" t="n">
        <v>46604</v>
      </c>
      <c r="C2110" s="15" t="n">
        <v>11</v>
      </c>
      <c r="D2110" s="25" t="inlineStr">
        <is>
          <t>Payout</t>
        </is>
      </c>
      <c r="E2110" s="13" t="inlineStr">
        <is>
          <t>FundedVerse</t>
        </is>
      </c>
      <c r="F2110" s="13" t="inlineStr">
        <is>
          <t>#118 Instant-Direct 50k</t>
        </is>
      </c>
      <c r="G2110" s="17" t="n">
        <v>50000</v>
      </c>
      <c r="H2110" s="17" t="n">
        <v>4000</v>
      </c>
      <c r="I2110" s="17" t="n">
        <v>16436463.15</v>
      </c>
      <c r="J2110" s="13" t="inlineStr">
        <is>
          <t>10 % × 50,000 × split 80%</t>
        </is>
      </c>
    </row>
    <row r="2111">
      <c r="A2111" s="19" t="n">
        <v>2110</v>
      </c>
      <c r="B2111" s="20" t="n">
        <v>46604</v>
      </c>
      <c r="C2111" s="21" t="n">
        <v>11</v>
      </c>
      <c r="D2111" s="25" t="inlineStr">
        <is>
          <t>Payout</t>
        </is>
      </c>
      <c r="E2111" s="19" t="inlineStr">
        <is>
          <t>FundedVerse</t>
        </is>
      </c>
      <c r="F2111" s="19" t="inlineStr">
        <is>
          <t>#119 Instant-Direct 50k</t>
        </is>
      </c>
      <c r="G2111" s="22" t="n">
        <v>50000</v>
      </c>
      <c r="H2111" s="22" t="n">
        <v>4000</v>
      </c>
      <c r="I2111" s="22" t="n">
        <v>16440463.15</v>
      </c>
      <c r="J2111" s="19" t="inlineStr">
        <is>
          <t>10 % × 50,000 × split 80%</t>
        </is>
      </c>
    </row>
    <row r="2112">
      <c r="A2112" s="13" t="n">
        <v>2111</v>
      </c>
      <c r="B2112" s="14" t="n">
        <v>46604</v>
      </c>
      <c r="C2112" s="15" t="n">
        <v>11</v>
      </c>
      <c r="D2112" s="25" t="inlineStr">
        <is>
          <t>Payout</t>
        </is>
      </c>
      <c r="E2112" s="13" t="inlineStr">
        <is>
          <t>FundedVerse</t>
        </is>
      </c>
      <c r="F2112" s="13" t="inlineStr">
        <is>
          <t>#120 Instant-Direct 50k</t>
        </is>
      </c>
      <c r="G2112" s="17" t="n">
        <v>50000</v>
      </c>
      <c r="H2112" s="17" t="n">
        <v>4000</v>
      </c>
      <c r="I2112" s="17" t="n">
        <v>16444463.15</v>
      </c>
      <c r="J2112" s="13" t="inlineStr">
        <is>
          <t>10 % × 50,000 × split 80%</t>
        </is>
      </c>
    </row>
    <row r="2113">
      <c r="A2113" s="19" t="n">
        <v>2112</v>
      </c>
      <c r="B2113" s="20" t="n">
        <v>46604</v>
      </c>
      <c r="C2113" s="21" t="n">
        <v>11</v>
      </c>
      <c r="D2113" s="25" t="inlineStr">
        <is>
          <t>Payout</t>
        </is>
      </c>
      <c r="E2113" s="19" t="inlineStr">
        <is>
          <t>FundedVerse</t>
        </is>
      </c>
      <c r="F2113" s="19" t="inlineStr">
        <is>
          <t>#121 Instant-Direct 50k</t>
        </is>
      </c>
      <c r="G2113" s="22" t="n">
        <v>50000</v>
      </c>
      <c r="H2113" s="22" t="n">
        <v>4000</v>
      </c>
      <c r="I2113" s="22" t="n">
        <v>16448463.15</v>
      </c>
      <c r="J2113" s="19" t="inlineStr">
        <is>
          <t>10 % × 50,000 × split 80%</t>
        </is>
      </c>
    </row>
    <row r="2114">
      <c r="A2114" s="13" t="n">
        <v>2113</v>
      </c>
      <c r="B2114" s="14" t="n">
        <v>46604</v>
      </c>
      <c r="C2114" s="15" t="n">
        <v>11</v>
      </c>
      <c r="D2114" s="25" t="inlineStr">
        <is>
          <t>Payout</t>
        </is>
      </c>
      <c r="E2114" s="13" t="inlineStr">
        <is>
          <t>FundedVerse</t>
        </is>
      </c>
      <c r="F2114" s="13" t="inlineStr">
        <is>
          <t>#122 Instant-Direct 50k</t>
        </is>
      </c>
      <c r="G2114" s="17" t="n">
        <v>50000</v>
      </c>
      <c r="H2114" s="17" t="n">
        <v>4000</v>
      </c>
      <c r="I2114" s="17" t="n">
        <v>16452463.15</v>
      </c>
      <c r="J2114" s="13" t="inlineStr">
        <is>
          <t>10 % × 50,000 × split 80%</t>
        </is>
      </c>
    </row>
    <row r="2115">
      <c r="A2115" s="19" t="n">
        <v>2114</v>
      </c>
      <c r="B2115" s="20" t="n">
        <v>46604</v>
      </c>
      <c r="C2115" s="21" t="n">
        <v>11</v>
      </c>
      <c r="D2115" s="25" t="inlineStr">
        <is>
          <t>Payout</t>
        </is>
      </c>
      <c r="E2115" s="19" t="inlineStr">
        <is>
          <t>FundedVerse</t>
        </is>
      </c>
      <c r="F2115" s="19" t="inlineStr">
        <is>
          <t>#123 Instant-Direct 50k</t>
        </is>
      </c>
      <c r="G2115" s="22" t="n">
        <v>50000</v>
      </c>
      <c r="H2115" s="22" t="n">
        <v>4000</v>
      </c>
      <c r="I2115" s="22" t="n">
        <v>16456463.15</v>
      </c>
      <c r="J2115" s="19" t="inlineStr">
        <is>
          <t>10 % × 50,000 × split 80%</t>
        </is>
      </c>
    </row>
    <row r="2116">
      <c r="A2116" s="13" t="n">
        <v>2115</v>
      </c>
      <c r="B2116" s="14" t="n">
        <v>46604</v>
      </c>
      <c r="C2116" s="15" t="n">
        <v>11</v>
      </c>
      <c r="D2116" s="25" t="inlineStr">
        <is>
          <t>Payout</t>
        </is>
      </c>
      <c r="E2116" s="13" t="inlineStr">
        <is>
          <t>Lark Funding</t>
        </is>
      </c>
      <c r="F2116" s="13" t="inlineStr">
        <is>
          <t>#124 Instant-Direct 100k</t>
        </is>
      </c>
      <c r="G2116" s="17" t="n">
        <v>100000</v>
      </c>
      <c r="H2116" s="17" t="n">
        <v>8000</v>
      </c>
      <c r="I2116" s="17" t="n">
        <v>16464463.15</v>
      </c>
      <c r="J2116" s="13" t="inlineStr">
        <is>
          <t>10 % × 100,000 × split 80%</t>
        </is>
      </c>
    </row>
    <row r="2117">
      <c r="A2117" s="19" t="n">
        <v>2116</v>
      </c>
      <c r="B2117" s="20" t="n">
        <v>46604</v>
      </c>
      <c r="C2117" s="21" t="n">
        <v>11</v>
      </c>
      <c r="D2117" s="25" t="inlineStr">
        <is>
          <t>Payout</t>
        </is>
      </c>
      <c r="E2117" s="19" t="inlineStr">
        <is>
          <t>Lark Funding</t>
        </is>
      </c>
      <c r="F2117" s="19" t="inlineStr">
        <is>
          <t>#125 Instant-Direct 100k</t>
        </is>
      </c>
      <c r="G2117" s="22" t="n">
        <v>100000</v>
      </c>
      <c r="H2117" s="22" t="n">
        <v>8000</v>
      </c>
      <c r="I2117" s="22" t="n">
        <v>16472463.15</v>
      </c>
      <c r="J2117" s="19" t="inlineStr">
        <is>
          <t>10 % × 100,000 × split 80%</t>
        </is>
      </c>
    </row>
    <row r="2118">
      <c r="A2118" s="13" t="n">
        <v>2117</v>
      </c>
      <c r="B2118" s="14" t="n">
        <v>46604</v>
      </c>
      <c r="C2118" s="15" t="n">
        <v>11</v>
      </c>
      <c r="D2118" s="25" t="inlineStr">
        <is>
          <t>Payout</t>
        </is>
      </c>
      <c r="E2118" s="13" t="inlineStr">
        <is>
          <t>Lark Funding</t>
        </is>
      </c>
      <c r="F2118" s="13" t="inlineStr">
        <is>
          <t>#126 Instant-Direct 100k</t>
        </is>
      </c>
      <c r="G2118" s="17" t="n">
        <v>100000</v>
      </c>
      <c r="H2118" s="17" t="n">
        <v>8000</v>
      </c>
      <c r="I2118" s="17" t="n">
        <v>16480463.15</v>
      </c>
      <c r="J2118" s="13" t="inlineStr">
        <is>
          <t>10 % × 100,000 × split 80%</t>
        </is>
      </c>
    </row>
    <row r="2119">
      <c r="A2119" s="19" t="n">
        <v>2118</v>
      </c>
      <c r="B2119" s="20" t="n">
        <v>46604</v>
      </c>
      <c r="C2119" s="21" t="n">
        <v>11</v>
      </c>
      <c r="D2119" s="25" t="inlineStr">
        <is>
          <t>Payout</t>
        </is>
      </c>
      <c r="E2119" s="19" t="inlineStr">
        <is>
          <t>Mockapital</t>
        </is>
      </c>
      <c r="F2119" s="19" t="inlineStr">
        <is>
          <t>#127 Instant-Direct 50k</t>
        </is>
      </c>
      <c r="G2119" s="22" t="n">
        <v>50000</v>
      </c>
      <c r="H2119" s="22" t="n">
        <v>4000</v>
      </c>
      <c r="I2119" s="22" t="n">
        <v>16484463.15</v>
      </c>
      <c r="J2119" s="19" t="inlineStr">
        <is>
          <t>10 % × 50,000 × split 80%</t>
        </is>
      </c>
    </row>
    <row r="2120">
      <c r="A2120" s="13" t="n">
        <v>2119</v>
      </c>
      <c r="B2120" s="14" t="n">
        <v>46604</v>
      </c>
      <c r="C2120" s="15" t="n">
        <v>11</v>
      </c>
      <c r="D2120" s="25" t="inlineStr">
        <is>
          <t>Payout</t>
        </is>
      </c>
      <c r="E2120" s="13" t="inlineStr">
        <is>
          <t>Mockapital</t>
        </is>
      </c>
      <c r="F2120" s="13" t="inlineStr">
        <is>
          <t>#128 Instant-Direct 50k</t>
        </is>
      </c>
      <c r="G2120" s="17" t="n">
        <v>50000</v>
      </c>
      <c r="H2120" s="17" t="n">
        <v>4000</v>
      </c>
      <c r="I2120" s="17" t="n">
        <v>16488463.15</v>
      </c>
      <c r="J2120" s="13" t="inlineStr">
        <is>
          <t>10 % × 50,000 × split 80%</t>
        </is>
      </c>
    </row>
    <row r="2121">
      <c r="A2121" s="19" t="n">
        <v>2120</v>
      </c>
      <c r="B2121" s="20" t="n">
        <v>46604</v>
      </c>
      <c r="C2121" s="21" t="n">
        <v>11</v>
      </c>
      <c r="D2121" s="25" t="inlineStr">
        <is>
          <t>Payout</t>
        </is>
      </c>
      <c r="E2121" s="19" t="inlineStr">
        <is>
          <t>Mockapital</t>
        </is>
      </c>
      <c r="F2121" s="19" t="inlineStr">
        <is>
          <t>#129 Instant-Direct 50k</t>
        </is>
      </c>
      <c r="G2121" s="22" t="n">
        <v>50000</v>
      </c>
      <c r="H2121" s="22" t="n">
        <v>4000</v>
      </c>
      <c r="I2121" s="22" t="n">
        <v>16492463.15</v>
      </c>
      <c r="J2121" s="19" t="inlineStr">
        <is>
          <t>10 % × 50,000 × split 80%</t>
        </is>
      </c>
    </row>
    <row r="2122">
      <c r="A2122" s="13" t="n">
        <v>2121</v>
      </c>
      <c r="B2122" s="14" t="n">
        <v>46604</v>
      </c>
      <c r="C2122" s="15" t="n">
        <v>11</v>
      </c>
      <c r="D2122" s="25" t="inlineStr">
        <is>
          <t>Payout</t>
        </is>
      </c>
      <c r="E2122" s="13" t="inlineStr">
        <is>
          <t>Mockapital</t>
        </is>
      </c>
      <c r="F2122" s="13" t="inlineStr">
        <is>
          <t>#130 Instant-Direct 50k</t>
        </is>
      </c>
      <c r="G2122" s="17" t="n">
        <v>50000</v>
      </c>
      <c r="H2122" s="17" t="n">
        <v>4000</v>
      </c>
      <c r="I2122" s="17" t="n">
        <v>16496463.15</v>
      </c>
      <c r="J2122" s="13" t="inlineStr">
        <is>
          <t>10 % × 50,000 × split 80%</t>
        </is>
      </c>
    </row>
    <row r="2123">
      <c r="A2123" s="19" t="n">
        <v>2122</v>
      </c>
      <c r="B2123" s="20" t="n">
        <v>46604</v>
      </c>
      <c r="C2123" s="21" t="n">
        <v>11</v>
      </c>
      <c r="D2123" s="25" t="inlineStr">
        <is>
          <t>Payout</t>
        </is>
      </c>
      <c r="E2123" s="19" t="inlineStr">
        <is>
          <t>Mockapital</t>
        </is>
      </c>
      <c r="F2123" s="19" t="inlineStr">
        <is>
          <t>#131 Instant-Direct 50k</t>
        </is>
      </c>
      <c r="G2123" s="22" t="n">
        <v>50000</v>
      </c>
      <c r="H2123" s="22" t="n">
        <v>4000</v>
      </c>
      <c r="I2123" s="22" t="n">
        <v>16500463.15</v>
      </c>
      <c r="J2123" s="19" t="inlineStr">
        <is>
          <t>10 % × 50,000 × split 80%</t>
        </is>
      </c>
    </row>
    <row r="2124">
      <c r="A2124" s="13" t="n">
        <v>2123</v>
      </c>
      <c r="B2124" s="14" t="n">
        <v>46604</v>
      </c>
      <c r="C2124" s="15" t="n">
        <v>11</v>
      </c>
      <c r="D2124" s="25" t="inlineStr">
        <is>
          <t>Payout</t>
        </is>
      </c>
      <c r="E2124" s="13" t="inlineStr">
        <is>
          <t>Mockapital</t>
        </is>
      </c>
      <c r="F2124" s="13" t="inlineStr">
        <is>
          <t>#132 Instant-Direct 50k</t>
        </is>
      </c>
      <c r="G2124" s="17" t="n">
        <v>50000</v>
      </c>
      <c r="H2124" s="17" t="n">
        <v>4000</v>
      </c>
      <c r="I2124" s="17" t="n">
        <v>16504463.15</v>
      </c>
      <c r="J2124" s="13" t="inlineStr">
        <is>
          <t>10 % × 50,000 × split 80%</t>
        </is>
      </c>
    </row>
    <row r="2125">
      <c r="A2125" s="19" t="n">
        <v>2124</v>
      </c>
      <c r="B2125" s="20" t="n">
        <v>46604</v>
      </c>
      <c r="C2125" s="21" t="n">
        <v>11</v>
      </c>
      <c r="D2125" s="25" t="inlineStr">
        <is>
          <t>Payout</t>
        </is>
      </c>
      <c r="E2125" s="19" t="inlineStr">
        <is>
          <t>Myfundedcapital</t>
        </is>
      </c>
      <c r="F2125" s="19" t="inlineStr">
        <is>
          <t>#133 Instant-Direct 80k</t>
        </is>
      </c>
      <c r="G2125" s="22" t="n">
        <v>80000</v>
      </c>
      <c r="H2125" s="22" t="n">
        <v>6400</v>
      </c>
      <c r="I2125" s="22" t="n">
        <v>16510863.15</v>
      </c>
      <c r="J2125" s="19" t="inlineStr">
        <is>
          <t>10 % × 80,000 × split 80%</t>
        </is>
      </c>
    </row>
    <row r="2126">
      <c r="A2126" s="13" t="n">
        <v>2125</v>
      </c>
      <c r="B2126" s="14" t="n">
        <v>46604</v>
      </c>
      <c r="C2126" s="15" t="n">
        <v>11</v>
      </c>
      <c r="D2126" s="25" t="inlineStr">
        <is>
          <t>Payout</t>
        </is>
      </c>
      <c r="E2126" s="13" t="inlineStr">
        <is>
          <t>Myfundedcapital</t>
        </is>
      </c>
      <c r="F2126" s="13" t="inlineStr">
        <is>
          <t>#134 Instant-Direct 80k</t>
        </is>
      </c>
      <c r="G2126" s="17" t="n">
        <v>80000</v>
      </c>
      <c r="H2126" s="17" t="n">
        <v>6400</v>
      </c>
      <c r="I2126" s="17" t="n">
        <v>16517263.15</v>
      </c>
      <c r="J2126" s="13" t="inlineStr">
        <is>
          <t>10 % × 80,000 × split 80%</t>
        </is>
      </c>
    </row>
    <row r="2127">
      <c r="A2127" s="19" t="n">
        <v>2126</v>
      </c>
      <c r="B2127" s="20" t="n">
        <v>46604</v>
      </c>
      <c r="C2127" s="21" t="n">
        <v>11</v>
      </c>
      <c r="D2127" s="25" t="inlineStr">
        <is>
          <t>Payout</t>
        </is>
      </c>
      <c r="E2127" s="19" t="inlineStr">
        <is>
          <t>Myfundedcapital</t>
        </is>
      </c>
      <c r="F2127" s="19" t="inlineStr">
        <is>
          <t>#135 Instant-Direct 80k</t>
        </is>
      </c>
      <c r="G2127" s="22" t="n">
        <v>80000</v>
      </c>
      <c r="H2127" s="22" t="n">
        <v>6400</v>
      </c>
      <c r="I2127" s="22" t="n">
        <v>16523663.15</v>
      </c>
      <c r="J2127" s="19" t="inlineStr">
        <is>
          <t>10 % × 80,000 × split 80%</t>
        </is>
      </c>
    </row>
    <row r="2128">
      <c r="A2128" s="13" t="n">
        <v>2127</v>
      </c>
      <c r="B2128" s="14" t="n">
        <v>46604</v>
      </c>
      <c r="C2128" s="15" t="n">
        <v>11</v>
      </c>
      <c r="D2128" s="25" t="inlineStr">
        <is>
          <t>Payout</t>
        </is>
      </c>
      <c r="E2128" s="13" t="inlineStr">
        <is>
          <t>City Traders Imperium</t>
        </is>
      </c>
      <c r="F2128" s="13" t="inlineStr">
        <is>
          <t>#136 Instant-Direct 80k</t>
        </is>
      </c>
      <c r="G2128" s="17" t="n">
        <v>80000</v>
      </c>
      <c r="H2128" s="17" t="n">
        <v>7200</v>
      </c>
      <c r="I2128" s="17" t="n">
        <v>16530863.15</v>
      </c>
      <c r="J2128" s="13" t="inlineStr">
        <is>
          <t>10 % × 80,000 × split 90%</t>
        </is>
      </c>
    </row>
    <row r="2129">
      <c r="A2129" s="19" t="n">
        <v>2128</v>
      </c>
      <c r="B2129" s="20" t="n">
        <v>46604</v>
      </c>
      <c r="C2129" s="21" t="n">
        <v>11</v>
      </c>
      <c r="D2129" s="25" t="inlineStr">
        <is>
          <t>Payout</t>
        </is>
      </c>
      <c r="E2129" s="19" t="inlineStr">
        <is>
          <t>City Traders Imperium</t>
        </is>
      </c>
      <c r="F2129" s="19" t="inlineStr">
        <is>
          <t>#137 Instant-Direct 80k</t>
        </is>
      </c>
      <c r="G2129" s="22" t="n">
        <v>80000</v>
      </c>
      <c r="H2129" s="22" t="n">
        <v>7200</v>
      </c>
      <c r="I2129" s="22" t="n">
        <v>16538063.15</v>
      </c>
      <c r="J2129" s="19" t="inlineStr">
        <is>
          <t>10 % × 80,000 × split 90%</t>
        </is>
      </c>
    </row>
    <row r="2130">
      <c r="A2130" s="13" t="n">
        <v>2129</v>
      </c>
      <c r="B2130" s="14" t="n">
        <v>46604</v>
      </c>
      <c r="C2130" s="15" t="n">
        <v>11</v>
      </c>
      <c r="D2130" s="25" t="inlineStr">
        <is>
          <t>Payout</t>
        </is>
      </c>
      <c r="E2130" s="13" t="inlineStr">
        <is>
          <t>FTUK</t>
        </is>
      </c>
      <c r="F2130" s="13" t="inlineStr">
        <is>
          <t>#138 Instant-Direct 100k</t>
        </is>
      </c>
      <c r="G2130" s="17" t="n">
        <v>100000</v>
      </c>
      <c r="H2130" s="17" t="n">
        <v>8000</v>
      </c>
      <c r="I2130" s="17" t="n">
        <v>16546063.15</v>
      </c>
      <c r="J2130" s="13" t="inlineStr">
        <is>
          <t>10 % × 100,000 × split 80%</t>
        </is>
      </c>
    </row>
    <row r="2131">
      <c r="A2131" s="19" t="n">
        <v>2130</v>
      </c>
      <c r="B2131" s="20" t="n">
        <v>46604</v>
      </c>
      <c r="C2131" s="21" t="n">
        <v>11</v>
      </c>
      <c r="D2131" s="25" t="inlineStr">
        <is>
          <t>Payout</t>
        </is>
      </c>
      <c r="E2131" s="19" t="inlineStr">
        <is>
          <t>Funded Friday</t>
        </is>
      </c>
      <c r="F2131" s="19" t="inlineStr">
        <is>
          <t>#139 Instant-Direct 200k</t>
        </is>
      </c>
      <c r="G2131" s="22" t="n">
        <v>200000</v>
      </c>
      <c r="H2131" s="22" t="n">
        <v>16000</v>
      </c>
      <c r="I2131" s="22" t="n">
        <v>16562063.15</v>
      </c>
      <c r="J2131" s="19" t="inlineStr">
        <is>
          <t>10 % × 200,000 × split 80%</t>
        </is>
      </c>
    </row>
    <row r="2132">
      <c r="A2132" s="13" t="n">
        <v>2131</v>
      </c>
      <c r="B2132" s="14" t="n">
        <v>46604</v>
      </c>
      <c r="C2132" s="15" t="n">
        <v>11</v>
      </c>
      <c r="D2132" s="25" t="inlineStr">
        <is>
          <t>Payout</t>
        </is>
      </c>
      <c r="E2132" s="13" t="inlineStr">
        <is>
          <t>Funded Trading Plus</t>
        </is>
      </c>
      <c r="F2132" s="13" t="inlineStr">
        <is>
          <t>#140 Instant-Direct 100k</t>
        </is>
      </c>
      <c r="G2132" s="17" t="n">
        <v>100000</v>
      </c>
      <c r="H2132" s="17" t="n">
        <v>8000</v>
      </c>
      <c r="I2132" s="17" t="n">
        <v>16570063.15</v>
      </c>
      <c r="J2132" s="13" t="inlineStr">
        <is>
          <t>10 % × 100,000 × split 80%</t>
        </is>
      </c>
    </row>
    <row r="2133">
      <c r="A2133" s="19" t="n">
        <v>2132</v>
      </c>
      <c r="B2133" s="20" t="n">
        <v>46604</v>
      </c>
      <c r="C2133" s="21" t="n">
        <v>11</v>
      </c>
      <c r="D2133" s="25" t="inlineStr">
        <is>
          <t>Payout</t>
        </is>
      </c>
      <c r="E2133" s="19" t="inlineStr">
        <is>
          <t>Funding Dynasty</t>
        </is>
      </c>
      <c r="F2133" s="19" t="inlineStr">
        <is>
          <t>#141 Instant-Direct 200k</t>
        </is>
      </c>
      <c r="G2133" s="22" t="n">
        <v>200000</v>
      </c>
      <c r="H2133" s="22" t="n">
        <v>16000</v>
      </c>
      <c r="I2133" s="22" t="n">
        <v>16586063.15</v>
      </c>
      <c r="J2133" s="19" t="inlineStr">
        <is>
          <t>10 % × 200,000 × split 80%</t>
        </is>
      </c>
    </row>
    <row r="2134">
      <c r="A2134" s="13" t="n">
        <v>2133</v>
      </c>
      <c r="B2134" s="14" t="n">
        <v>46604</v>
      </c>
      <c r="C2134" s="15" t="n">
        <v>11</v>
      </c>
      <c r="D2134" s="25" t="inlineStr">
        <is>
          <t>Payout</t>
        </is>
      </c>
      <c r="E2134" s="13" t="inlineStr">
        <is>
          <t>Funding Frontier</t>
        </is>
      </c>
      <c r="F2134" s="13" t="inlineStr">
        <is>
          <t>#142 Instant-Direct 50k</t>
        </is>
      </c>
      <c r="G2134" s="17" t="n">
        <v>50000</v>
      </c>
      <c r="H2134" s="17" t="n">
        <v>4000</v>
      </c>
      <c r="I2134" s="17" t="n">
        <v>16590063.15</v>
      </c>
      <c r="J2134" s="13" t="inlineStr">
        <is>
          <t>10 % × 50,000 × split 80%</t>
        </is>
      </c>
    </row>
    <row r="2135">
      <c r="A2135" s="19" t="n">
        <v>2134</v>
      </c>
      <c r="B2135" s="20" t="n">
        <v>46604</v>
      </c>
      <c r="C2135" s="21" t="n">
        <v>11</v>
      </c>
      <c r="D2135" s="25" t="inlineStr">
        <is>
          <t>Payout</t>
        </is>
      </c>
      <c r="E2135" s="19" t="inlineStr">
        <is>
          <t>FundYourFX</t>
        </is>
      </c>
      <c r="F2135" s="19" t="inlineStr">
        <is>
          <t>#143 Instant-Direct 200k</t>
        </is>
      </c>
      <c r="G2135" s="22" t="n">
        <v>200000</v>
      </c>
      <c r="H2135" s="22" t="n">
        <v>19000</v>
      </c>
      <c r="I2135" s="22" t="n">
        <v>16609063.15</v>
      </c>
      <c r="J2135" s="19" t="inlineStr">
        <is>
          <t>10 % × 200,000 × split 95%</t>
        </is>
      </c>
    </row>
    <row r="2136">
      <c r="A2136" s="13" t="n">
        <v>2135</v>
      </c>
      <c r="B2136" s="14" t="n">
        <v>46604</v>
      </c>
      <c r="C2136" s="15" t="n">
        <v>11</v>
      </c>
      <c r="D2136" s="25" t="inlineStr">
        <is>
          <t>Payout</t>
        </is>
      </c>
      <c r="E2136" s="13" t="inlineStr">
        <is>
          <t>Hex Funded</t>
        </is>
      </c>
      <c r="F2136" s="13" t="inlineStr">
        <is>
          <t>#144 Instant-Direct 100k</t>
        </is>
      </c>
      <c r="G2136" s="17" t="n">
        <v>100000</v>
      </c>
      <c r="H2136" s="17" t="n">
        <v>9000</v>
      </c>
      <c r="I2136" s="17" t="n">
        <v>16618063.15</v>
      </c>
      <c r="J2136" s="13" t="inlineStr">
        <is>
          <t>10 % × 100,000 × split 90%</t>
        </is>
      </c>
    </row>
    <row r="2137">
      <c r="A2137" s="19" t="n">
        <v>2136</v>
      </c>
      <c r="B2137" s="20" t="n">
        <v>46604</v>
      </c>
      <c r="C2137" s="21" t="n">
        <v>11</v>
      </c>
      <c r="D2137" s="25" t="inlineStr">
        <is>
          <t>Payout</t>
        </is>
      </c>
      <c r="E2137" s="19" t="inlineStr">
        <is>
          <t>FundingRock</t>
        </is>
      </c>
      <c r="F2137" s="19" t="inlineStr">
        <is>
          <t>#145 Instant-Direct 100k</t>
        </is>
      </c>
      <c r="G2137" s="22" t="n">
        <v>100000</v>
      </c>
      <c r="H2137" s="22" t="n">
        <v>8000</v>
      </c>
      <c r="I2137" s="22" t="n">
        <v>16626063.15</v>
      </c>
      <c r="J2137" s="19" t="inlineStr">
        <is>
          <t>10 % × 100,000 × split 80%</t>
        </is>
      </c>
    </row>
    <row r="2138">
      <c r="A2138" s="13" t="n">
        <v>2137</v>
      </c>
      <c r="B2138" s="14" t="n">
        <v>46604</v>
      </c>
      <c r="C2138" s="15" t="n">
        <v>11</v>
      </c>
      <c r="D2138" s="25" t="inlineStr">
        <is>
          <t>Payout</t>
        </is>
      </c>
      <c r="E2138" s="13" t="inlineStr">
        <is>
          <t>LegionFunding</t>
        </is>
      </c>
      <c r="F2138" s="13" t="inlineStr">
        <is>
          <t>#146 Instant-Direct 100k</t>
        </is>
      </c>
      <c r="G2138" s="17" t="n">
        <v>100000</v>
      </c>
      <c r="H2138" s="17" t="n">
        <v>8000</v>
      </c>
      <c r="I2138" s="17" t="n">
        <v>16634063.15</v>
      </c>
      <c r="J2138" s="13" t="inlineStr">
        <is>
          <t>10 % × 100,000 × split 80%</t>
        </is>
      </c>
    </row>
    <row r="2139">
      <c r="A2139" s="19" t="n">
        <v>2138</v>
      </c>
      <c r="B2139" s="20" t="n">
        <v>46604</v>
      </c>
      <c r="C2139" s="21" t="n">
        <v>11</v>
      </c>
      <c r="D2139" s="25" t="inlineStr">
        <is>
          <t>Payout</t>
        </is>
      </c>
      <c r="E2139" s="19" t="inlineStr">
        <is>
          <t>MasterFunders</t>
        </is>
      </c>
      <c r="F2139" s="19" t="inlineStr">
        <is>
          <t>#147 Instant-Direct 100k</t>
        </is>
      </c>
      <c r="G2139" s="22" t="n">
        <v>100000</v>
      </c>
      <c r="H2139" s="22" t="n">
        <v>8000</v>
      </c>
      <c r="I2139" s="22" t="n">
        <v>16642063.15</v>
      </c>
      <c r="J2139" s="19" t="inlineStr">
        <is>
          <t>10 % × 100,000 × split 80%</t>
        </is>
      </c>
    </row>
    <row r="2140">
      <c r="A2140" s="13" t="n">
        <v>2139</v>
      </c>
      <c r="B2140" s="14" t="n">
        <v>46604</v>
      </c>
      <c r="C2140" s="15" t="n">
        <v>11</v>
      </c>
      <c r="D2140" s="25" t="inlineStr">
        <is>
          <t>Payout</t>
        </is>
      </c>
      <c r="E2140" s="13" t="inlineStr">
        <is>
          <t>BloomFunded</t>
        </is>
      </c>
      <c r="F2140" s="13" t="inlineStr">
        <is>
          <t>#148 Instant-Direct 50k</t>
        </is>
      </c>
      <c r="G2140" s="17" t="n">
        <v>50000</v>
      </c>
      <c r="H2140" s="17" t="n">
        <v>4500</v>
      </c>
      <c r="I2140" s="17" t="n">
        <v>16646563.15</v>
      </c>
      <c r="J2140" s="13" t="inlineStr">
        <is>
          <t>10 % × 50,000 × split 90%</t>
        </is>
      </c>
    </row>
    <row r="2141">
      <c r="A2141" s="19" t="n">
        <v>2140</v>
      </c>
      <c r="B2141" s="20" t="n">
        <v>46604</v>
      </c>
      <c r="C2141" s="21" t="n">
        <v>11</v>
      </c>
      <c r="D2141" s="25" t="inlineStr">
        <is>
          <t>Payout</t>
        </is>
      </c>
      <c r="E2141" s="19" t="inlineStr">
        <is>
          <t>Finotive Futures</t>
        </is>
      </c>
      <c r="F2141" s="19" t="inlineStr">
        <is>
          <t>#153 1 Step 150k</t>
        </is>
      </c>
      <c r="G2141" s="22" t="n">
        <v>150000</v>
      </c>
      <c r="H2141" s="22" t="n">
        <v>13500</v>
      </c>
      <c r="I2141" s="22" t="n">
        <v>16660063.15</v>
      </c>
      <c r="J2141" s="19" t="inlineStr">
        <is>
          <t>10 % × 150,000 × split 90%</t>
        </is>
      </c>
    </row>
    <row r="2142">
      <c r="A2142" s="13" t="n">
        <v>2141</v>
      </c>
      <c r="B2142" s="14" t="n">
        <v>46604</v>
      </c>
      <c r="C2142" s="15" t="n">
        <v>11</v>
      </c>
      <c r="D2142" s="25" t="inlineStr">
        <is>
          <t>Payout</t>
        </is>
      </c>
      <c r="E2142" s="13" t="inlineStr">
        <is>
          <t>Finotive Futures</t>
        </is>
      </c>
      <c r="F2142" s="13" t="inlineStr">
        <is>
          <t>#154 1 Step 150k</t>
        </is>
      </c>
      <c r="G2142" s="17" t="n">
        <v>150000</v>
      </c>
      <c r="H2142" s="17" t="n">
        <v>13500</v>
      </c>
      <c r="I2142" s="17" t="n">
        <v>16673563.15</v>
      </c>
      <c r="J2142" s="13" t="inlineStr">
        <is>
          <t>10 % × 150,000 × split 90%</t>
        </is>
      </c>
    </row>
    <row r="2143">
      <c r="A2143" s="19" t="n">
        <v>2142</v>
      </c>
      <c r="B2143" s="20" t="n">
        <v>46604</v>
      </c>
      <c r="C2143" s="21" t="n">
        <v>11</v>
      </c>
      <c r="D2143" s="25" t="inlineStr">
        <is>
          <t>Payout</t>
        </is>
      </c>
      <c r="E2143" s="19" t="inlineStr">
        <is>
          <t>Finotive Futures</t>
        </is>
      </c>
      <c r="F2143" s="19" t="inlineStr">
        <is>
          <t>#155 1 Step 150k</t>
        </is>
      </c>
      <c r="G2143" s="22" t="n">
        <v>150000</v>
      </c>
      <c r="H2143" s="22" t="n">
        <v>13500</v>
      </c>
      <c r="I2143" s="22" t="n">
        <v>16687063.15</v>
      </c>
      <c r="J2143" s="19" t="inlineStr">
        <is>
          <t>10 % × 150,000 × split 90%</t>
        </is>
      </c>
    </row>
    <row r="2144">
      <c r="A2144" s="13" t="n">
        <v>2143</v>
      </c>
      <c r="B2144" s="14" t="n">
        <v>46604</v>
      </c>
      <c r="C2144" s="15" t="n">
        <v>11</v>
      </c>
      <c r="D2144" s="25" t="inlineStr">
        <is>
          <t>Payout</t>
        </is>
      </c>
      <c r="E2144" s="13" t="inlineStr">
        <is>
          <t>Finotive Futures</t>
        </is>
      </c>
      <c r="F2144" s="13" t="inlineStr">
        <is>
          <t>#156 1 Step 150k</t>
        </is>
      </c>
      <c r="G2144" s="17" t="n">
        <v>150000</v>
      </c>
      <c r="H2144" s="17" t="n">
        <v>13500</v>
      </c>
      <c r="I2144" s="17" t="n">
        <v>16700563.15</v>
      </c>
      <c r="J2144" s="13" t="inlineStr">
        <is>
          <t>10 % × 150,000 × split 90%</t>
        </is>
      </c>
    </row>
    <row r="2145">
      <c r="A2145" s="19" t="n">
        <v>2144</v>
      </c>
      <c r="B2145" s="20" t="n">
        <v>46604</v>
      </c>
      <c r="C2145" s="21" t="n">
        <v>11</v>
      </c>
      <c r="D2145" s="25" t="inlineStr">
        <is>
          <t>Payout</t>
        </is>
      </c>
      <c r="E2145" s="19" t="inlineStr">
        <is>
          <t>Finotive Futures</t>
        </is>
      </c>
      <c r="F2145" s="19" t="inlineStr">
        <is>
          <t>#157 1 Step 150k</t>
        </is>
      </c>
      <c r="G2145" s="22" t="n">
        <v>150000</v>
      </c>
      <c r="H2145" s="22" t="n">
        <v>13500</v>
      </c>
      <c r="I2145" s="22" t="n">
        <v>16714063.15</v>
      </c>
      <c r="J2145" s="19" t="inlineStr">
        <is>
          <t>10 % × 150,000 × split 90%</t>
        </is>
      </c>
    </row>
    <row r="2146">
      <c r="A2146" s="13" t="n">
        <v>2145</v>
      </c>
      <c r="B2146" s="14" t="n">
        <v>46604</v>
      </c>
      <c r="C2146" s="15" t="n">
        <v>11</v>
      </c>
      <c r="D2146" s="25" t="inlineStr">
        <is>
          <t>Payout</t>
        </is>
      </c>
      <c r="E2146" s="13" t="inlineStr">
        <is>
          <t>Finotive Futures</t>
        </is>
      </c>
      <c r="F2146" s="13" t="inlineStr">
        <is>
          <t>#158 1 Step 150k</t>
        </is>
      </c>
      <c r="G2146" s="17" t="n">
        <v>150000</v>
      </c>
      <c r="H2146" s="17" t="n">
        <v>13500</v>
      </c>
      <c r="I2146" s="17" t="n">
        <v>16727563.15</v>
      </c>
      <c r="J2146" s="13" t="inlineStr">
        <is>
          <t>10 % × 150,000 × split 90%</t>
        </is>
      </c>
    </row>
    <row r="2147">
      <c r="A2147" s="19" t="n">
        <v>2146</v>
      </c>
      <c r="B2147" s="20" t="n">
        <v>46604</v>
      </c>
      <c r="C2147" s="21" t="n">
        <v>11</v>
      </c>
      <c r="D2147" s="25" t="inlineStr">
        <is>
          <t>Payout</t>
        </is>
      </c>
      <c r="E2147" s="19" t="inlineStr">
        <is>
          <t>Funded Trader Markets</t>
        </is>
      </c>
      <c r="F2147" s="19" t="inlineStr">
        <is>
          <t>#159 1 Step 300k</t>
        </is>
      </c>
      <c r="G2147" s="22" t="n">
        <v>300000</v>
      </c>
      <c r="H2147" s="22" t="n">
        <v>27000</v>
      </c>
      <c r="I2147" s="22" t="n">
        <v>16754563.15</v>
      </c>
      <c r="J2147" s="19" t="inlineStr">
        <is>
          <t>10 % × 300,000 × split 90%</t>
        </is>
      </c>
    </row>
    <row r="2148">
      <c r="A2148" s="13" t="n">
        <v>2147</v>
      </c>
      <c r="B2148" s="14" t="n">
        <v>46604</v>
      </c>
      <c r="C2148" s="15" t="n">
        <v>11</v>
      </c>
      <c r="D2148" s="25" t="inlineStr">
        <is>
          <t>Payout</t>
        </is>
      </c>
      <c r="E2148" s="13" t="inlineStr">
        <is>
          <t>Funded Trader Markets</t>
        </is>
      </c>
      <c r="F2148" s="13" t="inlineStr">
        <is>
          <t>#160 1 Step 300k</t>
        </is>
      </c>
      <c r="G2148" s="17" t="n">
        <v>300000</v>
      </c>
      <c r="H2148" s="17" t="n">
        <v>27000</v>
      </c>
      <c r="I2148" s="17" t="n">
        <v>16781563.15</v>
      </c>
      <c r="J2148" s="13" t="inlineStr">
        <is>
          <t>10 % × 300,000 × split 90%</t>
        </is>
      </c>
    </row>
    <row r="2149">
      <c r="A2149" s="19" t="n">
        <v>2148</v>
      </c>
      <c r="B2149" s="20" t="n">
        <v>46604</v>
      </c>
      <c r="C2149" s="21" t="n">
        <v>11</v>
      </c>
      <c r="D2149" s="25" t="inlineStr">
        <is>
          <t>Payout</t>
        </is>
      </c>
      <c r="E2149" s="19" t="inlineStr">
        <is>
          <t>Funded Trader Markets</t>
        </is>
      </c>
      <c r="F2149" s="19" t="inlineStr">
        <is>
          <t>#161 1 Step 300k</t>
        </is>
      </c>
      <c r="G2149" s="22" t="n">
        <v>300000</v>
      </c>
      <c r="H2149" s="22" t="n">
        <v>27000</v>
      </c>
      <c r="I2149" s="22" t="n">
        <v>16808563.15</v>
      </c>
      <c r="J2149" s="19" t="inlineStr">
        <is>
          <t>10 % × 300,000 × split 90%</t>
        </is>
      </c>
    </row>
    <row r="2150">
      <c r="A2150" s="13" t="n">
        <v>2149</v>
      </c>
      <c r="B2150" s="14" t="n">
        <v>46604</v>
      </c>
      <c r="C2150" s="15" t="n">
        <v>11</v>
      </c>
      <c r="D2150" s="25" t="inlineStr">
        <is>
          <t>Payout</t>
        </is>
      </c>
      <c r="E2150" s="13" t="inlineStr">
        <is>
          <t>Kingdom Wealth Funding</t>
        </is>
      </c>
      <c r="F2150" s="13" t="inlineStr">
        <is>
          <t>#164 1 Step 1000k</t>
        </is>
      </c>
      <c r="G2150" s="17" t="n">
        <v>1000000</v>
      </c>
      <c r="H2150" s="17" t="n">
        <v>80000</v>
      </c>
      <c r="I2150" s="17" t="n">
        <v>16888563.15</v>
      </c>
      <c r="J2150" s="13" t="inlineStr">
        <is>
          <t>10 % × 1,000,000 × split 80%</t>
        </is>
      </c>
    </row>
    <row r="2151">
      <c r="A2151" s="19" t="n">
        <v>2150</v>
      </c>
      <c r="B2151" s="20" t="n">
        <v>46604</v>
      </c>
      <c r="C2151" s="21" t="n">
        <v>11</v>
      </c>
      <c r="D2151" s="25" t="inlineStr">
        <is>
          <t>Payout</t>
        </is>
      </c>
      <c r="E2151" s="19" t="inlineStr">
        <is>
          <t>Ment Funding</t>
        </is>
      </c>
      <c r="F2151" s="19" t="inlineStr">
        <is>
          <t>#165 1 Step 1000k</t>
        </is>
      </c>
      <c r="G2151" s="22" t="n">
        <v>1000000</v>
      </c>
      <c r="H2151" s="22" t="n">
        <v>80000</v>
      </c>
      <c r="I2151" s="22" t="n">
        <v>16968563.15</v>
      </c>
      <c r="J2151" s="19" t="inlineStr">
        <is>
          <t>10 % × 1,000,000 × split 80%</t>
        </is>
      </c>
    </row>
    <row r="2152">
      <c r="A2152" s="13" t="n">
        <v>2151</v>
      </c>
      <c r="B2152" s="14" t="n">
        <v>46604</v>
      </c>
      <c r="C2152" s="15" t="n">
        <v>11</v>
      </c>
      <c r="D2152" s="25" t="inlineStr">
        <is>
          <t>Payout</t>
        </is>
      </c>
      <c r="E2152" s="13" t="inlineStr">
        <is>
          <t>Ment Funding Futures</t>
        </is>
      </c>
      <c r="F2152" s="13" t="inlineStr">
        <is>
          <t>#172 1 Step 400k</t>
        </is>
      </c>
      <c r="G2152" s="17" t="n">
        <v>400000</v>
      </c>
      <c r="H2152" s="17" t="n">
        <v>32000</v>
      </c>
      <c r="I2152" s="17" t="n">
        <v>17000563.15</v>
      </c>
      <c r="J2152" s="13" t="inlineStr">
        <is>
          <t>10 % × 400,000 × split 80%</t>
        </is>
      </c>
    </row>
    <row r="2153">
      <c r="A2153" s="19" t="n">
        <v>2152</v>
      </c>
      <c r="B2153" s="20" t="n">
        <v>46604</v>
      </c>
      <c r="C2153" s="21" t="n">
        <v>11</v>
      </c>
      <c r="D2153" s="25" t="inlineStr">
        <is>
          <t>Payout</t>
        </is>
      </c>
      <c r="E2153" s="19" t="inlineStr">
        <is>
          <t>10FOUR</t>
        </is>
      </c>
      <c r="F2153" s="19" t="inlineStr">
        <is>
          <t>#173 1 Step 150k</t>
        </is>
      </c>
      <c r="G2153" s="22" t="n">
        <v>150000</v>
      </c>
      <c r="H2153" s="22" t="n">
        <v>13500</v>
      </c>
      <c r="I2153" s="22" t="n">
        <v>17014063.15</v>
      </c>
      <c r="J2153" s="19" t="inlineStr">
        <is>
          <t>10 % × 150,000 × split 90%</t>
        </is>
      </c>
    </row>
    <row r="2154">
      <c r="A2154" s="13" t="n">
        <v>2153</v>
      </c>
      <c r="B2154" s="14" t="n">
        <v>46604</v>
      </c>
      <c r="C2154" s="15" t="n">
        <v>11</v>
      </c>
      <c r="D2154" s="25" t="inlineStr">
        <is>
          <t>Payout</t>
        </is>
      </c>
      <c r="E2154" s="13" t="inlineStr">
        <is>
          <t>10FOUR</t>
        </is>
      </c>
      <c r="F2154" s="13" t="inlineStr">
        <is>
          <t>#174 1 Step 150k</t>
        </is>
      </c>
      <c r="G2154" s="17" t="n">
        <v>150000</v>
      </c>
      <c r="H2154" s="17" t="n">
        <v>13500</v>
      </c>
      <c r="I2154" s="17" t="n">
        <v>17027563.15</v>
      </c>
      <c r="J2154" s="13" t="inlineStr">
        <is>
          <t>10 % × 150,000 × split 90%</t>
        </is>
      </c>
    </row>
    <row r="2155">
      <c r="A2155" s="19" t="n">
        <v>2154</v>
      </c>
      <c r="B2155" s="20" t="n">
        <v>46604</v>
      </c>
      <c r="C2155" s="21" t="n">
        <v>11</v>
      </c>
      <c r="D2155" s="25" t="inlineStr">
        <is>
          <t>Payout</t>
        </is>
      </c>
      <c r="E2155" s="19" t="inlineStr">
        <is>
          <t>10FOUR</t>
        </is>
      </c>
      <c r="F2155" s="19" t="inlineStr">
        <is>
          <t>#175 1 Step 150k</t>
        </is>
      </c>
      <c r="G2155" s="22" t="n">
        <v>150000</v>
      </c>
      <c r="H2155" s="22" t="n">
        <v>13500</v>
      </c>
      <c r="I2155" s="22" t="n">
        <v>17041063.15</v>
      </c>
      <c r="J2155" s="19" t="inlineStr">
        <is>
          <t>10 % × 150,000 × split 90%</t>
        </is>
      </c>
    </row>
    <row r="2156">
      <c r="A2156" s="13" t="n">
        <v>2155</v>
      </c>
      <c r="B2156" s="14" t="n">
        <v>46604</v>
      </c>
      <c r="C2156" s="15" t="n">
        <v>11</v>
      </c>
      <c r="D2156" s="25" t="inlineStr">
        <is>
          <t>Payout</t>
        </is>
      </c>
      <c r="E2156" s="13" t="inlineStr">
        <is>
          <t>10FOUR</t>
        </is>
      </c>
      <c r="F2156" s="13" t="inlineStr">
        <is>
          <t>#176 1 Step 150k</t>
        </is>
      </c>
      <c r="G2156" s="17" t="n">
        <v>150000</v>
      </c>
      <c r="H2156" s="17" t="n">
        <v>13500</v>
      </c>
      <c r="I2156" s="17" t="n">
        <v>17054563.15</v>
      </c>
      <c r="J2156" s="13" t="inlineStr">
        <is>
          <t>10 % × 150,000 × split 90%</t>
        </is>
      </c>
    </row>
    <row r="2157">
      <c r="A2157" s="19" t="n">
        <v>2156</v>
      </c>
      <c r="B2157" s="20" t="n">
        <v>46604</v>
      </c>
      <c r="C2157" s="21" t="n">
        <v>11</v>
      </c>
      <c r="D2157" s="25" t="inlineStr">
        <is>
          <t>Payout</t>
        </is>
      </c>
      <c r="E2157" s="19" t="inlineStr">
        <is>
          <t>10FOUR</t>
        </is>
      </c>
      <c r="F2157" s="19" t="inlineStr">
        <is>
          <t>#177 1 Step 150k</t>
        </is>
      </c>
      <c r="G2157" s="22" t="n">
        <v>150000</v>
      </c>
      <c r="H2157" s="22" t="n">
        <v>13500</v>
      </c>
      <c r="I2157" s="22" t="n">
        <v>17068063.15</v>
      </c>
      <c r="J2157" s="19" t="inlineStr">
        <is>
          <t>10 % × 150,000 × split 90%</t>
        </is>
      </c>
    </row>
    <row r="2158">
      <c r="A2158" s="13" t="n">
        <v>2157</v>
      </c>
      <c r="B2158" s="14" t="n">
        <v>46604</v>
      </c>
      <c r="C2158" s="15" t="n">
        <v>11</v>
      </c>
      <c r="D2158" s="25" t="inlineStr">
        <is>
          <t>Payout</t>
        </is>
      </c>
      <c r="E2158" s="13" t="inlineStr">
        <is>
          <t>Blue Guardian Futures</t>
        </is>
      </c>
      <c r="F2158" s="13" t="inlineStr">
        <is>
          <t>#178 1 Step 100k</t>
        </is>
      </c>
      <c r="G2158" s="17" t="n">
        <v>100000</v>
      </c>
      <c r="H2158" s="17" t="n">
        <v>9000</v>
      </c>
      <c r="I2158" s="17" t="n">
        <v>17077063.15</v>
      </c>
      <c r="J2158" s="13" t="inlineStr">
        <is>
          <t>10 % × 100,000 × split 90%</t>
        </is>
      </c>
    </row>
    <row r="2159">
      <c r="A2159" s="19" t="n">
        <v>2158</v>
      </c>
      <c r="B2159" s="20" t="n">
        <v>46604</v>
      </c>
      <c r="C2159" s="21" t="n">
        <v>11</v>
      </c>
      <c r="D2159" s="25" t="inlineStr">
        <is>
          <t>Payout</t>
        </is>
      </c>
      <c r="E2159" s="19" t="inlineStr">
        <is>
          <t>Blue Guardian Futures</t>
        </is>
      </c>
      <c r="F2159" s="19" t="inlineStr">
        <is>
          <t>#179 1 Step 100k</t>
        </is>
      </c>
      <c r="G2159" s="22" t="n">
        <v>100000</v>
      </c>
      <c r="H2159" s="22" t="n">
        <v>9000</v>
      </c>
      <c r="I2159" s="22" t="n">
        <v>17086063.15</v>
      </c>
      <c r="J2159" s="19" t="inlineStr">
        <is>
          <t>10 % × 100,000 × split 90%</t>
        </is>
      </c>
    </row>
    <row r="2160">
      <c r="A2160" s="13" t="n">
        <v>2159</v>
      </c>
      <c r="B2160" s="14" t="n">
        <v>46604</v>
      </c>
      <c r="C2160" s="15" t="n">
        <v>11</v>
      </c>
      <c r="D2160" s="25" t="inlineStr">
        <is>
          <t>Payout</t>
        </is>
      </c>
      <c r="E2160" s="13" t="inlineStr">
        <is>
          <t>Blue Guardian Futures</t>
        </is>
      </c>
      <c r="F2160" s="13" t="inlineStr">
        <is>
          <t>#180 1 Step 100k</t>
        </is>
      </c>
      <c r="G2160" s="17" t="n">
        <v>100000</v>
      </c>
      <c r="H2160" s="17" t="n">
        <v>9000</v>
      </c>
      <c r="I2160" s="17" t="n">
        <v>17095063.15</v>
      </c>
      <c r="J2160" s="13" t="inlineStr">
        <is>
          <t>10 % × 100,000 × split 90%</t>
        </is>
      </c>
    </row>
    <row r="2161">
      <c r="A2161" s="19" t="n">
        <v>2160</v>
      </c>
      <c r="B2161" s="20" t="n">
        <v>46604</v>
      </c>
      <c r="C2161" s="21" t="n">
        <v>11</v>
      </c>
      <c r="D2161" s="25" t="inlineStr">
        <is>
          <t>Payout</t>
        </is>
      </c>
      <c r="E2161" s="19" t="inlineStr">
        <is>
          <t>Blue Guardian Futures</t>
        </is>
      </c>
      <c r="F2161" s="19" t="inlineStr">
        <is>
          <t>#181 1 Step 100k</t>
        </is>
      </c>
      <c r="G2161" s="22" t="n">
        <v>100000</v>
      </c>
      <c r="H2161" s="22" t="n">
        <v>9000</v>
      </c>
      <c r="I2161" s="22" t="n">
        <v>17104063.15</v>
      </c>
      <c r="J2161" s="19" t="inlineStr">
        <is>
          <t>10 % × 100,000 × split 90%</t>
        </is>
      </c>
    </row>
    <row r="2162">
      <c r="A2162" s="13" t="n">
        <v>2161</v>
      </c>
      <c r="B2162" s="14" t="n">
        <v>46604</v>
      </c>
      <c r="C2162" s="15" t="n">
        <v>11</v>
      </c>
      <c r="D2162" s="25" t="inlineStr">
        <is>
          <t>Payout</t>
        </is>
      </c>
      <c r="E2162" s="13" t="inlineStr">
        <is>
          <t>Blue Guardian Futures</t>
        </is>
      </c>
      <c r="F2162" s="13" t="inlineStr">
        <is>
          <t>#182 1 Step 100k</t>
        </is>
      </c>
      <c r="G2162" s="17" t="n">
        <v>100000</v>
      </c>
      <c r="H2162" s="17" t="n">
        <v>9000</v>
      </c>
      <c r="I2162" s="17" t="n">
        <v>17113063.15</v>
      </c>
      <c r="J2162" s="13" t="inlineStr">
        <is>
          <t>10 % × 100,000 × split 90%</t>
        </is>
      </c>
    </row>
    <row r="2163">
      <c r="A2163" s="19" t="n">
        <v>2162</v>
      </c>
      <c r="B2163" s="20" t="n">
        <v>46604</v>
      </c>
      <c r="C2163" s="21" t="n">
        <v>11</v>
      </c>
      <c r="D2163" s="25" t="inlineStr">
        <is>
          <t>Payout</t>
        </is>
      </c>
      <c r="E2163" s="19" t="inlineStr">
        <is>
          <t>Blue Guardian Futures</t>
        </is>
      </c>
      <c r="F2163" s="19" t="inlineStr">
        <is>
          <t>#183 1 Step 100k</t>
        </is>
      </c>
      <c r="G2163" s="22" t="n">
        <v>100000</v>
      </c>
      <c r="H2163" s="22" t="n">
        <v>9000</v>
      </c>
      <c r="I2163" s="22" t="n">
        <v>17122063.15</v>
      </c>
      <c r="J2163" s="19" t="inlineStr">
        <is>
          <t>10 % × 100,000 × split 90%</t>
        </is>
      </c>
    </row>
    <row r="2164">
      <c r="A2164" s="13" t="n">
        <v>2163</v>
      </c>
      <c r="B2164" s="14" t="n">
        <v>46604</v>
      </c>
      <c r="C2164" s="15" t="n">
        <v>11</v>
      </c>
      <c r="D2164" s="25" t="inlineStr">
        <is>
          <t>Payout</t>
        </is>
      </c>
      <c r="E2164" s="13" t="inlineStr">
        <is>
          <t>Blue Guardian Futures</t>
        </is>
      </c>
      <c r="F2164" s="13" t="inlineStr">
        <is>
          <t>#184 1 Step 100k</t>
        </is>
      </c>
      <c r="G2164" s="17" t="n">
        <v>100000</v>
      </c>
      <c r="H2164" s="17" t="n">
        <v>9000</v>
      </c>
      <c r="I2164" s="17" t="n">
        <v>17131063.15</v>
      </c>
      <c r="J2164" s="13" t="inlineStr">
        <is>
          <t>10 % × 100,000 × split 90%</t>
        </is>
      </c>
    </row>
    <row r="2165">
      <c r="A2165" s="19" t="n">
        <v>2164</v>
      </c>
      <c r="B2165" s="20" t="n">
        <v>46604</v>
      </c>
      <c r="C2165" s="21" t="n">
        <v>11</v>
      </c>
      <c r="D2165" s="25" t="inlineStr">
        <is>
          <t>Payout</t>
        </is>
      </c>
      <c r="E2165" s="19" t="inlineStr">
        <is>
          <t>FunderPro Futures</t>
        </is>
      </c>
      <c r="F2165" s="19" t="inlineStr">
        <is>
          <t>#185 1 Step 150k</t>
        </is>
      </c>
      <c r="G2165" s="22" t="n">
        <v>150000</v>
      </c>
      <c r="H2165" s="22" t="n">
        <v>9000</v>
      </c>
      <c r="I2165" s="22" t="n">
        <v>17140063.15</v>
      </c>
      <c r="J2165" s="19" t="inlineStr">
        <is>
          <t>10 % × 150,000 × split 60%</t>
        </is>
      </c>
    </row>
    <row r="2166">
      <c r="A2166" s="13" t="n">
        <v>2165</v>
      </c>
      <c r="B2166" s="14" t="n">
        <v>46604</v>
      </c>
      <c r="C2166" s="15" t="n">
        <v>11</v>
      </c>
      <c r="D2166" s="25" t="inlineStr">
        <is>
          <t>Payout</t>
        </is>
      </c>
      <c r="E2166" s="13" t="inlineStr">
        <is>
          <t>FunderPro Futures</t>
        </is>
      </c>
      <c r="F2166" s="13" t="inlineStr">
        <is>
          <t>#186 1 Step 150k</t>
        </is>
      </c>
      <c r="G2166" s="17" t="n">
        <v>150000</v>
      </c>
      <c r="H2166" s="17" t="n">
        <v>9000</v>
      </c>
      <c r="I2166" s="17" t="n">
        <v>17149063.15</v>
      </c>
      <c r="J2166" s="13" t="inlineStr">
        <is>
          <t>10 % × 150,000 × split 60%</t>
        </is>
      </c>
    </row>
    <row r="2167">
      <c r="A2167" s="19" t="n">
        <v>2166</v>
      </c>
      <c r="B2167" s="20" t="n">
        <v>46604</v>
      </c>
      <c r="C2167" s="21" t="n">
        <v>11</v>
      </c>
      <c r="D2167" s="25" t="inlineStr">
        <is>
          <t>Payout</t>
        </is>
      </c>
      <c r="E2167" s="19" t="inlineStr">
        <is>
          <t>FunderPro Futures</t>
        </is>
      </c>
      <c r="F2167" s="19" t="inlineStr">
        <is>
          <t>#187 1 Step 150k</t>
        </is>
      </c>
      <c r="G2167" s="22" t="n">
        <v>150000</v>
      </c>
      <c r="H2167" s="22" t="n">
        <v>9000</v>
      </c>
      <c r="I2167" s="22" t="n">
        <v>17158063.15</v>
      </c>
      <c r="J2167" s="19" t="inlineStr">
        <is>
          <t>10 % × 150,000 × split 60%</t>
        </is>
      </c>
    </row>
    <row r="2168">
      <c r="A2168" s="13" t="n">
        <v>2167</v>
      </c>
      <c r="B2168" s="14" t="n">
        <v>46604</v>
      </c>
      <c r="C2168" s="15" t="n">
        <v>11</v>
      </c>
      <c r="D2168" s="25" t="inlineStr">
        <is>
          <t>Payout</t>
        </is>
      </c>
      <c r="E2168" s="13" t="inlineStr">
        <is>
          <t>FunderPro Futures</t>
        </is>
      </c>
      <c r="F2168" s="13" t="inlineStr">
        <is>
          <t>#188 1 Step 150k</t>
        </is>
      </c>
      <c r="G2168" s="17" t="n">
        <v>150000</v>
      </c>
      <c r="H2168" s="17" t="n">
        <v>9000</v>
      </c>
      <c r="I2168" s="17" t="n">
        <v>17167063.15</v>
      </c>
      <c r="J2168" s="13" t="inlineStr">
        <is>
          <t>10 % × 150,000 × split 60%</t>
        </is>
      </c>
    </row>
    <row r="2169">
      <c r="A2169" s="19" t="n">
        <v>2168</v>
      </c>
      <c r="B2169" s="20" t="n">
        <v>46604</v>
      </c>
      <c r="C2169" s="21" t="n">
        <v>11</v>
      </c>
      <c r="D2169" s="25" t="inlineStr">
        <is>
          <t>Payout</t>
        </is>
      </c>
      <c r="E2169" s="19" t="inlineStr">
        <is>
          <t>Capitalize</t>
        </is>
      </c>
      <c r="F2169" s="19" t="inlineStr">
        <is>
          <t>#202 1 Step 500k</t>
        </is>
      </c>
      <c r="G2169" s="22" t="n">
        <v>500000</v>
      </c>
      <c r="H2169" s="22" t="n">
        <v>40000</v>
      </c>
      <c r="I2169" s="22" t="n">
        <v>17207063.15</v>
      </c>
      <c r="J2169" s="19" t="inlineStr">
        <is>
          <t>10 % × 500,000 × split 80%</t>
        </is>
      </c>
    </row>
    <row r="2170">
      <c r="A2170" s="13" t="n">
        <v>2169</v>
      </c>
      <c r="B2170" s="14" t="n">
        <v>46604</v>
      </c>
      <c r="C2170" s="15" t="n">
        <v>11</v>
      </c>
      <c r="D2170" s="25" t="inlineStr">
        <is>
          <t>Payout</t>
        </is>
      </c>
      <c r="E2170" s="13" t="inlineStr">
        <is>
          <t>Hola Prime</t>
        </is>
      </c>
      <c r="F2170" s="13" t="inlineStr">
        <is>
          <t>#206 1 Step 150k</t>
        </is>
      </c>
      <c r="G2170" s="17" t="n">
        <v>150000</v>
      </c>
      <c r="H2170" s="17" t="n">
        <v>12000</v>
      </c>
      <c r="I2170" s="17" t="n">
        <v>17219063.15</v>
      </c>
      <c r="J2170" s="13" t="inlineStr">
        <is>
          <t>10 % × 150,000 × split 80%</t>
        </is>
      </c>
    </row>
    <row r="2171">
      <c r="A2171" s="19" t="n">
        <v>2170</v>
      </c>
      <c r="B2171" s="20" t="n">
        <v>46604</v>
      </c>
      <c r="C2171" s="21" t="n">
        <v>11</v>
      </c>
      <c r="D2171" s="25" t="inlineStr">
        <is>
          <t>Payout</t>
        </is>
      </c>
      <c r="E2171" s="19" t="inlineStr">
        <is>
          <t>Hola Prime</t>
        </is>
      </c>
      <c r="F2171" s="19" t="inlineStr">
        <is>
          <t>#207 1 Step 150k</t>
        </is>
      </c>
      <c r="G2171" s="22" t="n">
        <v>150000</v>
      </c>
      <c r="H2171" s="22" t="n">
        <v>12000</v>
      </c>
      <c r="I2171" s="22" t="n">
        <v>17231063.15</v>
      </c>
      <c r="J2171" s="19" t="inlineStr">
        <is>
          <t>10 % × 150,000 × split 80%</t>
        </is>
      </c>
    </row>
    <row r="2172">
      <c r="A2172" s="13" t="n">
        <v>2171</v>
      </c>
      <c r="B2172" s="14" t="n">
        <v>46604</v>
      </c>
      <c r="C2172" s="15" t="n">
        <v>11</v>
      </c>
      <c r="D2172" s="25" t="inlineStr">
        <is>
          <t>Payout</t>
        </is>
      </c>
      <c r="E2172" s="13" t="inlineStr">
        <is>
          <t>Hola Prime</t>
        </is>
      </c>
      <c r="F2172" s="13" t="inlineStr">
        <is>
          <t>#208 1 Step 150k</t>
        </is>
      </c>
      <c r="G2172" s="17" t="n">
        <v>150000</v>
      </c>
      <c r="H2172" s="17" t="n">
        <v>12000</v>
      </c>
      <c r="I2172" s="17" t="n">
        <v>17243063.15</v>
      </c>
      <c r="J2172" s="13" t="inlineStr">
        <is>
          <t>10 % × 150,000 × split 80%</t>
        </is>
      </c>
    </row>
    <row r="2173">
      <c r="A2173" s="19" t="n">
        <v>2172</v>
      </c>
      <c r="B2173" s="20" t="n">
        <v>46604</v>
      </c>
      <c r="C2173" s="21" t="n">
        <v>11</v>
      </c>
      <c r="D2173" s="25" t="inlineStr">
        <is>
          <t>Payout</t>
        </is>
      </c>
      <c r="E2173" s="19" t="inlineStr">
        <is>
          <t>FTMO Futures</t>
        </is>
      </c>
      <c r="F2173" s="19" t="inlineStr">
        <is>
          <t>#213 1 Step 150k</t>
        </is>
      </c>
      <c r="G2173" s="22" t="n">
        <v>150000</v>
      </c>
      <c r="H2173" s="22" t="n">
        <v>13500</v>
      </c>
      <c r="I2173" s="22" t="n">
        <v>17256563.15</v>
      </c>
      <c r="J2173" s="19" t="inlineStr">
        <is>
          <t>10 % × 150,000 × split 90%</t>
        </is>
      </c>
    </row>
    <row r="2174">
      <c r="A2174" s="13" t="n">
        <v>2173</v>
      </c>
      <c r="B2174" s="14" t="n">
        <v>46604</v>
      </c>
      <c r="C2174" s="15" t="n">
        <v>11</v>
      </c>
      <c r="D2174" s="25" t="inlineStr">
        <is>
          <t>Payout</t>
        </is>
      </c>
      <c r="E2174" s="13" t="inlineStr">
        <is>
          <t>FTMO Futures</t>
        </is>
      </c>
      <c r="F2174" s="13" t="inlineStr">
        <is>
          <t>#214 1 Step 150k</t>
        </is>
      </c>
      <c r="G2174" s="17" t="n">
        <v>150000</v>
      </c>
      <c r="H2174" s="17" t="n">
        <v>13500</v>
      </c>
      <c r="I2174" s="17" t="n">
        <v>17270063.15</v>
      </c>
      <c r="J2174" s="13" t="inlineStr">
        <is>
          <t>10 % × 150,000 × split 90%</t>
        </is>
      </c>
    </row>
    <row r="2175">
      <c r="A2175" s="19" t="n">
        <v>2174</v>
      </c>
      <c r="B2175" s="20" t="n">
        <v>46604</v>
      </c>
      <c r="C2175" s="21" t="n">
        <v>11</v>
      </c>
      <c r="D2175" s="25" t="inlineStr">
        <is>
          <t>Payout</t>
        </is>
      </c>
      <c r="E2175" s="19" t="inlineStr">
        <is>
          <t>FTMO Futures</t>
        </is>
      </c>
      <c r="F2175" s="19" t="inlineStr">
        <is>
          <t>#215 1 Step 150k</t>
        </is>
      </c>
      <c r="G2175" s="22" t="n">
        <v>150000</v>
      </c>
      <c r="H2175" s="22" t="n">
        <v>13500</v>
      </c>
      <c r="I2175" s="22" t="n">
        <v>17283563.15</v>
      </c>
      <c r="J2175" s="19" t="inlineStr">
        <is>
          <t>10 % × 150,000 × split 90%</t>
        </is>
      </c>
    </row>
    <row r="2176">
      <c r="A2176" s="13" t="n">
        <v>2175</v>
      </c>
      <c r="B2176" s="14" t="n">
        <v>46604</v>
      </c>
      <c r="C2176" s="15" t="n">
        <v>11</v>
      </c>
      <c r="D2176" s="25" t="inlineStr">
        <is>
          <t>Payout</t>
        </is>
      </c>
      <c r="E2176" s="13" t="inlineStr">
        <is>
          <t>Halcyon Trader Funding</t>
        </is>
      </c>
      <c r="F2176" s="13" t="inlineStr">
        <is>
          <t>#216 1 Step 150k</t>
        </is>
      </c>
      <c r="G2176" s="17" t="n">
        <v>150000</v>
      </c>
      <c r="H2176" s="17" t="n">
        <v>13500</v>
      </c>
      <c r="I2176" s="17" t="n">
        <v>17297063.15</v>
      </c>
      <c r="J2176" s="13" t="inlineStr">
        <is>
          <t>10 % × 150,000 × split 90%</t>
        </is>
      </c>
    </row>
    <row r="2177">
      <c r="A2177" s="19" t="n">
        <v>2176</v>
      </c>
      <c r="B2177" s="20" t="n">
        <v>46604</v>
      </c>
      <c r="C2177" s="21" t="n">
        <v>11</v>
      </c>
      <c r="D2177" s="25" t="inlineStr">
        <is>
          <t>Payout</t>
        </is>
      </c>
      <c r="E2177" s="19" t="inlineStr">
        <is>
          <t>Halcyon Trader Funding</t>
        </is>
      </c>
      <c r="F2177" s="19" t="inlineStr">
        <is>
          <t>#217 1 Step 150k</t>
        </is>
      </c>
      <c r="G2177" s="22" t="n">
        <v>150000</v>
      </c>
      <c r="H2177" s="22" t="n">
        <v>13500</v>
      </c>
      <c r="I2177" s="22" t="n">
        <v>17310563.15</v>
      </c>
      <c r="J2177" s="19" t="inlineStr">
        <is>
          <t>10 % × 150,000 × split 90%</t>
        </is>
      </c>
    </row>
    <row r="2178">
      <c r="A2178" s="13" t="n">
        <v>2177</v>
      </c>
      <c r="B2178" s="14" t="n">
        <v>46604</v>
      </c>
      <c r="C2178" s="15" t="n">
        <v>11</v>
      </c>
      <c r="D2178" s="25" t="inlineStr">
        <is>
          <t>Payout</t>
        </is>
      </c>
      <c r="E2178" s="13" t="inlineStr">
        <is>
          <t>Halcyon Trader Funding</t>
        </is>
      </c>
      <c r="F2178" s="13" t="inlineStr">
        <is>
          <t>#218 1 Step 150k</t>
        </is>
      </c>
      <c r="G2178" s="17" t="n">
        <v>150000</v>
      </c>
      <c r="H2178" s="17" t="n">
        <v>13500</v>
      </c>
      <c r="I2178" s="17" t="n">
        <v>17324063.15</v>
      </c>
      <c r="J2178" s="13" t="inlineStr">
        <is>
          <t>10 % × 150,000 × split 90%</t>
        </is>
      </c>
    </row>
    <row r="2179">
      <c r="A2179" s="19" t="n">
        <v>2178</v>
      </c>
      <c r="B2179" s="20" t="n">
        <v>46604</v>
      </c>
      <c r="C2179" s="21" t="n">
        <v>11</v>
      </c>
      <c r="D2179" s="25" t="inlineStr">
        <is>
          <t>Payout</t>
        </is>
      </c>
      <c r="E2179" s="19" t="inlineStr">
        <is>
          <t>Astrofund</t>
        </is>
      </c>
      <c r="F2179" s="19" t="inlineStr">
        <is>
          <t>#219 1 Step 100k</t>
        </is>
      </c>
      <c r="G2179" s="22" t="n">
        <v>100000</v>
      </c>
      <c r="H2179" s="22" t="n">
        <v>9000</v>
      </c>
      <c r="I2179" s="22" t="n">
        <v>17333063.15</v>
      </c>
      <c r="J2179" s="19" t="inlineStr">
        <is>
          <t>10 % × 100,000 × split 90%</t>
        </is>
      </c>
    </row>
    <row r="2180">
      <c r="A2180" s="13" t="n">
        <v>2179</v>
      </c>
      <c r="B2180" s="14" t="n">
        <v>46604</v>
      </c>
      <c r="C2180" s="15" t="n">
        <v>11</v>
      </c>
      <c r="D2180" s="25" t="inlineStr">
        <is>
          <t>Payout</t>
        </is>
      </c>
      <c r="E2180" s="13" t="inlineStr">
        <is>
          <t>Astrofund</t>
        </is>
      </c>
      <c r="F2180" s="13" t="inlineStr">
        <is>
          <t>#220 1 Step 100k</t>
        </is>
      </c>
      <c r="G2180" s="17" t="n">
        <v>100000</v>
      </c>
      <c r="H2180" s="17" t="n">
        <v>9000</v>
      </c>
      <c r="I2180" s="17" t="n">
        <v>17342063.15</v>
      </c>
      <c r="J2180" s="13" t="inlineStr">
        <is>
          <t>10 % × 100,000 × split 90%</t>
        </is>
      </c>
    </row>
    <row r="2181">
      <c r="A2181" s="19" t="n">
        <v>2180</v>
      </c>
      <c r="B2181" s="20" t="n">
        <v>46604</v>
      </c>
      <c r="C2181" s="21" t="n">
        <v>11</v>
      </c>
      <c r="D2181" s="25" t="inlineStr">
        <is>
          <t>Payout</t>
        </is>
      </c>
      <c r="E2181" s="19" t="inlineStr">
        <is>
          <t>Astrofund</t>
        </is>
      </c>
      <c r="F2181" s="19" t="inlineStr">
        <is>
          <t>#221 1 Step 100k</t>
        </is>
      </c>
      <c r="G2181" s="22" t="n">
        <v>100000</v>
      </c>
      <c r="H2181" s="22" t="n">
        <v>9000</v>
      </c>
      <c r="I2181" s="22" t="n">
        <v>17351063.15</v>
      </c>
      <c r="J2181" s="19" t="inlineStr">
        <is>
          <t>10 % × 100,000 × split 90%</t>
        </is>
      </c>
    </row>
    <row r="2182">
      <c r="A2182" s="13" t="n">
        <v>2181</v>
      </c>
      <c r="B2182" s="14" t="n">
        <v>46604</v>
      </c>
      <c r="C2182" s="15" t="n">
        <v>11</v>
      </c>
      <c r="D2182" s="25" t="inlineStr">
        <is>
          <t>Payout</t>
        </is>
      </c>
      <c r="E2182" s="13" t="inlineStr">
        <is>
          <t>Astrofund</t>
        </is>
      </c>
      <c r="F2182" s="13" t="inlineStr">
        <is>
          <t>#222 1 Step 100k</t>
        </is>
      </c>
      <c r="G2182" s="17" t="n">
        <v>100000</v>
      </c>
      <c r="H2182" s="17" t="n">
        <v>9000</v>
      </c>
      <c r="I2182" s="17" t="n">
        <v>17360063.15</v>
      </c>
      <c r="J2182" s="13" t="inlineStr">
        <is>
          <t>10 % × 100,000 × split 90%</t>
        </is>
      </c>
    </row>
    <row r="2183">
      <c r="A2183" s="19" t="n">
        <v>2182</v>
      </c>
      <c r="B2183" s="20" t="n">
        <v>46604</v>
      </c>
      <c r="C2183" s="21" t="n">
        <v>11</v>
      </c>
      <c r="D2183" s="25" t="inlineStr">
        <is>
          <t>Payout</t>
        </is>
      </c>
      <c r="E2183" s="19" t="inlineStr">
        <is>
          <t>BrightFunded</t>
        </is>
      </c>
      <c r="F2183" s="19" t="inlineStr">
        <is>
          <t>#223 1 Step 200k</t>
        </is>
      </c>
      <c r="G2183" s="22" t="n">
        <v>200000</v>
      </c>
      <c r="H2183" s="22" t="n">
        <v>20000</v>
      </c>
      <c r="I2183" s="22" t="n">
        <v>17380063.15</v>
      </c>
      <c r="J2183" s="19" t="inlineStr">
        <is>
          <t>10 % × 200,000 × split 100%</t>
        </is>
      </c>
    </row>
    <row r="2184">
      <c r="A2184" s="13" t="n">
        <v>2183</v>
      </c>
      <c r="B2184" s="14" t="n">
        <v>46604</v>
      </c>
      <c r="C2184" s="15" t="n">
        <v>11</v>
      </c>
      <c r="D2184" s="25" t="inlineStr">
        <is>
          <t>Payout</t>
        </is>
      </c>
      <c r="E2184" s="13" t="inlineStr">
        <is>
          <t>BrightFunded</t>
        </is>
      </c>
      <c r="F2184" s="13" t="inlineStr">
        <is>
          <t>#224 1 Step 200k</t>
        </is>
      </c>
      <c r="G2184" s="17" t="n">
        <v>200000</v>
      </c>
      <c r="H2184" s="17" t="n">
        <v>20000</v>
      </c>
      <c r="I2184" s="17" t="n">
        <v>17400063.15</v>
      </c>
      <c r="J2184" s="13" t="inlineStr">
        <is>
          <t>10 % × 200,000 × split 100%</t>
        </is>
      </c>
    </row>
    <row r="2185">
      <c r="A2185" s="19" t="n">
        <v>2184</v>
      </c>
      <c r="B2185" s="20" t="n">
        <v>46604</v>
      </c>
      <c r="C2185" s="21" t="n">
        <v>11</v>
      </c>
      <c r="D2185" s="25" t="inlineStr">
        <is>
          <t>Payout</t>
        </is>
      </c>
      <c r="E2185" s="19" t="inlineStr">
        <is>
          <t>FTMO</t>
        </is>
      </c>
      <c r="F2185" s="19" t="inlineStr">
        <is>
          <t>#227 1 Step 200k</t>
        </is>
      </c>
      <c r="G2185" s="22" t="n">
        <v>200000</v>
      </c>
      <c r="H2185" s="22" t="n">
        <v>16000</v>
      </c>
      <c r="I2185" s="22" t="n">
        <v>17416063.15</v>
      </c>
      <c r="J2185" s="19" t="inlineStr">
        <is>
          <t>10 % × 200,000 × split 80%</t>
        </is>
      </c>
    </row>
    <row r="2186">
      <c r="A2186" s="13" t="n">
        <v>2185</v>
      </c>
      <c r="B2186" s="14" t="n">
        <v>46604</v>
      </c>
      <c r="C2186" s="15" t="n">
        <v>11</v>
      </c>
      <c r="D2186" s="25" t="inlineStr">
        <is>
          <t>Payout</t>
        </is>
      </c>
      <c r="E2186" s="13" t="inlineStr">
        <is>
          <t>FTMO</t>
        </is>
      </c>
      <c r="F2186" s="13" t="inlineStr">
        <is>
          <t>#228 1 Step 200k</t>
        </is>
      </c>
      <c r="G2186" s="17" t="n">
        <v>200000</v>
      </c>
      <c r="H2186" s="17" t="n">
        <v>16000</v>
      </c>
      <c r="I2186" s="17" t="n">
        <v>17432063.15</v>
      </c>
      <c r="J2186" s="13" t="inlineStr">
        <is>
          <t>10 % × 200,000 × split 80%</t>
        </is>
      </c>
    </row>
    <row r="2187">
      <c r="A2187" s="19" t="n">
        <v>2186</v>
      </c>
      <c r="B2187" s="20" t="n">
        <v>46604</v>
      </c>
      <c r="C2187" s="21" t="n">
        <v>11</v>
      </c>
      <c r="D2187" s="25" t="inlineStr">
        <is>
          <t>Payout</t>
        </is>
      </c>
      <c r="E2187" s="19" t="inlineStr">
        <is>
          <t>Funded X</t>
        </is>
      </c>
      <c r="F2187" s="19" t="inlineStr">
        <is>
          <t>#229 1 Step 200k</t>
        </is>
      </c>
      <c r="G2187" s="22" t="n">
        <v>200000</v>
      </c>
      <c r="H2187" s="22" t="n">
        <v>20000</v>
      </c>
      <c r="I2187" s="22" t="n">
        <v>17452063.15</v>
      </c>
      <c r="J2187" s="19" t="inlineStr">
        <is>
          <t>10 % × 200,000 × split 100%</t>
        </is>
      </c>
    </row>
    <row r="2188">
      <c r="A2188" s="13" t="n">
        <v>2187</v>
      </c>
      <c r="B2188" s="14" t="n">
        <v>46604</v>
      </c>
      <c r="C2188" s="15" t="n">
        <v>11</v>
      </c>
      <c r="D2188" s="25" t="inlineStr">
        <is>
          <t>Payout</t>
        </is>
      </c>
      <c r="E2188" s="13" t="inlineStr">
        <is>
          <t>Funded X</t>
        </is>
      </c>
      <c r="F2188" s="13" t="inlineStr">
        <is>
          <t>#230 1 Step 200k</t>
        </is>
      </c>
      <c r="G2188" s="17" t="n">
        <v>200000</v>
      </c>
      <c r="H2188" s="17" t="n">
        <v>20000</v>
      </c>
      <c r="I2188" s="17" t="n">
        <v>17472063.15</v>
      </c>
      <c r="J2188" s="13" t="inlineStr">
        <is>
          <t>10 % × 200,000 × split 100%</t>
        </is>
      </c>
    </row>
    <row r="2189">
      <c r="A2189" s="19" t="n">
        <v>2188</v>
      </c>
      <c r="B2189" s="20" t="n">
        <v>46604</v>
      </c>
      <c r="C2189" s="21" t="n">
        <v>11</v>
      </c>
      <c r="D2189" s="25" t="inlineStr">
        <is>
          <t>Payout</t>
        </is>
      </c>
      <c r="E2189" s="19" t="inlineStr">
        <is>
          <t>Hantec Trader</t>
        </is>
      </c>
      <c r="F2189" s="19" t="inlineStr">
        <is>
          <t>#231 3 Step 200k</t>
        </is>
      </c>
      <c r="G2189" s="22" t="n">
        <v>200000</v>
      </c>
      <c r="H2189" s="22" t="n">
        <v>19000</v>
      </c>
      <c r="I2189" s="22" t="n">
        <v>17491063.15</v>
      </c>
      <c r="J2189" s="19" t="inlineStr">
        <is>
          <t>10 % × 200,000 × split 95%</t>
        </is>
      </c>
    </row>
    <row r="2190">
      <c r="A2190" s="13" t="n">
        <v>2189</v>
      </c>
      <c r="B2190" s="14" t="n">
        <v>46604</v>
      </c>
      <c r="C2190" s="15" t="n">
        <v>11</v>
      </c>
      <c r="D2190" s="25" t="inlineStr">
        <is>
          <t>Payout</t>
        </is>
      </c>
      <c r="E2190" s="13" t="inlineStr">
        <is>
          <t>LifeUp Trading</t>
        </is>
      </c>
      <c r="F2190" s="13" t="inlineStr">
        <is>
          <t>#232 1 Step 150k</t>
        </is>
      </c>
      <c r="G2190" s="17" t="n">
        <v>150000</v>
      </c>
      <c r="H2190" s="17" t="n">
        <v>12000</v>
      </c>
      <c r="I2190" s="17" t="n">
        <v>17503063.15</v>
      </c>
      <c r="J2190" s="13" t="inlineStr">
        <is>
          <t>10 % × 150,000 × split 80%</t>
        </is>
      </c>
    </row>
    <row r="2191">
      <c r="A2191" s="19" t="n">
        <v>2190</v>
      </c>
      <c r="B2191" s="20" t="n">
        <v>46604</v>
      </c>
      <c r="C2191" s="21" t="n">
        <v>11</v>
      </c>
      <c r="D2191" s="25" t="inlineStr">
        <is>
          <t>Payout</t>
        </is>
      </c>
      <c r="E2191" s="19" t="inlineStr">
        <is>
          <t>LifeUp Trading</t>
        </is>
      </c>
      <c r="F2191" s="19" t="inlineStr">
        <is>
          <t>#233 1 Step 150k</t>
        </is>
      </c>
      <c r="G2191" s="22" t="n">
        <v>150000</v>
      </c>
      <c r="H2191" s="22" t="n">
        <v>12000</v>
      </c>
      <c r="I2191" s="22" t="n">
        <v>17515063.15</v>
      </c>
      <c r="J2191" s="19" t="inlineStr">
        <is>
          <t>10 % × 150,000 × split 80%</t>
        </is>
      </c>
    </row>
    <row r="2192">
      <c r="A2192" s="13" t="n">
        <v>2191</v>
      </c>
      <c r="B2192" s="14" t="n">
        <v>46604</v>
      </c>
      <c r="C2192" s="15" t="n">
        <v>11</v>
      </c>
      <c r="D2192" s="25" t="inlineStr">
        <is>
          <t>Payout</t>
        </is>
      </c>
      <c r="E2192" s="13" t="inlineStr">
        <is>
          <t>LifeUp Trading</t>
        </is>
      </c>
      <c r="F2192" s="13" t="inlineStr">
        <is>
          <t>#234 1 Step 150k</t>
        </is>
      </c>
      <c r="G2192" s="17" t="n">
        <v>150000</v>
      </c>
      <c r="H2192" s="17" t="n">
        <v>12000</v>
      </c>
      <c r="I2192" s="17" t="n">
        <v>17527063.15</v>
      </c>
      <c r="J2192" s="13" t="inlineStr">
        <is>
          <t>10 % × 150,000 × split 80%</t>
        </is>
      </c>
    </row>
    <row r="2193">
      <c r="A2193" s="19" t="n">
        <v>2192</v>
      </c>
      <c r="B2193" s="20" t="n">
        <v>46604</v>
      </c>
      <c r="C2193" s="21" t="n">
        <v>11</v>
      </c>
      <c r="D2193" s="25" t="inlineStr">
        <is>
          <t>Payout</t>
        </is>
      </c>
      <c r="E2193" s="19" t="inlineStr">
        <is>
          <t>LifeUp Trading</t>
        </is>
      </c>
      <c r="F2193" s="19" t="inlineStr">
        <is>
          <t>#235 1 Step 150k</t>
        </is>
      </c>
      <c r="G2193" s="22" t="n">
        <v>150000</v>
      </c>
      <c r="H2193" s="22" t="n">
        <v>12000</v>
      </c>
      <c r="I2193" s="22" t="n">
        <v>17539063.15</v>
      </c>
      <c r="J2193" s="19" t="inlineStr">
        <is>
          <t>10 % × 150,000 × split 80%</t>
        </is>
      </c>
    </row>
    <row r="2194">
      <c r="A2194" s="13" t="n">
        <v>2193</v>
      </c>
      <c r="B2194" s="14" t="n">
        <v>46604</v>
      </c>
      <c r="C2194" s="15" t="n">
        <v>11</v>
      </c>
      <c r="D2194" s="25" t="inlineStr">
        <is>
          <t>Payout</t>
        </is>
      </c>
      <c r="E2194" s="13" t="inlineStr">
        <is>
          <t>Get Funded Now</t>
        </is>
      </c>
      <c r="F2194" s="13" t="inlineStr">
        <is>
          <t>#239 1 Step 200k</t>
        </is>
      </c>
      <c r="G2194" s="17" t="n">
        <v>200000</v>
      </c>
      <c r="H2194" s="17" t="n">
        <v>16000</v>
      </c>
      <c r="I2194" s="17" t="n">
        <v>17555063.15</v>
      </c>
      <c r="J2194" s="13" t="inlineStr">
        <is>
          <t>10 % × 200,000 × split 80%</t>
        </is>
      </c>
    </row>
    <row r="2195">
      <c r="A2195" s="19" t="n">
        <v>2194</v>
      </c>
      <c r="B2195" s="20" t="n">
        <v>46604</v>
      </c>
      <c r="C2195" s="21" t="n">
        <v>11</v>
      </c>
      <c r="D2195" s="25" t="inlineStr">
        <is>
          <t>Payout</t>
        </is>
      </c>
      <c r="E2195" s="19" t="inlineStr">
        <is>
          <t>Get Funded Now</t>
        </is>
      </c>
      <c r="F2195" s="19" t="inlineStr">
        <is>
          <t>#240 1 Step 200k</t>
        </is>
      </c>
      <c r="G2195" s="22" t="n">
        <v>200000</v>
      </c>
      <c r="H2195" s="22" t="n">
        <v>16000</v>
      </c>
      <c r="I2195" s="22" t="n">
        <v>17571063.15</v>
      </c>
      <c r="J2195" s="19" t="inlineStr">
        <is>
          <t>10 % × 200,000 × split 80%</t>
        </is>
      </c>
    </row>
    <row r="2196">
      <c r="A2196" s="13" t="n">
        <v>2195</v>
      </c>
      <c r="B2196" s="14" t="n">
        <v>46604</v>
      </c>
      <c r="C2196" s="15" t="n">
        <v>11</v>
      </c>
      <c r="D2196" s="25" t="inlineStr">
        <is>
          <t>Payout</t>
        </is>
      </c>
      <c r="E2196" s="13" t="inlineStr">
        <is>
          <t>FOREXIVE</t>
        </is>
      </c>
      <c r="F2196" s="13" t="inlineStr">
        <is>
          <t>#246 2 Step 200k</t>
        </is>
      </c>
      <c r="G2196" s="17" t="n">
        <v>200000</v>
      </c>
      <c r="H2196" s="17" t="n">
        <v>16000</v>
      </c>
      <c r="I2196" s="17" t="n">
        <v>17587063.15</v>
      </c>
      <c r="J2196" s="13" t="inlineStr">
        <is>
          <t>10 % × 200,000 × split 80%</t>
        </is>
      </c>
    </row>
    <row r="2197">
      <c r="A2197" s="19" t="n">
        <v>2196</v>
      </c>
      <c r="B2197" s="20" t="n">
        <v>46604</v>
      </c>
      <c r="C2197" s="21" t="n">
        <v>11</v>
      </c>
      <c r="D2197" s="25" t="inlineStr">
        <is>
          <t>Payout</t>
        </is>
      </c>
      <c r="E2197" s="19" t="inlineStr">
        <is>
          <t>Breakout</t>
        </is>
      </c>
      <c r="F2197" s="19" t="inlineStr">
        <is>
          <t>#249 1 Step 200k</t>
        </is>
      </c>
      <c r="G2197" s="22" t="n">
        <v>200000</v>
      </c>
      <c r="H2197" s="22" t="n">
        <v>16000</v>
      </c>
      <c r="I2197" s="22" t="n">
        <v>17603063.15</v>
      </c>
      <c r="J2197" s="19" t="inlineStr">
        <is>
          <t>10 % × 200,000 × split 80%</t>
        </is>
      </c>
    </row>
    <row r="2198">
      <c r="A2198" s="13" t="n">
        <v>2197</v>
      </c>
      <c r="B2198" s="14" t="n">
        <v>46604</v>
      </c>
      <c r="C2198" s="15" t="n">
        <v>11</v>
      </c>
      <c r="D2198" s="25" t="inlineStr">
        <is>
          <t>Payout</t>
        </is>
      </c>
      <c r="E2198" s="13" t="inlineStr">
        <is>
          <t>HyroTrader</t>
        </is>
      </c>
      <c r="F2198" s="13" t="inlineStr">
        <is>
          <t>#254 1 Step 200k</t>
        </is>
      </c>
      <c r="G2198" s="17" t="n">
        <v>200000</v>
      </c>
      <c r="H2198" s="17" t="n">
        <v>16000</v>
      </c>
      <c r="I2198" s="17" t="n">
        <v>17619063.15</v>
      </c>
      <c r="J2198" s="13" t="inlineStr">
        <is>
          <t>10 % × 200,000 × split 80%</t>
        </is>
      </c>
    </row>
    <row r="2199">
      <c r="A2199" s="19" t="n">
        <v>2198</v>
      </c>
      <c r="B2199" s="20" t="n">
        <v>46604</v>
      </c>
      <c r="C2199" s="21" t="n">
        <v>11</v>
      </c>
      <c r="D2199" s="25" t="inlineStr">
        <is>
          <t>Payout</t>
        </is>
      </c>
      <c r="E2199" s="19" t="inlineStr">
        <is>
          <t>Tradersyard</t>
        </is>
      </c>
      <c r="F2199" s="19" t="inlineStr">
        <is>
          <t>#256 1 Step 150k</t>
        </is>
      </c>
      <c r="G2199" s="22" t="n">
        <v>150000</v>
      </c>
      <c r="H2199" s="22" t="n">
        <v>15000</v>
      </c>
      <c r="I2199" s="22" t="n">
        <v>17634063.15</v>
      </c>
      <c r="J2199" s="19" t="inlineStr">
        <is>
          <t>10 % × 150,000 × split 100%</t>
        </is>
      </c>
    </row>
    <row r="2200">
      <c r="A2200" s="13" t="n">
        <v>2199</v>
      </c>
      <c r="B2200" s="14" t="n">
        <v>46604</v>
      </c>
      <c r="C2200" s="15" t="n">
        <v>11</v>
      </c>
      <c r="D2200" s="25" t="inlineStr">
        <is>
          <t>Payout</t>
        </is>
      </c>
      <c r="E2200" s="13" t="inlineStr">
        <is>
          <t>Get Crypto Funded</t>
        </is>
      </c>
      <c r="F2200" s="13" t="inlineStr">
        <is>
          <t>#237 3 Step 200k</t>
        </is>
      </c>
      <c r="G2200" s="17" t="n">
        <v>200000</v>
      </c>
      <c r="H2200" s="17" t="n">
        <v>16000</v>
      </c>
      <c r="I2200" s="17" t="n">
        <v>17650063.15</v>
      </c>
      <c r="J2200" s="13" t="inlineStr">
        <is>
          <t>10 % × 200,000 × split 80%</t>
        </is>
      </c>
    </row>
    <row r="2201">
      <c r="A2201" s="19" t="n">
        <v>2200</v>
      </c>
      <c r="B2201" s="20" t="n">
        <v>46604</v>
      </c>
      <c r="C2201" s="21" t="n">
        <v>11</v>
      </c>
      <c r="D2201" s="25" t="inlineStr">
        <is>
          <t>Payout</t>
        </is>
      </c>
      <c r="E2201" s="19" t="inlineStr">
        <is>
          <t>Get Crypto Funded</t>
        </is>
      </c>
      <c r="F2201" s="19" t="inlineStr">
        <is>
          <t>#238 3 Step 200k</t>
        </is>
      </c>
      <c r="G2201" s="22" t="n">
        <v>200000</v>
      </c>
      <c r="H2201" s="22" t="n">
        <v>16000</v>
      </c>
      <c r="I2201" s="22" t="n">
        <v>17666063.15</v>
      </c>
      <c r="J2201" s="19" t="inlineStr">
        <is>
          <t>10 % × 200,000 × split 80%</t>
        </is>
      </c>
    </row>
    <row r="2202">
      <c r="A2202" s="13" t="n">
        <v>2201</v>
      </c>
      <c r="B2202" s="14" t="n">
        <v>46604</v>
      </c>
      <c r="C2202" s="15" t="n">
        <v>11</v>
      </c>
      <c r="D2202" s="25" t="inlineStr">
        <is>
          <t>Payout</t>
        </is>
      </c>
      <c r="E2202" s="13" t="inlineStr">
        <is>
          <t>Hantec Trader</t>
        </is>
      </c>
      <c r="F2202" s="13" t="inlineStr">
        <is>
          <t>#241 3 Step 200k</t>
        </is>
      </c>
      <c r="G2202" s="17" t="n">
        <v>200000</v>
      </c>
      <c r="H2202" s="17" t="n">
        <v>19000</v>
      </c>
      <c r="I2202" s="17" t="n">
        <v>17685063.15</v>
      </c>
      <c r="J2202" s="13" t="inlineStr">
        <is>
          <t>10 % × 200,000 × split 95%</t>
        </is>
      </c>
    </row>
    <row r="2203">
      <c r="A2203" s="19" t="n">
        <v>2202</v>
      </c>
      <c r="B2203" s="20" t="n">
        <v>46604</v>
      </c>
      <c r="C2203" s="21" t="n">
        <v>11</v>
      </c>
      <c r="D2203" s="25" t="inlineStr">
        <is>
          <t>Payout</t>
        </is>
      </c>
      <c r="E2203" s="19" t="inlineStr">
        <is>
          <t>LifeUp Trading</t>
        </is>
      </c>
      <c r="F2203" s="19" t="inlineStr">
        <is>
          <t>#257 1 Step 150k</t>
        </is>
      </c>
      <c r="G2203" s="22" t="n">
        <v>150000</v>
      </c>
      <c r="H2203" s="22" t="n">
        <v>12000</v>
      </c>
      <c r="I2203" s="22" t="n">
        <v>17697063.15</v>
      </c>
      <c r="J2203" s="19" t="inlineStr">
        <is>
          <t>10 % × 150,000 × split 80%</t>
        </is>
      </c>
    </row>
    <row r="2204">
      <c r="A2204" s="13" t="n">
        <v>2203</v>
      </c>
      <c r="B2204" s="14" t="n">
        <v>46618</v>
      </c>
      <c r="C2204" s="15" t="n">
        <v>11.5</v>
      </c>
      <c r="D2204" s="25" t="inlineStr">
        <is>
          <t>Payout</t>
        </is>
      </c>
      <c r="E2204" s="13" t="inlineStr">
        <is>
          <t>BestProp4U</t>
        </is>
      </c>
      <c r="F2204" s="13" t="inlineStr">
        <is>
          <t>#149 2 Step 400k</t>
        </is>
      </c>
      <c r="G2204" s="17" t="n">
        <v>400000</v>
      </c>
      <c r="H2204" s="17" t="n">
        <v>24000</v>
      </c>
      <c r="I2204" s="17" t="n">
        <v>17721063.15</v>
      </c>
      <c r="J2204" s="13" t="inlineStr">
        <is>
          <t>10 % × 400,000 × split 60%</t>
        </is>
      </c>
    </row>
    <row r="2205">
      <c r="A2205" s="19" t="n">
        <v>2204</v>
      </c>
      <c r="B2205" s="20" t="n">
        <v>46618</v>
      </c>
      <c r="C2205" s="21" t="n">
        <v>11.5</v>
      </c>
      <c r="D2205" s="25" t="inlineStr">
        <is>
          <t>Payout</t>
        </is>
      </c>
      <c r="E2205" s="19" t="inlineStr">
        <is>
          <t>BestProp4U</t>
        </is>
      </c>
      <c r="F2205" s="19" t="inlineStr">
        <is>
          <t>#150 2 Step 400k</t>
        </is>
      </c>
      <c r="G2205" s="22" t="n">
        <v>400000</v>
      </c>
      <c r="H2205" s="22" t="n">
        <v>24000</v>
      </c>
      <c r="I2205" s="22" t="n">
        <v>17745063.15</v>
      </c>
      <c r="J2205" s="19" t="inlineStr">
        <is>
          <t>10 % × 400,000 × split 60%</t>
        </is>
      </c>
    </row>
    <row r="2206">
      <c r="A2206" s="13" t="n">
        <v>2205</v>
      </c>
      <c r="B2206" s="14" t="n">
        <v>46618</v>
      </c>
      <c r="C2206" s="15" t="n">
        <v>11.5</v>
      </c>
      <c r="D2206" s="25" t="inlineStr">
        <is>
          <t>Payout</t>
        </is>
      </c>
      <c r="E2206" s="13" t="inlineStr">
        <is>
          <t>Blink Funding</t>
        </is>
      </c>
      <c r="F2206" s="13" t="inlineStr">
        <is>
          <t>#151 3 Step 500k</t>
        </is>
      </c>
      <c r="G2206" s="17" t="n">
        <v>500000</v>
      </c>
      <c r="H2206" s="17" t="n">
        <v>37500</v>
      </c>
      <c r="I2206" s="17" t="n">
        <v>17782563.15</v>
      </c>
      <c r="J2206" s="13" t="inlineStr">
        <is>
          <t>10 % × 500,000 × split 75%</t>
        </is>
      </c>
    </row>
    <row r="2207">
      <c r="A2207" s="19" t="n">
        <v>2206</v>
      </c>
      <c r="B2207" s="20" t="n">
        <v>46618</v>
      </c>
      <c r="C2207" s="21" t="n">
        <v>11.5</v>
      </c>
      <c r="D2207" s="25" t="inlineStr">
        <is>
          <t>Payout</t>
        </is>
      </c>
      <c r="E2207" s="19" t="inlineStr">
        <is>
          <t>Blink Funding</t>
        </is>
      </c>
      <c r="F2207" s="19" t="inlineStr">
        <is>
          <t>#152 3 Step 500k</t>
        </is>
      </c>
      <c r="G2207" s="22" t="n">
        <v>500000</v>
      </c>
      <c r="H2207" s="22" t="n">
        <v>37500</v>
      </c>
      <c r="I2207" s="22" t="n">
        <v>17820063.15</v>
      </c>
      <c r="J2207" s="19" t="inlineStr">
        <is>
          <t>10 % × 500,000 × split 75%</t>
        </is>
      </c>
    </row>
    <row r="2208">
      <c r="A2208" s="13" t="n">
        <v>2207</v>
      </c>
      <c r="B2208" s="14" t="n">
        <v>46618</v>
      </c>
      <c r="C2208" s="15" t="n">
        <v>11.5</v>
      </c>
      <c r="D2208" s="25" t="inlineStr">
        <is>
          <t>Payout</t>
        </is>
      </c>
      <c r="E2208" s="13" t="inlineStr">
        <is>
          <t>Investiqa</t>
        </is>
      </c>
      <c r="F2208" s="13" t="inlineStr">
        <is>
          <t>#162 2 Step 500k</t>
        </is>
      </c>
      <c r="G2208" s="17" t="n">
        <v>500000</v>
      </c>
      <c r="H2208" s="17" t="n">
        <v>40000</v>
      </c>
      <c r="I2208" s="17" t="n">
        <v>17860063.15</v>
      </c>
      <c r="J2208" s="13" t="inlineStr">
        <is>
          <t>10 % × 500,000 × split 80%</t>
        </is>
      </c>
    </row>
    <row r="2209">
      <c r="A2209" s="19" t="n">
        <v>2208</v>
      </c>
      <c r="B2209" s="20" t="n">
        <v>46618</v>
      </c>
      <c r="C2209" s="21" t="n">
        <v>11.5</v>
      </c>
      <c r="D2209" s="25" t="inlineStr">
        <is>
          <t>Payout</t>
        </is>
      </c>
      <c r="E2209" s="19" t="inlineStr">
        <is>
          <t>Investiqa</t>
        </is>
      </c>
      <c r="F2209" s="19" t="inlineStr">
        <is>
          <t>#163 2 Step 500k</t>
        </is>
      </c>
      <c r="G2209" s="22" t="n">
        <v>500000</v>
      </c>
      <c r="H2209" s="22" t="n">
        <v>40000</v>
      </c>
      <c r="I2209" s="22" t="n">
        <v>17900063.15</v>
      </c>
      <c r="J2209" s="19" t="inlineStr">
        <is>
          <t>10 % × 500,000 × split 80%</t>
        </is>
      </c>
    </row>
    <row r="2210">
      <c r="A2210" s="13" t="n">
        <v>2209</v>
      </c>
      <c r="B2210" s="14" t="n">
        <v>46618</v>
      </c>
      <c r="C2210" s="15" t="n">
        <v>11.5</v>
      </c>
      <c r="D2210" s="25" t="inlineStr">
        <is>
          <t>Payout</t>
        </is>
      </c>
      <c r="E2210" s="13" t="inlineStr">
        <is>
          <t>FXIFY</t>
        </is>
      </c>
      <c r="F2210" s="13" t="inlineStr">
        <is>
          <t>#166 3 Step 400k</t>
        </is>
      </c>
      <c r="G2210" s="17" t="n">
        <v>400000</v>
      </c>
      <c r="H2210" s="17" t="n">
        <v>36000</v>
      </c>
      <c r="I2210" s="17" t="n">
        <v>17936063.15</v>
      </c>
      <c r="J2210" s="13" t="inlineStr">
        <is>
          <t>10 % × 400,000 × split 90%</t>
        </is>
      </c>
    </row>
    <row r="2211">
      <c r="A2211" s="19" t="n">
        <v>2210</v>
      </c>
      <c r="B2211" s="20" t="n">
        <v>46618</v>
      </c>
      <c r="C2211" s="21" t="n">
        <v>11.5</v>
      </c>
      <c r="D2211" s="25" t="inlineStr">
        <is>
          <t>Payout</t>
        </is>
      </c>
      <c r="E2211" s="19" t="inlineStr">
        <is>
          <t>FXIFY</t>
        </is>
      </c>
      <c r="F2211" s="19" t="inlineStr">
        <is>
          <t>#167 3 Step 400k</t>
        </is>
      </c>
      <c r="G2211" s="22" t="n">
        <v>400000</v>
      </c>
      <c r="H2211" s="22" t="n">
        <v>36000</v>
      </c>
      <c r="I2211" s="22" t="n">
        <v>17972063.15</v>
      </c>
      <c r="J2211" s="19" t="inlineStr">
        <is>
          <t>10 % × 400,000 × split 90%</t>
        </is>
      </c>
    </row>
    <row r="2212">
      <c r="A2212" s="13" t="n">
        <v>2211</v>
      </c>
      <c r="B2212" s="14" t="n">
        <v>46618</v>
      </c>
      <c r="C2212" s="15" t="n">
        <v>11.5</v>
      </c>
      <c r="D2212" s="25" t="inlineStr">
        <is>
          <t>Payout</t>
        </is>
      </c>
      <c r="E2212" s="13" t="inlineStr">
        <is>
          <t>Funded Squad</t>
        </is>
      </c>
      <c r="F2212" s="13" t="inlineStr">
        <is>
          <t>#168 2 Step 200k</t>
        </is>
      </c>
      <c r="G2212" s="17" t="n">
        <v>200000</v>
      </c>
      <c r="H2212" s="17" t="n">
        <v>20000</v>
      </c>
      <c r="I2212" s="17" t="n">
        <v>17992063.15</v>
      </c>
      <c r="J2212" s="13" t="inlineStr">
        <is>
          <t>10 % × 200,000 × split 100%</t>
        </is>
      </c>
    </row>
    <row r="2213">
      <c r="A2213" s="19" t="n">
        <v>2212</v>
      </c>
      <c r="B2213" s="20" t="n">
        <v>46618</v>
      </c>
      <c r="C2213" s="21" t="n">
        <v>11.5</v>
      </c>
      <c r="D2213" s="25" t="inlineStr">
        <is>
          <t>Payout</t>
        </is>
      </c>
      <c r="E2213" s="19" t="inlineStr">
        <is>
          <t>Funded Squad</t>
        </is>
      </c>
      <c r="F2213" s="19" t="inlineStr">
        <is>
          <t>#169 2 Step 200k</t>
        </is>
      </c>
      <c r="G2213" s="22" t="n">
        <v>200000</v>
      </c>
      <c r="H2213" s="22" t="n">
        <v>20000</v>
      </c>
      <c r="I2213" s="22" t="n">
        <v>18012063.15</v>
      </c>
      <c r="J2213" s="19" t="inlineStr">
        <is>
          <t>10 % × 200,000 × split 100%</t>
        </is>
      </c>
    </row>
    <row r="2214">
      <c r="A2214" s="13" t="n">
        <v>2213</v>
      </c>
      <c r="B2214" s="14" t="n">
        <v>46618</v>
      </c>
      <c r="C2214" s="15" t="n">
        <v>11.5</v>
      </c>
      <c r="D2214" s="25" t="inlineStr">
        <is>
          <t>Payout</t>
        </is>
      </c>
      <c r="E2214" s="13" t="inlineStr">
        <is>
          <t>Funded Squad</t>
        </is>
      </c>
      <c r="F2214" s="13" t="inlineStr">
        <is>
          <t>#170 2 Step 200k</t>
        </is>
      </c>
      <c r="G2214" s="17" t="n">
        <v>200000</v>
      </c>
      <c r="H2214" s="17" t="n">
        <v>20000</v>
      </c>
      <c r="I2214" s="17" t="n">
        <v>18032063.15</v>
      </c>
      <c r="J2214" s="13" t="inlineStr">
        <is>
          <t>10 % × 200,000 × split 100%</t>
        </is>
      </c>
    </row>
    <row r="2215">
      <c r="A2215" s="19" t="n">
        <v>2214</v>
      </c>
      <c r="B2215" s="20" t="n">
        <v>46618</v>
      </c>
      <c r="C2215" s="21" t="n">
        <v>11.5</v>
      </c>
      <c r="D2215" s="25" t="inlineStr">
        <is>
          <t>Payout</t>
        </is>
      </c>
      <c r="E2215" s="19" t="inlineStr">
        <is>
          <t>Funded Squad</t>
        </is>
      </c>
      <c r="F2215" s="19" t="inlineStr">
        <is>
          <t>#171 2 Step 200k</t>
        </is>
      </c>
      <c r="G2215" s="22" t="n">
        <v>200000</v>
      </c>
      <c r="H2215" s="22" t="n">
        <v>20000</v>
      </c>
      <c r="I2215" s="22" t="n">
        <v>18052063.15</v>
      </c>
      <c r="J2215" s="19" t="inlineStr">
        <is>
          <t>10 % × 200,000 × split 100%</t>
        </is>
      </c>
    </row>
    <row r="2216">
      <c r="A2216" s="13" t="n">
        <v>2215</v>
      </c>
      <c r="B2216" s="14" t="n">
        <v>46618</v>
      </c>
      <c r="C2216" s="15" t="n">
        <v>11.5</v>
      </c>
      <c r="D2216" s="25" t="inlineStr">
        <is>
          <t>Payout</t>
        </is>
      </c>
      <c r="E2216" s="13" t="inlineStr">
        <is>
          <t>Fintokei</t>
        </is>
      </c>
      <c r="F2216" s="13" t="inlineStr">
        <is>
          <t>#189 3 Step 100k</t>
        </is>
      </c>
      <c r="G2216" s="17" t="n">
        <v>100000</v>
      </c>
      <c r="H2216" s="17" t="n">
        <v>10000</v>
      </c>
      <c r="I2216" s="17" t="n">
        <v>18062063.15</v>
      </c>
      <c r="J2216" s="13" t="inlineStr">
        <is>
          <t>10 % × 100,000 × split 100%</t>
        </is>
      </c>
    </row>
    <row r="2217">
      <c r="A2217" s="19" t="n">
        <v>2216</v>
      </c>
      <c r="B2217" s="20" t="n">
        <v>46618</v>
      </c>
      <c r="C2217" s="21" t="n">
        <v>11.5</v>
      </c>
      <c r="D2217" s="25" t="inlineStr">
        <is>
          <t>Payout</t>
        </is>
      </c>
      <c r="E2217" s="19" t="inlineStr">
        <is>
          <t>Fintokei</t>
        </is>
      </c>
      <c r="F2217" s="19" t="inlineStr">
        <is>
          <t>#190 3 Step 100k</t>
        </is>
      </c>
      <c r="G2217" s="22" t="n">
        <v>100000</v>
      </c>
      <c r="H2217" s="22" t="n">
        <v>10000</v>
      </c>
      <c r="I2217" s="22" t="n">
        <v>18072063.15</v>
      </c>
      <c r="J2217" s="19" t="inlineStr">
        <is>
          <t>10 % × 100,000 × split 100%</t>
        </is>
      </c>
    </row>
    <row r="2218">
      <c r="A2218" s="13" t="n">
        <v>2217</v>
      </c>
      <c r="B2218" s="14" t="n">
        <v>46618</v>
      </c>
      <c r="C2218" s="15" t="n">
        <v>11.5</v>
      </c>
      <c r="D2218" s="25" t="inlineStr">
        <is>
          <t>Payout</t>
        </is>
      </c>
      <c r="E2218" s="13" t="inlineStr">
        <is>
          <t>Fintokei</t>
        </is>
      </c>
      <c r="F2218" s="13" t="inlineStr">
        <is>
          <t>#191 3 Step 100k</t>
        </is>
      </c>
      <c r="G2218" s="17" t="n">
        <v>100000</v>
      </c>
      <c r="H2218" s="17" t="n">
        <v>10000</v>
      </c>
      <c r="I2218" s="17" t="n">
        <v>18082063.15</v>
      </c>
      <c r="J2218" s="13" t="inlineStr">
        <is>
          <t>10 % × 100,000 × split 100%</t>
        </is>
      </c>
    </row>
    <row r="2219">
      <c r="A2219" s="19" t="n">
        <v>2218</v>
      </c>
      <c r="B2219" s="20" t="n">
        <v>46618</v>
      </c>
      <c r="C2219" s="21" t="n">
        <v>11.5</v>
      </c>
      <c r="D2219" s="25" t="inlineStr">
        <is>
          <t>Payout</t>
        </is>
      </c>
      <c r="E2219" s="19" t="inlineStr">
        <is>
          <t>Fintokei</t>
        </is>
      </c>
      <c r="F2219" s="19" t="inlineStr">
        <is>
          <t>#192 3 Step 100k</t>
        </is>
      </c>
      <c r="G2219" s="22" t="n">
        <v>100000</v>
      </c>
      <c r="H2219" s="22" t="n">
        <v>10000</v>
      </c>
      <c r="I2219" s="22" t="n">
        <v>18092063.15</v>
      </c>
      <c r="J2219" s="19" t="inlineStr">
        <is>
          <t>10 % × 100,000 × split 100%</t>
        </is>
      </c>
    </row>
    <row r="2220">
      <c r="A2220" s="13" t="n">
        <v>2219</v>
      </c>
      <c r="B2220" s="14" t="n">
        <v>46618</v>
      </c>
      <c r="C2220" s="15" t="n">
        <v>11.5</v>
      </c>
      <c r="D2220" s="25" t="inlineStr">
        <is>
          <t>Payout</t>
        </is>
      </c>
      <c r="E2220" s="13" t="inlineStr">
        <is>
          <t>Fintokei</t>
        </is>
      </c>
      <c r="F2220" s="13" t="inlineStr">
        <is>
          <t>#193 3 Step 100k</t>
        </is>
      </c>
      <c r="G2220" s="17" t="n">
        <v>100000</v>
      </c>
      <c r="H2220" s="17" t="n">
        <v>10000</v>
      </c>
      <c r="I2220" s="17" t="n">
        <v>18102063.15</v>
      </c>
      <c r="J2220" s="13" t="inlineStr">
        <is>
          <t>10 % × 100,000 × split 100%</t>
        </is>
      </c>
    </row>
    <row r="2221">
      <c r="A2221" s="19" t="n">
        <v>2220</v>
      </c>
      <c r="B2221" s="20" t="n">
        <v>46618</v>
      </c>
      <c r="C2221" s="21" t="n">
        <v>11.5</v>
      </c>
      <c r="D2221" s="25" t="inlineStr">
        <is>
          <t>Payout</t>
        </is>
      </c>
      <c r="E2221" s="19" t="inlineStr">
        <is>
          <t>Fintokei</t>
        </is>
      </c>
      <c r="F2221" s="19" t="inlineStr">
        <is>
          <t>#194 3 Step 100k</t>
        </is>
      </c>
      <c r="G2221" s="22" t="n">
        <v>100000</v>
      </c>
      <c r="H2221" s="22" t="n">
        <v>10000</v>
      </c>
      <c r="I2221" s="22" t="n">
        <v>18112063.15</v>
      </c>
      <c r="J2221" s="19" t="inlineStr">
        <is>
          <t>10 % × 100,000 × split 100%</t>
        </is>
      </c>
    </row>
    <row r="2222">
      <c r="A2222" s="13" t="n">
        <v>2221</v>
      </c>
      <c r="B2222" s="14" t="n">
        <v>46618</v>
      </c>
      <c r="C2222" s="15" t="n">
        <v>11.5</v>
      </c>
      <c r="D2222" s="25" t="inlineStr">
        <is>
          <t>Payout</t>
        </is>
      </c>
      <c r="E2222" s="13" t="inlineStr">
        <is>
          <t>Fintokei</t>
        </is>
      </c>
      <c r="F2222" s="13" t="inlineStr">
        <is>
          <t>#195 3 Step 100k</t>
        </is>
      </c>
      <c r="G2222" s="17" t="n">
        <v>100000</v>
      </c>
      <c r="H2222" s="17" t="n">
        <v>10000</v>
      </c>
      <c r="I2222" s="17" t="n">
        <v>18122063.15</v>
      </c>
      <c r="J2222" s="13" t="inlineStr">
        <is>
          <t>10 % × 100,000 × split 100%</t>
        </is>
      </c>
    </row>
    <row r="2223">
      <c r="A2223" s="19" t="n">
        <v>2222</v>
      </c>
      <c r="B2223" s="20" t="n">
        <v>46618</v>
      </c>
      <c r="C2223" s="21" t="n">
        <v>11.5</v>
      </c>
      <c r="D2223" s="25" t="inlineStr">
        <is>
          <t>Payout</t>
        </is>
      </c>
      <c r="E2223" s="19" t="inlineStr">
        <is>
          <t>DNA Funded</t>
        </is>
      </c>
      <c r="F2223" s="19" t="inlineStr">
        <is>
          <t>#196 2 Step 200k</t>
        </is>
      </c>
      <c r="G2223" s="22" t="n">
        <v>200000</v>
      </c>
      <c r="H2223" s="22" t="n">
        <v>18000</v>
      </c>
      <c r="I2223" s="22" t="n">
        <v>18140063.15</v>
      </c>
      <c r="J2223" s="19" t="inlineStr">
        <is>
          <t>10 % × 200,000 × split 90%</t>
        </is>
      </c>
    </row>
    <row r="2224">
      <c r="A2224" s="13" t="n">
        <v>2223</v>
      </c>
      <c r="B2224" s="14" t="n">
        <v>46618</v>
      </c>
      <c r="C2224" s="15" t="n">
        <v>11.5</v>
      </c>
      <c r="D2224" s="25" t="inlineStr">
        <is>
          <t>Payout</t>
        </is>
      </c>
      <c r="E2224" s="13" t="inlineStr">
        <is>
          <t>DNA Funded</t>
        </is>
      </c>
      <c r="F2224" s="13" t="inlineStr">
        <is>
          <t>#197 2 Step 200k</t>
        </is>
      </c>
      <c r="G2224" s="17" t="n">
        <v>200000</v>
      </c>
      <c r="H2224" s="17" t="n">
        <v>18000</v>
      </c>
      <c r="I2224" s="17" t="n">
        <v>18158063.15</v>
      </c>
      <c r="J2224" s="13" t="inlineStr">
        <is>
          <t>10 % × 200,000 × split 90%</t>
        </is>
      </c>
    </row>
    <row r="2225">
      <c r="A2225" s="19" t="n">
        <v>2224</v>
      </c>
      <c r="B2225" s="20" t="n">
        <v>46618</v>
      </c>
      <c r="C2225" s="21" t="n">
        <v>11.5</v>
      </c>
      <c r="D2225" s="25" t="inlineStr">
        <is>
          <t>Payout</t>
        </is>
      </c>
      <c r="E2225" s="19" t="inlineStr">
        <is>
          <t>DNA Funded</t>
        </is>
      </c>
      <c r="F2225" s="19" t="inlineStr">
        <is>
          <t>#198 2 Step 200k</t>
        </is>
      </c>
      <c r="G2225" s="22" t="n">
        <v>200000</v>
      </c>
      <c r="H2225" s="22" t="n">
        <v>18000</v>
      </c>
      <c r="I2225" s="22" t="n">
        <v>18176063.15</v>
      </c>
      <c r="J2225" s="19" t="inlineStr">
        <is>
          <t>10 % × 200,000 × split 90%</t>
        </is>
      </c>
    </row>
    <row r="2226">
      <c r="A2226" s="13" t="n">
        <v>2225</v>
      </c>
      <c r="B2226" s="14" t="n">
        <v>46618</v>
      </c>
      <c r="C2226" s="15" t="n">
        <v>11.5</v>
      </c>
      <c r="D2226" s="25" t="inlineStr">
        <is>
          <t>Payout</t>
        </is>
      </c>
      <c r="E2226" s="13" t="inlineStr">
        <is>
          <t>Eightcap Challenges</t>
        </is>
      </c>
      <c r="F2226" s="13" t="inlineStr">
        <is>
          <t>#199 2 Step 200k</t>
        </is>
      </c>
      <c r="G2226" s="17" t="n">
        <v>200000</v>
      </c>
      <c r="H2226" s="17" t="n">
        <v>16000</v>
      </c>
      <c r="I2226" s="17" t="n">
        <v>18192063.15</v>
      </c>
      <c r="J2226" s="13" t="inlineStr">
        <is>
          <t>10 % × 200,000 × split 80%</t>
        </is>
      </c>
    </row>
    <row r="2227">
      <c r="A2227" s="19" t="n">
        <v>2226</v>
      </c>
      <c r="B2227" s="20" t="n">
        <v>46618</v>
      </c>
      <c r="C2227" s="21" t="n">
        <v>11.5</v>
      </c>
      <c r="D2227" s="25" t="inlineStr">
        <is>
          <t>Payout</t>
        </is>
      </c>
      <c r="E2227" s="19" t="inlineStr">
        <is>
          <t>Eightcap Challenges</t>
        </is>
      </c>
      <c r="F2227" s="19" t="inlineStr">
        <is>
          <t>#200 2 Step 200k</t>
        </is>
      </c>
      <c r="G2227" s="22" t="n">
        <v>200000</v>
      </c>
      <c r="H2227" s="22" t="n">
        <v>16000</v>
      </c>
      <c r="I2227" s="22" t="n">
        <v>18208063.15</v>
      </c>
      <c r="J2227" s="19" t="inlineStr">
        <is>
          <t>10 % × 200,000 × split 80%</t>
        </is>
      </c>
    </row>
    <row r="2228">
      <c r="A2228" s="13" t="n">
        <v>2227</v>
      </c>
      <c r="B2228" s="14" t="n">
        <v>46618</v>
      </c>
      <c r="C2228" s="15" t="n">
        <v>11.5</v>
      </c>
      <c r="D2228" s="25" t="inlineStr">
        <is>
          <t>Payout</t>
        </is>
      </c>
      <c r="E2228" s="13" t="inlineStr">
        <is>
          <t>Eightcap Challenges</t>
        </is>
      </c>
      <c r="F2228" s="13" t="inlineStr">
        <is>
          <t>#201 2 Step 200k</t>
        </is>
      </c>
      <c r="G2228" s="17" t="n">
        <v>200000</v>
      </c>
      <c r="H2228" s="17" t="n">
        <v>16000</v>
      </c>
      <c r="I2228" s="17" t="n">
        <v>18224063.15</v>
      </c>
      <c r="J2228" s="13" t="inlineStr">
        <is>
          <t>10 % × 200,000 × split 80%</t>
        </is>
      </c>
    </row>
    <row r="2229">
      <c r="A2229" s="19" t="n">
        <v>2228</v>
      </c>
      <c r="B2229" s="20" t="n">
        <v>46618</v>
      </c>
      <c r="C2229" s="21" t="n">
        <v>11.5</v>
      </c>
      <c r="D2229" s="25" t="inlineStr">
        <is>
          <t>Payout</t>
        </is>
      </c>
      <c r="E2229" s="19" t="inlineStr">
        <is>
          <t>E8 Markets</t>
        </is>
      </c>
      <c r="F2229" s="19" t="inlineStr">
        <is>
          <t>#203 2 Step 150k</t>
        </is>
      </c>
      <c r="G2229" s="22" t="n">
        <v>150000</v>
      </c>
      <c r="H2229" s="22" t="n">
        <v>12000</v>
      </c>
      <c r="I2229" s="22" t="n">
        <v>18236063.15</v>
      </c>
      <c r="J2229" s="19" t="inlineStr">
        <is>
          <t>10 % × 150,000 × split 80%</t>
        </is>
      </c>
    </row>
    <row r="2230">
      <c r="A2230" s="13" t="n">
        <v>2229</v>
      </c>
      <c r="B2230" s="14" t="n">
        <v>46618</v>
      </c>
      <c r="C2230" s="15" t="n">
        <v>11.5</v>
      </c>
      <c r="D2230" s="25" t="inlineStr">
        <is>
          <t>Payout</t>
        </is>
      </c>
      <c r="E2230" s="13" t="inlineStr">
        <is>
          <t>E8 Markets</t>
        </is>
      </c>
      <c r="F2230" s="13" t="inlineStr">
        <is>
          <t>#204 2 Step 150k</t>
        </is>
      </c>
      <c r="G2230" s="17" t="n">
        <v>150000</v>
      </c>
      <c r="H2230" s="17" t="n">
        <v>12000</v>
      </c>
      <c r="I2230" s="17" t="n">
        <v>18248063.15</v>
      </c>
      <c r="J2230" s="13" t="inlineStr">
        <is>
          <t>10 % × 150,000 × split 80%</t>
        </is>
      </c>
    </row>
    <row r="2231">
      <c r="A2231" s="19" t="n">
        <v>2230</v>
      </c>
      <c r="B2231" s="20" t="n">
        <v>46618</v>
      </c>
      <c r="C2231" s="21" t="n">
        <v>11.5</v>
      </c>
      <c r="D2231" s="25" t="inlineStr">
        <is>
          <t>Payout</t>
        </is>
      </c>
      <c r="E2231" s="19" t="inlineStr">
        <is>
          <t>E8 Markets</t>
        </is>
      </c>
      <c r="F2231" s="19" t="inlineStr">
        <is>
          <t>#205 2 Step 150k</t>
        </is>
      </c>
      <c r="G2231" s="22" t="n">
        <v>150000</v>
      </c>
      <c r="H2231" s="22" t="n">
        <v>12000</v>
      </c>
      <c r="I2231" s="22" t="n">
        <v>18260063.15</v>
      </c>
      <c r="J2231" s="19" t="inlineStr">
        <is>
          <t>10 % × 150,000 × split 80%</t>
        </is>
      </c>
    </row>
    <row r="2232">
      <c r="A2232" s="13" t="n">
        <v>2231</v>
      </c>
      <c r="B2232" s="14" t="n">
        <v>46618</v>
      </c>
      <c r="C2232" s="15" t="n">
        <v>11.5</v>
      </c>
      <c r="D2232" s="25" t="inlineStr">
        <is>
          <t>Payout</t>
        </is>
      </c>
      <c r="E2232" s="13" t="inlineStr">
        <is>
          <t>IC Funded</t>
        </is>
      </c>
      <c r="F2232" s="13" t="inlineStr">
        <is>
          <t>#209 2 Step 500k</t>
        </is>
      </c>
      <c r="G2232" s="17" t="n">
        <v>500000</v>
      </c>
      <c r="H2232" s="17" t="n">
        <v>45000</v>
      </c>
      <c r="I2232" s="17" t="n">
        <v>18305063.15</v>
      </c>
      <c r="J2232" s="13" t="inlineStr">
        <is>
          <t>10 % × 500,000 × split 90%</t>
        </is>
      </c>
    </row>
    <row r="2233">
      <c r="A2233" s="19" t="n">
        <v>2232</v>
      </c>
      <c r="B2233" s="20" t="n">
        <v>46618</v>
      </c>
      <c r="C2233" s="21" t="n">
        <v>11.5</v>
      </c>
      <c r="D2233" s="25" t="inlineStr">
        <is>
          <t>Payout</t>
        </is>
      </c>
      <c r="E2233" s="19" t="inlineStr">
        <is>
          <t>Blueberry Futures</t>
        </is>
      </c>
      <c r="F2233" s="19" t="inlineStr">
        <is>
          <t>#210 1 Step 150k</t>
        </is>
      </c>
      <c r="G2233" s="22" t="n">
        <v>150000</v>
      </c>
      <c r="H2233" s="22" t="n">
        <v>13500</v>
      </c>
      <c r="I2233" s="22" t="n">
        <v>18318563.15</v>
      </c>
      <c r="J2233" s="19" t="inlineStr">
        <is>
          <t>10 % × 150,000 × split 90%</t>
        </is>
      </c>
    </row>
    <row r="2234">
      <c r="A2234" s="13" t="n">
        <v>2233</v>
      </c>
      <c r="B2234" s="14" t="n">
        <v>46618</v>
      </c>
      <c r="C2234" s="15" t="n">
        <v>11.5</v>
      </c>
      <c r="D2234" s="25" t="inlineStr">
        <is>
          <t>Payout</t>
        </is>
      </c>
      <c r="E2234" s="13" t="inlineStr">
        <is>
          <t>Blueberry Futures</t>
        </is>
      </c>
      <c r="F2234" s="13" t="inlineStr">
        <is>
          <t>#211 1 Step 150k</t>
        </is>
      </c>
      <c r="G2234" s="17" t="n">
        <v>150000</v>
      </c>
      <c r="H2234" s="17" t="n">
        <v>13500</v>
      </c>
      <c r="I2234" s="17" t="n">
        <v>18332063.15</v>
      </c>
      <c r="J2234" s="13" t="inlineStr">
        <is>
          <t>10 % × 150,000 × split 90%</t>
        </is>
      </c>
    </row>
    <row r="2235">
      <c r="A2235" s="19" t="n">
        <v>2234</v>
      </c>
      <c r="B2235" s="20" t="n">
        <v>46618</v>
      </c>
      <c r="C2235" s="21" t="n">
        <v>11.5</v>
      </c>
      <c r="D2235" s="25" t="inlineStr">
        <is>
          <t>Payout</t>
        </is>
      </c>
      <c r="E2235" s="19" t="inlineStr">
        <is>
          <t>Blueberry Futures</t>
        </is>
      </c>
      <c r="F2235" s="19" t="inlineStr">
        <is>
          <t>#212 1 Step 150k</t>
        </is>
      </c>
      <c r="G2235" s="22" t="n">
        <v>150000</v>
      </c>
      <c r="H2235" s="22" t="n">
        <v>13500</v>
      </c>
      <c r="I2235" s="22" t="n">
        <v>18345563.15</v>
      </c>
      <c r="J2235" s="19" t="inlineStr">
        <is>
          <t>10 % × 150,000 × split 90%</t>
        </is>
      </c>
    </row>
    <row r="2236">
      <c r="A2236" s="13" t="n">
        <v>2235</v>
      </c>
      <c r="B2236" s="14" t="n">
        <v>46618</v>
      </c>
      <c r="C2236" s="15" t="n">
        <v>11.5</v>
      </c>
      <c r="D2236" s="25" t="inlineStr">
        <is>
          <t>Payout</t>
        </is>
      </c>
      <c r="E2236" s="13" t="inlineStr">
        <is>
          <t>Direct Funded Trader</t>
        </is>
      </c>
      <c r="F2236" s="13" t="inlineStr">
        <is>
          <t>#225 2 Step 200k</t>
        </is>
      </c>
      <c r="G2236" s="17" t="n">
        <v>200000</v>
      </c>
      <c r="H2236" s="17" t="n">
        <v>16000</v>
      </c>
      <c r="I2236" s="17" t="n">
        <v>18361563.15</v>
      </c>
      <c r="J2236" s="13" t="inlineStr">
        <is>
          <t>10 % × 200,000 × split 80%</t>
        </is>
      </c>
    </row>
    <row r="2237">
      <c r="A2237" s="19" t="n">
        <v>2236</v>
      </c>
      <c r="B2237" s="20" t="n">
        <v>46618</v>
      </c>
      <c r="C2237" s="21" t="n">
        <v>11.5</v>
      </c>
      <c r="D2237" s="25" t="inlineStr">
        <is>
          <t>Payout</t>
        </is>
      </c>
      <c r="E2237" s="19" t="inlineStr">
        <is>
          <t>Direct Funded Trader</t>
        </is>
      </c>
      <c r="F2237" s="19" t="inlineStr">
        <is>
          <t>#226 2 Step 200k</t>
        </is>
      </c>
      <c r="G2237" s="22" t="n">
        <v>200000</v>
      </c>
      <c r="H2237" s="22" t="n">
        <v>16000</v>
      </c>
      <c r="I2237" s="22" t="n">
        <v>18377563.15</v>
      </c>
      <c r="J2237" s="19" t="inlineStr">
        <is>
          <t>10 % × 200,000 × split 80%</t>
        </is>
      </c>
    </row>
    <row r="2238">
      <c r="A2238" s="13" t="n">
        <v>2237</v>
      </c>
      <c r="B2238" s="14" t="n">
        <v>46618</v>
      </c>
      <c r="C2238" s="15" t="n">
        <v>11.5</v>
      </c>
      <c r="D2238" s="25" t="inlineStr">
        <is>
          <t>Payout</t>
        </is>
      </c>
      <c r="E2238" s="13" t="inlineStr">
        <is>
          <t>Fundora</t>
        </is>
      </c>
      <c r="F2238" s="13" t="inlineStr">
        <is>
          <t>#236 2 Step 400k</t>
        </is>
      </c>
      <c r="G2238" s="17" t="n">
        <v>400000</v>
      </c>
      <c r="H2238" s="17" t="n">
        <v>32000</v>
      </c>
      <c r="I2238" s="17" t="n">
        <v>18409563.15</v>
      </c>
      <c r="J2238" s="13" t="inlineStr">
        <is>
          <t>10 % × 400,000 × split 80%</t>
        </is>
      </c>
    </row>
    <row r="2239">
      <c r="A2239" s="19" t="n">
        <v>2238</v>
      </c>
      <c r="B2239" s="20" t="n">
        <v>46618</v>
      </c>
      <c r="C2239" s="21" t="n">
        <v>11.5</v>
      </c>
      <c r="D2239" s="25" t="inlineStr">
        <is>
          <t>Payout</t>
        </is>
      </c>
      <c r="E2239" s="19" t="inlineStr">
        <is>
          <t>Lion Heart Funding</t>
        </is>
      </c>
      <c r="F2239" s="19" t="inlineStr">
        <is>
          <t>#242 2 Step 400k</t>
        </is>
      </c>
      <c r="G2239" s="22" t="n">
        <v>400000</v>
      </c>
      <c r="H2239" s="22" t="n">
        <v>32000</v>
      </c>
      <c r="I2239" s="22" t="n">
        <v>18441563.15</v>
      </c>
      <c r="J2239" s="19" t="inlineStr">
        <is>
          <t>10 % × 400,000 × split 80%</t>
        </is>
      </c>
    </row>
    <row r="2240">
      <c r="A2240" s="13" t="n">
        <v>2239</v>
      </c>
      <c r="B2240" s="14" t="n">
        <v>46618</v>
      </c>
      <c r="C2240" s="15" t="n">
        <v>11.5</v>
      </c>
      <c r="D2240" s="25" t="inlineStr">
        <is>
          <t>Payout</t>
        </is>
      </c>
      <c r="E2240" s="13" t="inlineStr">
        <is>
          <t>FX2 Funding</t>
        </is>
      </c>
      <c r="F2240" s="13" t="inlineStr">
        <is>
          <t>#243 2 Step 100k</t>
        </is>
      </c>
      <c r="G2240" s="17" t="n">
        <v>100000</v>
      </c>
      <c r="H2240" s="17" t="n">
        <v>8000</v>
      </c>
      <c r="I2240" s="17" t="n">
        <v>18449563.15</v>
      </c>
      <c r="J2240" s="13" t="inlineStr">
        <is>
          <t>10 % × 100,000 × split 80%</t>
        </is>
      </c>
    </row>
    <row r="2241">
      <c r="A2241" s="19" t="n">
        <v>2240</v>
      </c>
      <c r="B2241" s="20" t="n">
        <v>46618</v>
      </c>
      <c r="C2241" s="21" t="n">
        <v>11.5</v>
      </c>
      <c r="D2241" s="25" t="inlineStr">
        <is>
          <t>Payout</t>
        </is>
      </c>
      <c r="E2241" s="19" t="inlineStr">
        <is>
          <t>FX2 Funding</t>
        </is>
      </c>
      <c r="F2241" s="19" t="inlineStr">
        <is>
          <t>#244 2 Step 100k</t>
        </is>
      </c>
      <c r="G2241" s="22" t="n">
        <v>100000</v>
      </c>
      <c r="H2241" s="22" t="n">
        <v>8000</v>
      </c>
      <c r="I2241" s="22" t="n">
        <v>18457563.15</v>
      </c>
      <c r="J2241" s="19" t="inlineStr">
        <is>
          <t>10 % × 100,000 × split 80%</t>
        </is>
      </c>
    </row>
    <row r="2242">
      <c r="A2242" s="13" t="n">
        <v>2241</v>
      </c>
      <c r="B2242" s="14" t="n">
        <v>46618</v>
      </c>
      <c r="C2242" s="15" t="n">
        <v>11.5</v>
      </c>
      <c r="D2242" s="25" t="inlineStr">
        <is>
          <t>Payout</t>
        </is>
      </c>
      <c r="E2242" s="13" t="inlineStr">
        <is>
          <t>FX2 Funding</t>
        </is>
      </c>
      <c r="F2242" s="13" t="inlineStr">
        <is>
          <t>#245 2 Step 100k</t>
        </is>
      </c>
      <c r="G2242" s="17" t="n">
        <v>100000</v>
      </c>
      <c r="H2242" s="17" t="n">
        <v>8000</v>
      </c>
      <c r="I2242" s="17" t="n">
        <v>18465563.15</v>
      </c>
      <c r="J2242" s="13" t="inlineStr">
        <is>
          <t>10 % × 100,000 × split 80%</t>
        </is>
      </c>
    </row>
    <row r="2243">
      <c r="A2243" s="19" t="n">
        <v>2242</v>
      </c>
      <c r="B2243" s="20" t="n">
        <v>46618</v>
      </c>
      <c r="C2243" s="21" t="n">
        <v>11.5</v>
      </c>
      <c r="D2243" s="25" t="inlineStr">
        <is>
          <t>Payout</t>
        </is>
      </c>
      <c r="E2243" s="19" t="inlineStr">
        <is>
          <t>AIFO</t>
        </is>
      </c>
      <c r="F2243" s="19" t="inlineStr">
        <is>
          <t>#247 2 Step 200k</t>
        </is>
      </c>
      <c r="G2243" s="22" t="n">
        <v>200000</v>
      </c>
      <c r="H2243" s="22" t="n">
        <v>19000</v>
      </c>
      <c r="I2243" s="22" t="n">
        <v>18484563.15</v>
      </c>
      <c r="J2243" s="19" t="inlineStr">
        <is>
          <t>10 % × 200,000 × split 95%</t>
        </is>
      </c>
    </row>
    <row r="2244">
      <c r="A2244" s="13" t="n">
        <v>2243</v>
      </c>
      <c r="B2244" s="14" t="n">
        <v>46618</v>
      </c>
      <c r="C2244" s="15" t="n">
        <v>11.5</v>
      </c>
      <c r="D2244" s="25" t="inlineStr">
        <is>
          <t>Payout</t>
        </is>
      </c>
      <c r="E2244" s="13" t="inlineStr">
        <is>
          <t>BEM Funding</t>
        </is>
      </c>
      <c r="F2244" s="13" t="inlineStr">
        <is>
          <t>#248 2 Step 100k</t>
        </is>
      </c>
      <c r="G2244" s="17" t="n">
        <v>100000</v>
      </c>
      <c r="H2244" s="17" t="n">
        <v>8000</v>
      </c>
      <c r="I2244" s="17" t="n">
        <v>18492563.15</v>
      </c>
      <c r="J2244" s="13" t="inlineStr">
        <is>
          <t>10 % × 100,000 × split 80%</t>
        </is>
      </c>
    </row>
    <row r="2245">
      <c r="A2245" s="19" t="n">
        <v>2244</v>
      </c>
      <c r="B2245" s="20" t="n">
        <v>46618</v>
      </c>
      <c r="C2245" s="21" t="n">
        <v>11.5</v>
      </c>
      <c r="D2245" s="25" t="inlineStr">
        <is>
          <t>Payout</t>
        </is>
      </c>
      <c r="E2245" s="19" t="inlineStr">
        <is>
          <t>BullRush</t>
        </is>
      </c>
      <c r="F2245" s="19" t="inlineStr">
        <is>
          <t>#250 2 Step 200k</t>
        </is>
      </c>
      <c r="G2245" s="22" t="n">
        <v>200000</v>
      </c>
      <c r="H2245" s="22" t="n">
        <v>15000</v>
      </c>
      <c r="I2245" s="22" t="n">
        <v>18507563.15</v>
      </c>
      <c r="J2245" s="19" t="inlineStr">
        <is>
          <t>10 % × 200,000 × split 75%</t>
        </is>
      </c>
    </row>
    <row r="2246">
      <c r="A2246" s="13" t="n">
        <v>2245</v>
      </c>
      <c r="B2246" s="14" t="n">
        <v>46618</v>
      </c>
      <c r="C2246" s="15" t="n">
        <v>11.5</v>
      </c>
      <c r="D2246" s="25" t="inlineStr">
        <is>
          <t>Payout</t>
        </is>
      </c>
      <c r="E2246" s="13" t="inlineStr">
        <is>
          <t>Exclusive Funded Programme</t>
        </is>
      </c>
      <c r="F2246" s="13" t="inlineStr">
        <is>
          <t>#251 2 Step 200k</t>
        </is>
      </c>
      <c r="G2246" s="17" t="n">
        <v>200000</v>
      </c>
      <c r="H2246" s="17" t="n">
        <v>16000</v>
      </c>
      <c r="I2246" s="17" t="n">
        <v>18523563.15</v>
      </c>
      <c r="J2246" s="13" t="inlineStr">
        <is>
          <t>10 % × 200,000 × split 80%</t>
        </is>
      </c>
    </row>
    <row r="2247">
      <c r="A2247" s="19" t="n">
        <v>2246</v>
      </c>
      <c r="B2247" s="20" t="n">
        <v>46618</v>
      </c>
      <c r="C2247" s="21" t="n">
        <v>11.5</v>
      </c>
      <c r="D2247" s="25" t="inlineStr">
        <is>
          <t>Payout</t>
        </is>
      </c>
      <c r="E2247" s="19" t="inlineStr">
        <is>
          <t>FunderPro</t>
        </is>
      </c>
      <c r="F2247" s="19" t="inlineStr">
        <is>
          <t>#252 1 Step 200k</t>
        </is>
      </c>
      <c r="G2247" s="22" t="n">
        <v>200000</v>
      </c>
      <c r="H2247" s="22" t="n">
        <v>16000</v>
      </c>
      <c r="I2247" s="22" t="n">
        <v>18539563.15</v>
      </c>
      <c r="J2247" s="19" t="inlineStr">
        <is>
          <t>10 % × 200,000 × split 80%</t>
        </is>
      </c>
    </row>
    <row r="2248">
      <c r="A2248" s="13" t="n">
        <v>2247</v>
      </c>
      <c r="B2248" s="14" t="n">
        <v>46618</v>
      </c>
      <c r="C2248" s="15" t="n">
        <v>11.5</v>
      </c>
      <c r="D2248" s="25" t="inlineStr">
        <is>
          <t>Payout</t>
        </is>
      </c>
      <c r="E2248" s="13" t="inlineStr">
        <is>
          <t>Funding Your Trades</t>
        </is>
      </c>
      <c r="F2248" s="13" t="inlineStr">
        <is>
          <t>#253 2 Step 100k</t>
        </is>
      </c>
      <c r="G2248" s="17" t="n">
        <v>100000</v>
      </c>
      <c r="H2248" s="17" t="n">
        <v>10000</v>
      </c>
      <c r="I2248" s="17" t="n">
        <v>18549563.15</v>
      </c>
      <c r="J2248" s="13" t="inlineStr">
        <is>
          <t>10 % × 100,000 × split 100%</t>
        </is>
      </c>
    </row>
    <row r="2249">
      <c r="A2249" s="19" t="n">
        <v>2248</v>
      </c>
      <c r="B2249" s="20" t="n">
        <v>46618</v>
      </c>
      <c r="C2249" s="21" t="n">
        <v>11.5</v>
      </c>
      <c r="D2249" s="25" t="inlineStr">
        <is>
          <t>Payout</t>
        </is>
      </c>
      <c r="E2249" s="19" t="inlineStr">
        <is>
          <t>Mubite</t>
        </is>
      </c>
      <c r="F2249" s="19" t="inlineStr">
        <is>
          <t>#255 2 Step 200k</t>
        </is>
      </c>
      <c r="G2249" s="22" t="n">
        <v>200000</v>
      </c>
      <c r="H2249" s="22" t="n">
        <v>16000</v>
      </c>
      <c r="I2249" s="22" t="n">
        <v>18565563.15</v>
      </c>
      <c r="J2249" s="19" t="inlineStr">
        <is>
          <t>10 % × 200,000 × split 80%</t>
        </is>
      </c>
    </row>
    <row r="2250">
      <c r="A2250" s="13" t="n">
        <v>2249</v>
      </c>
      <c r="B2250" s="14" t="n">
        <v>46618</v>
      </c>
      <c r="C2250" s="15" t="n">
        <v>11.5</v>
      </c>
      <c r="D2250" s="25" t="inlineStr">
        <is>
          <t>Payout</t>
        </is>
      </c>
      <c r="E2250" s="13" t="inlineStr">
        <is>
          <t>MFunded (MarketsVox)</t>
        </is>
      </c>
      <c r="F2250" s="13" t="inlineStr">
        <is>
          <t>#258 2 Step 100k</t>
        </is>
      </c>
      <c r="G2250" s="17" t="n">
        <v>100000</v>
      </c>
      <c r="H2250" s="17" t="n">
        <v>8000</v>
      </c>
      <c r="I2250" s="17" t="n">
        <v>18573563.15</v>
      </c>
      <c r="J2250" s="13" t="inlineStr">
        <is>
          <t>10 % × 100,000 × split 80%</t>
        </is>
      </c>
    </row>
    <row r="2251">
      <c r="A2251" s="19" t="n">
        <v>2250</v>
      </c>
      <c r="B2251" s="20" t="n">
        <v>46618</v>
      </c>
      <c r="C2251" s="21" t="n">
        <v>11.5</v>
      </c>
      <c r="D2251" s="25" t="inlineStr">
        <is>
          <t>Payout</t>
        </is>
      </c>
      <c r="E2251" s="19" t="inlineStr">
        <is>
          <t>Monevis</t>
        </is>
      </c>
      <c r="F2251" s="19" t="inlineStr">
        <is>
          <t>#259 3 Step 100k</t>
        </is>
      </c>
      <c r="G2251" s="22" t="n">
        <v>100000</v>
      </c>
      <c r="H2251" s="22" t="n">
        <v>8000</v>
      </c>
      <c r="I2251" s="22" t="n">
        <v>18581563.15</v>
      </c>
      <c r="J2251" s="19" t="inlineStr">
        <is>
          <t>10 % × 100,000 × split 80%</t>
        </is>
      </c>
    </row>
    <row r="2252">
      <c r="A2252" s="13" t="n">
        <v>2251</v>
      </c>
      <c r="B2252" s="14" t="n">
        <v>46632</v>
      </c>
      <c r="C2252" s="15" t="n">
        <v>12</v>
      </c>
      <c r="D2252" s="25" t="inlineStr">
        <is>
          <t>Payout</t>
        </is>
      </c>
      <c r="E2252" s="13" t="inlineStr">
        <is>
          <t>FundedNext</t>
        </is>
      </c>
      <c r="F2252" s="13" t="inlineStr">
        <is>
          <t>#1 Départ 10k</t>
        </is>
      </c>
      <c r="G2252" s="17" t="n">
        <v>10000</v>
      </c>
      <c r="H2252" s="17" t="n">
        <v>800</v>
      </c>
      <c r="I2252" s="17" t="n">
        <v>18582363.15</v>
      </c>
      <c r="J2252" s="13" t="inlineStr">
        <is>
          <t>10 % × 10,000 × split 80%</t>
        </is>
      </c>
    </row>
    <row r="2253">
      <c r="A2253" s="19" t="n">
        <v>2252</v>
      </c>
      <c r="B2253" s="20" t="n">
        <v>46632</v>
      </c>
      <c r="C2253" s="21" t="n">
        <v>12</v>
      </c>
      <c r="D2253" s="25" t="inlineStr">
        <is>
          <t>Payout</t>
        </is>
      </c>
      <c r="E2253" s="19" t="inlineStr">
        <is>
          <t>Moneta Funded</t>
        </is>
      </c>
      <c r="F2253" s="19" t="inlineStr">
        <is>
          <t>#2 Instant-Direct 100k</t>
        </is>
      </c>
      <c r="G2253" s="22" t="n">
        <v>100000</v>
      </c>
      <c r="H2253" s="22" t="n">
        <v>8000</v>
      </c>
      <c r="I2253" s="22" t="n">
        <v>18590363.15</v>
      </c>
      <c r="J2253" s="19" t="inlineStr">
        <is>
          <t>10 % × 100,000 × split 80%</t>
        </is>
      </c>
    </row>
    <row r="2254">
      <c r="A2254" s="13" t="n">
        <v>2253</v>
      </c>
      <c r="B2254" s="14" t="n">
        <v>46632</v>
      </c>
      <c r="C2254" s="15" t="n">
        <v>12</v>
      </c>
      <c r="D2254" s="25" t="inlineStr">
        <is>
          <t>Payout</t>
        </is>
      </c>
      <c r="E2254" s="13" t="inlineStr">
        <is>
          <t>Moneta Funded</t>
        </is>
      </c>
      <c r="F2254" s="13" t="inlineStr">
        <is>
          <t>#3 Instant-Direct 100k</t>
        </is>
      </c>
      <c r="G2254" s="17" t="n">
        <v>100000</v>
      </c>
      <c r="H2254" s="17" t="n">
        <v>8000</v>
      </c>
      <c r="I2254" s="17" t="n">
        <v>18598363.15</v>
      </c>
      <c r="J2254" s="13" t="inlineStr">
        <is>
          <t>10 % × 100,000 × split 80%</t>
        </is>
      </c>
    </row>
    <row r="2255">
      <c r="A2255" s="19" t="n">
        <v>2254</v>
      </c>
      <c r="B2255" s="20" t="n">
        <v>46632</v>
      </c>
      <c r="C2255" s="21" t="n">
        <v>12</v>
      </c>
      <c r="D2255" s="25" t="inlineStr">
        <is>
          <t>Payout</t>
        </is>
      </c>
      <c r="E2255" s="19" t="inlineStr">
        <is>
          <t>Moneta Funded</t>
        </is>
      </c>
      <c r="F2255" s="19" t="inlineStr">
        <is>
          <t>#4 Instant-Direct 100k</t>
        </is>
      </c>
      <c r="G2255" s="22" t="n">
        <v>100000</v>
      </c>
      <c r="H2255" s="22" t="n">
        <v>8000</v>
      </c>
      <c r="I2255" s="22" t="n">
        <v>18606363.15</v>
      </c>
      <c r="J2255" s="19" t="inlineStr">
        <is>
          <t>10 % × 100,000 × split 80%</t>
        </is>
      </c>
    </row>
    <row r="2256">
      <c r="A2256" s="13" t="n">
        <v>2255</v>
      </c>
      <c r="B2256" s="14" t="n">
        <v>46632</v>
      </c>
      <c r="C2256" s="15" t="n">
        <v>12</v>
      </c>
      <c r="D2256" s="25" t="inlineStr">
        <is>
          <t>Payout</t>
        </is>
      </c>
      <c r="E2256" s="13" t="inlineStr">
        <is>
          <t>Moneta Funded</t>
        </is>
      </c>
      <c r="F2256" s="13" t="inlineStr">
        <is>
          <t>#5 Instant-Direct 100k</t>
        </is>
      </c>
      <c r="G2256" s="17" t="n">
        <v>100000</v>
      </c>
      <c r="H2256" s="17" t="n">
        <v>8000</v>
      </c>
      <c r="I2256" s="17" t="n">
        <v>18614363.15</v>
      </c>
      <c r="J2256" s="13" t="inlineStr">
        <is>
          <t>10 % × 100,000 × split 80%</t>
        </is>
      </c>
    </row>
    <row r="2257">
      <c r="A2257" s="19" t="n">
        <v>2256</v>
      </c>
      <c r="B2257" s="20" t="n">
        <v>46632</v>
      </c>
      <c r="C2257" s="21" t="n">
        <v>12</v>
      </c>
      <c r="D2257" s="25" t="inlineStr">
        <is>
          <t>Payout</t>
        </is>
      </c>
      <c r="E2257" s="19" t="inlineStr">
        <is>
          <t>Moneta Funded</t>
        </is>
      </c>
      <c r="F2257" s="19" t="inlineStr">
        <is>
          <t>#6 Instant-Direct 100k</t>
        </is>
      </c>
      <c r="G2257" s="22" t="n">
        <v>100000</v>
      </c>
      <c r="H2257" s="22" t="n">
        <v>8000</v>
      </c>
      <c r="I2257" s="22" t="n">
        <v>18622363.15</v>
      </c>
      <c r="J2257" s="19" t="inlineStr">
        <is>
          <t>10 % × 100,000 × split 80%</t>
        </is>
      </c>
    </row>
    <row r="2258">
      <c r="A2258" s="13" t="n">
        <v>2257</v>
      </c>
      <c r="B2258" s="14" t="n">
        <v>46632</v>
      </c>
      <c r="C2258" s="15" t="n">
        <v>12</v>
      </c>
      <c r="D2258" s="25" t="inlineStr">
        <is>
          <t>Payout</t>
        </is>
      </c>
      <c r="E2258" s="13" t="inlineStr">
        <is>
          <t>Moneta Funded</t>
        </is>
      </c>
      <c r="F2258" s="13" t="inlineStr">
        <is>
          <t>#7 Instant-Direct 100k</t>
        </is>
      </c>
      <c r="G2258" s="17" t="n">
        <v>100000</v>
      </c>
      <c r="H2258" s="17" t="n">
        <v>8000</v>
      </c>
      <c r="I2258" s="17" t="n">
        <v>18630363.15</v>
      </c>
      <c r="J2258" s="13" t="inlineStr">
        <is>
          <t>10 % × 100,000 × split 80%</t>
        </is>
      </c>
    </row>
    <row r="2259">
      <c r="A2259" s="19" t="n">
        <v>2258</v>
      </c>
      <c r="B2259" s="20" t="n">
        <v>46632</v>
      </c>
      <c r="C2259" s="21" t="n">
        <v>12</v>
      </c>
      <c r="D2259" s="25" t="inlineStr">
        <is>
          <t>Payout</t>
        </is>
      </c>
      <c r="E2259" s="19" t="inlineStr">
        <is>
          <t>Moneta Funded</t>
        </is>
      </c>
      <c r="F2259" s="19" t="inlineStr">
        <is>
          <t>#8 Instant-Direct 100k</t>
        </is>
      </c>
      <c r="G2259" s="22" t="n">
        <v>100000</v>
      </c>
      <c r="H2259" s="22" t="n">
        <v>8000</v>
      </c>
      <c r="I2259" s="22" t="n">
        <v>18638363.15</v>
      </c>
      <c r="J2259" s="19" t="inlineStr">
        <is>
          <t>10 % × 100,000 × split 80%</t>
        </is>
      </c>
    </row>
    <row r="2260">
      <c r="A2260" s="13" t="n">
        <v>2259</v>
      </c>
      <c r="B2260" s="14" t="n">
        <v>46632</v>
      </c>
      <c r="C2260" s="15" t="n">
        <v>12</v>
      </c>
      <c r="D2260" s="25" t="inlineStr">
        <is>
          <t>Payout</t>
        </is>
      </c>
      <c r="E2260" s="13" t="inlineStr">
        <is>
          <t>Moneta Funded</t>
        </is>
      </c>
      <c r="F2260" s="13" t="inlineStr">
        <is>
          <t>#9 Instant-Direct 100k</t>
        </is>
      </c>
      <c r="G2260" s="17" t="n">
        <v>100000</v>
      </c>
      <c r="H2260" s="17" t="n">
        <v>8000</v>
      </c>
      <c r="I2260" s="17" t="n">
        <v>18646363.15</v>
      </c>
      <c r="J2260" s="13" t="inlineStr">
        <is>
          <t>10 % × 100,000 × split 80%</t>
        </is>
      </c>
    </row>
    <row r="2261">
      <c r="A2261" s="19" t="n">
        <v>2260</v>
      </c>
      <c r="B2261" s="20" t="n">
        <v>46632</v>
      </c>
      <c r="C2261" s="21" t="n">
        <v>12</v>
      </c>
      <c r="D2261" s="25" t="inlineStr">
        <is>
          <t>Payout</t>
        </is>
      </c>
      <c r="E2261" s="19" t="inlineStr">
        <is>
          <t>Moneta Funded</t>
        </is>
      </c>
      <c r="F2261" s="19" t="inlineStr">
        <is>
          <t>#10 Instant-Direct 100k</t>
        </is>
      </c>
      <c r="G2261" s="22" t="n">
        <v>100000</v>
      </c>
      <c r="H2261" s="22" t="n">
        <v>8000</v>
      </c>
      <c r="I2261" s="22" t="n">
        <v>18654363.15</v>
      </c>
      <c r="J2261" s="19" t="inlineStr">
        <is>
          <t>10 % × 100,000 × split 80%</t>
        </is>
      </c>
    </row>
    <row r="2262">
      <c r="A2262" s="13" t="n">
        <v>2261</v>
      </c>
      <c r="B2262" s="14" t="n">
        <v>46632</v>
      </c>
      <c r="C2262" s="15" t="n">
        <v>12</v>
      </c>
      <c r="D2262" s="25" t="inlineStr">
        <is>
          <t>Payout</t>
        </is>
      </c>
      <c r="E2262" s="13" t="inlineStr">
        <is>
          <t>Moneta Funded</t>
        </is>
      </c>
      <c r="F2262" s="13" t="inlineStr">
        <is>
          <t>#11 Instant-Direct 100k</t>
        </is>
      </c>
      <c r="G2262" s="17" t="n">
        <v>100000</v>
      </c>
      <c r="H2262" s="17" t="n">
        <v>8000</v>
      </c>
      <c r="I2262" s="17" t="n">
        <v>18662363.15</v>
      </c>
      <c r="J2262" s="13" t="inlineStr">
        <is>
          <t>10 % × 100,000 × split 80%</t>
        </is>
      </c>
    </row>
    <row r="2263">
      <c r="A2263" s="19" t="n">
        <v>2262</v>
      </c>
      <c r="B2263" s="20" t="n">
        <v>46632</v>
      </c>
      <c r="C2263" s="21" t="n">
        <v>12</v>
      </c>
      <c r="D2263" s="25" t="inlineStr">
        <is>
          <t>Payout</t>
        </is>
      </c>
      <c r="E2263" s="19" t="inlineStr">
        <is>
          <t>Moneta Funded</t>
        </is>
      </c>
      <c r="F2263" s="19" t="inlineStr">
        <is>
          <t>#12 Instant-Direct 100k</t>
        </is>
      </c>
      <c r="G2263" s="22" t="n">
        <v>100000</v>
      </c>
      <c r="H2263" s="22" t="n">
        <v>8000</v>
      </c>
      <c r="I2263" s="22" t="n">
        <v>18670363.15</v>
      </c>
      <c r="J2263" s="19" t="inlineStr">
        <is>
          <t>10 % × 100,000 × split 80%</t>
        </is>
      </c>
    </row>
    <row r="2264">
      <c r="A2264" s="13" t="n">
        <v>2263</v>
      </c>
      <c r="B2264" s="14" t="n">
        <v>46632</v>
      </c>
      <c r="C2264" s="15" t="n">
        <v>12</v>
      </c>
      <c r="D2264" s="25" t="inlineStr">
        <is>
          <t>Payout</t>
        </is>
      </c>
      <c r="E2264" s="13" t="inlineStr">
        <is>
          <t>Moneta Funded</t>
        </is>
      </c>
      <c r="F2264" s="13" t="inlineStr">
        <is>
          <t>#13 Instant-Direct 100k</t>
        </is>
      </c>
      <c r="G2264" s="17" t="n">
        <v>100000</v>
      </c>
      <c r="H2264" s="17" t="n">
        <v>8000</v>
      </c>
      <c r="I2264" s="17" t="n">
        <v>18678363.15</v>
      </c>
      <c r="J2264" s="13" t="inlineStr">
        <is>
          <t>10 % × 100,000 × split 80%</t>
        </is>
      </c>
    </row>
    <row r="2265">
      <c r="A2265" s="19" t="n">
        <v>2264</v>
      </c>
      <c r="B2265" s="20" t="n">
        <v>46632</v>
      </c>
      <c r="C2265" s="21" t="n">
        <v>12</v>
      </c>
      <c r="D2265" s="25" t="inlineStr">
        <is>
          <t>Payout</t>
        </is>
      </c>
      <c r="E2265" s="19" t="inlineStr">
        <is>
          <t>FunderPro Futures</t>
        </is>
      </c>
      <c r="F2265" s="19" t="inlineStr">
        <is>
          <t>#14 1 Step 150k</t>
        </is>
      </c>
      <c r="G2265" s="22" t="n">
        <v>150000</v>
      </c>
      <c r="H2265" s="22" t="n">
        <v>9000</v>
      </c>
      <c r="I2265" s="22" t="n">
        <v>18687363.15</v>
      </c>
      <c r="J2265" s="19" t="inlineStr">
        <is>
          <t>10 % × 150,000 × split 60%</t>
        </is>
      </c>
    </row>
    <row r="2266">
      <c r="A2266" s="13" t="n">
        <v>2265</v>
      </c>
      <c r="B2266" s="14" t="n">
        <v>46632</v>
      </c>
      <c r="C2266" s="15" t="n">
        <v>12</v>
      </c>
      <c r="D2266" s="25" t="inlineStr">
        <is>
          <t>Payout</t>
        </is>
      </c>
      <c r="E2266" s="13" t="inlineStr">
        <is>
          <t>Moneta Funded</t>
        </is>
      </c>
      <c r="F2266" s="13" t="inlineStr">
        <is>
          <t>#15 Instant-Direct 100k</t>
        </is>
      </c>
      <c r="G2266" s="17" t="n">
        <v>100000</v>
      </c>
      <c r="H2266" s="17" t="n">
        <v>8000</v>
      </c>
      <c r="I2266" s="17" t="n">
        <v>18695363.15</v>
      </c>
      <c r="J2266" s="13" t="inlineStr">
        <is>
          <t>10 % × 100,000 × split 80%</t>
        </is>
      </c>
    </row>
    <row r="2267">
      <c r="A2267" s="19" t="n">
        <v>2266</v>
      </c>
      <c r="B2267" s="20" t="n">
        <v>46632</v>
      </c>
      <c r="C2267" s="21" t="n">
        <v>12</v>
      </c>
      <c r="D2267" s="25" t="inlineStr">
        <is>
          <t>Payout</t>
        </is>
      </c>
      <c r="E2267" s="19" t="inlineStr">
        <is>
          <t>Moneta Funded</t>
        </is>
      </c>
      <c r="F2267" s="19" t="inlineStr">
        <is>
          <t>#16 Instant-Direct 100k</t>
        </is>
      </c>
      <c r="G2267" s="22" t="n">
        <v>100000</v>
      </c>
      <c r="H2267" s="22" t="n">
        <v>8000</v>
      </c>
      <c r="I2267" s="22" t="n">
        <v>18703363.15</v>
      </c>
      <c r="J2267" s="19" t="inlineStr">
        <is>
          <t>10 % × 100,000 × split 80%</t>
        </is>
      </c>
    </row>
    <row r="2268">
      <c r="A2268" s="13" t="n">
        <v>2267</v>
      </c>
      <c r="B2268" s="14" t="n">
        <v>46632</v>
      </c>
      <c r="C2268" s="15" t="n">
        <v>12</v>
      </c>
      <c r="D2268" s="25" t="inlineStr">
        <is>
          <t>Payout</t>
        </is>
      </c>
      <c r="E2268" s="13" t="inlineStr">
        <is>
          <t>Moneta Funded</t>
        </is>
      </c>
      <c r="F2268" s="13" t="inlineStr">
        <is>
          <t>#17 Instant-Direct 100k</t>
        </is>
      </c>
      <c r="G2268" s="17" t="n">
        <v>100000</v>
      </c>
      <c r="H2268" s="17" t="n">
        <v>8000</v>
      </c>
      <c r="I2268" s="17" t="n">
        <v>18711363.15</v>
      </c>
      <c r="J2268" s="13" t="inlineStr">
        <is>
          <t>10 % × 100,000 × split 80%</t>
        </is>
      </c>
    </row>
    <row r="2269">
      <c r="A2269" s="19" t="n">
        <v>2268</v>
      </c>
      <c r="B2269" s="20" t="n">
        <v>46632</v>
      </c>
      <c r="C2269" s="21" t="n">
        <v>12</v>
      </c>
      <c r="D2269" s="25" t="inlineStr">
        <is>
          <t>Payout</t>
        </is>
      </c>
      <c r="E2269" s="19" t="inlineStr">
        <is>
          <t>Moneta Funded</t>
        </is>
      </c>
      <c r="F2269" s="19" t="inlineStr">
        <is>
          <t>#18 Instant-Direct 100k</t>
        </is>
      </c>
      <c r="G2269" s="22" t="n">
        <v>100000</v>
      </c>
      <c r="H2269" s="22" t="n">
        <v>8000</v>
      </c>
      <c r="I2269" s="22" t="n">
        <v>18719363.15</v>
      </c>
      <c r="J2269" s="19" t="inlineStr">
        <is>
          <t>10 % × 100,000 × split 80%</t>
        </is>
      </c>
    </row>
    <row r="2270">
      <c r="A2270" s="13" t="n">
        <v>2269</v>
      </c>
      <c r="B2270" s="14" t="n">
        <v>46632</v>
      </c>
      <c r="C2270" s="15" t="n">
        <v>12</v>
      </c>
      <c r="D2270" s="25" t="inlineStr">
        <is>
          <t>Payout</t>
        </is>
      </c>
      <c r="E2270" s="13" t="inlineStr">
        <is>
          <t>Moneta Funded</t>
        </is>
      </c>
      <c r="F2270" s="13" t="inlineStr">
        <is>
          <t>#19 Instant-Direct 100k</t>
        </is>
      </c>
      <c r="G2270" s="17" t="n">
        <v>100000</v>
      </c>
      <c r="H2270" s="17" t="n">
        <v>8000</v>
      </c>
      <c r="I2270" s="17" t="n">
        <v>18727363.15</v>
      </c>
      <c r="J2270" s="13" t="inlineStr">
        <is>
          <t>10 % × 100,000 × split 80%</t>
        </is>
      </c>
    </row>
    <row r="2271">
      <c r="A2271" s="19" t="n">
        <v>2270</v>
      </c>
      <c r="B2271" s="20" t="n">
        <v>46632</v>
      </c>
      <c r="C2271" s="21" t="n">
        <v>12</v>
      </c>
      <c r="D2271" s="25" t="inlineStr">
        <is>
          <t>Payout</t>
        </is>
      </c>
      <c r="E2271" s="19" t="inlineStr">
        <is>
          <t>Moneta Funded</t>
        </is>
      </c>
      <c r="F2271" s="19" t="inlineStr">
        <is>
          <t>#20 Instant-Direct 100k</t>
        </is>
      </c>
      <c r="G2271" s="22" t="n">
        <v>100000</v>
      </c>
      <c r="H2271" s="22" t="n">
        <v>8000</v>
      </c>
      <c r="I2271" s="22" t="n">
        <v>18735363.15</v>
      </c>
      <c r="J2271" s="19" t="inlineStr">
        <is>
          <t>10 % × 100,000 × split 80%</t>
        </is>
      </c>
    </row>
    <row r="2272">
      <c r="A2272" s="13" t="n">
        <v>2271</v>
      </c>
      <c r="B2272" s="14" t="n">
        <v>46632</v>
      </c>
      <c r="C2272" s="15" t="n">
        <v>12</v>
      </c>
      <c r="D2272" s="25" t="inlineStr">
        <is>
          <t>Payout</t>
        </is>
      </c>
      <c r="E2272" s="13" t="inlineStr">
        <is>
          <t>Moneta Funded</t>
        </is>
      </c>
      <c r="F2272" s="13" t="inlineStr">
        <is>
          <t>#21 Instant-Direct 100k</t>
        </is>
      </c>
      <c r="G2272" s="17" t="n">
        <v>100000</v>
      </c>
      <c r="H2272" s="17" t="n">
        <v>8000</v>
      </c>
      <c r="I2272" s="17" t="n">
        <v>18743363.15</v>
      </c>
      <c r="J2272" s="13" t="inlineStr">
        <is>
          <t>10 % × 100,000 × split 80%</t>
        </is>
      </c>
    </row>
    <row r="2273">
      <c r="A2273" s="19" t="n">
        <v>2272</v>
      </c>
      <c r="B2273" s="20" t="n">
        <v>46632</v>
      </c>
      <c r="C2273" s="21" t="n">
        <v>12</v>
      </c>
      <c r="D2273" s="25" t="inlineStr">
        <is>
          <t>Payout</t>
        </is>
      </c>
      <c r="E2273" s="19" t="inlineStr">
        <is>
          <t>Moneta Funded</t>
        </is>
      </c>
      <c r="F2273" s="19" t="inlineStr">
        <is>
          <t>#22 Instant-Direct 100k</t>
        </is>
      </c>
      <c r="G2273" s="22" t="n">
        <v>100000</v>
      </c>
      <c r="H2273" s="22" t="n">
        <v>8000</v>
      </c>
      <c r="I2273" s="22" t="n">
        <v>18751363.15</v>
      </c>
      <c r="J2273" s="19" t="inlineStr">
        <is>
          <t>10 % × 100,000 × split 80%</t>
        </is>
      </c>
    </row>
    <row r="2274">
      <c r="A2274" s="13" t="n">
        <v>2273</v>
      </c>
      <c r="B2274" s="14" t="n">
        <v>46632</v>
      </c>
      <c r="C2274" s="15" t="n">
        <v>12</v>
      </c>
      <c r="D2274" s="25" t="inlineStr">
        <is>
          <t>Payout</t>
        </is>
      </c>
      <c r="E2274" s="13" t="inlineStr">
        <is>
          <t>Moneta Funded</t>
        </is>
      </c>
      <c r="F2274" s="13" t="inlineStr">
        <is>
          <t>#23 Instant-Direct 100k</t>
        </is>
      </c>
      <c r="G2274" s="17" t="n">
        <v>100000</v>
      </c>
      <c r="H2274" s="17" t="n">
        <v>8000</v>
      </c>
      <c r="I2274" s="17" t="n">
        <v>18759363.15</v>
      </c>
      <c r="J2274" s="13" t="inlineStr">
        <is>
          <t>10 % × 100,000 × split 80%</t>
        </is>
      </c>
    </row>
    <row r="2275">
      <c r="A2275" s="19" t="n">
        <v>2274</v>
      </c>
      <c r="B2275" s="20" t="n">
        <v>46632</v>
      </c>
      <c r="C2275" s="21" t="n">
        <v>12</v>
      </c>
      <c r="D2275" s="25" t="inlineStr">
        <is>
          <t>Payout</t>
        </is>
      </c>
      <c r="E2275" s="19" t="inlineStr">
        <is>
          <t>Moneta Funded</t>
        </is>
      </c>
      <c r="F2275" s="19" t="inlineStr">
        <is>
          <t>#24 Instant-Direct 100k</t>
        </is>
      </c>
      <c r="G2275" s="22" t="n">
        <v>100000</v>
      </c>
      <c r="H2275" s="22" t="n">
        <v>8000</v>
      </c>
      <c r="I2275" s="22" t="n">
        <v>18767363.15</v>
      </c>
      <c r="J2275" s="19" t="inlineStr">
        <is>
          <t>10 % × 100,000 × split 80%</t>
        </is>
      </c>
    </row>
    <row r="2276">
      <c r="A2276" s="13" t="n">
        <v>2275</v>
      </c>
      <c r="B2276" s="14" t="n">
        <v>46632</v>
      </c>
      <c r="C2276" s="15" t="n">
        <v>12</v>
      </c>
      <c r="D2276" s="25" t="inlineStr">
        <is>
          <t>Payout</t>
        </is>
      </c>
      <c r="E2276" s="13" t="inlineStr">
        <is>
          <t>Moneta Funded</t>
        </is>
      </c>
      <c r="F2276" s="13" t="inlineStr">
        <is>
          <t>#25 Instant-Direct 100k</t>
        </is>
      </c>
      <c r="G2276" s="17" t="n">
        <v>100000</v>
      </c>
      <c r="H2276" s="17" t="n">
        <v>8000</v>
      </c>
      <c r="I2276" s="17" t="n">
        <v>18775363.15</v>
      </c>
      <c r="J2276" s="13" t="inlineStr">
        <is>
          <t>10 % × 100,000 × split 80%</t>
        </is>
      </c>
    </row>
    <row r="2277">
      <c r="A2277" s="19" t="n">
        <v>2276</v>
      </c>
      <c r="B2277" s="20" t="n">
        <v>46632</v>
      </c>
      <c r="C2277" s="21" t="n">
        <v>12</v>
      </c>
      <c r="D2277" s="25" t="inlineStr">
        <is>
          <t>Payout</t>
        </is>
      </c>
      <c r="E2277" s="19" t="inlineStr">
        <is>
          <t>IQ Capital</t>
        </is>
      </c>
      <c r="F2277" s="19" t="inlineStr">
        <is>
          <t>#26 Instant-Direct 100k</t>
        </is>
      </c>
      <c r="G2277" s="22" t="n">
        <v>100000</v>
      </c>
      <c r="H2277" s="22" t="n">
        <v>8000</v>
      </c>
      <c r="I2277" s="22" t="n">
        <v>18783363.15</v>
      </c>
      <c r="J2277" s="19" t="inlineStr">
        <is>
          <t>10 % × 100,000 × split 80%</t>
        </is>
      </c>
    </row>
    <row r="2278">
      <c r="A2278" s="13" t="n">
        <v>2277</v>
      </c>
      <c r="B2278" s="14" t="n">
        <v>46632</v>
      </c>
      <c r="C2278" s="15" t="n">
        <v>12</v>
      </c>
      <c r="D2278" s="25" t="inlineStr">
        <is>
          <t>Payout</t>
        </is>
      </c>
      <c r="E2278" s="13" t="inlineStr">
        <is>
          <t>IQ Capital</t>
        </is>
      </c>
      <c r="F2278" s="13" t="inlineStr">
        <is>
          <t>#27 Instant-Direct 100k</t>
        </is>
      </c>
      <c r="G2278" s="17" t="n">
        <v>100000</v>
      </c>
      <c r="H2278" s="17" t="n">
        <v>8000</v>
      </c>
      <c r="I2278" s="17" t="n">
        <v>18791363.15</v>
      </c>
      <c r="J2278" s="13" t="inlineStr">
        <is>
          <t>10 % × 100,000 × split 80%</t>
        </is>
      </c>
    </row>
    <row r="2279">
      <c r="A2279" s="19" t="n">
        <v>2278</v>
      </c>
      <c r="B2279" s="20" t="n">
        <v>46632</v>
      </c>
      <c r="C2279" s="21" t="n">
        <v>12</v>
      </c>
      <c r="D2279" s="25" t="inlineStr">
        <is>
          <t>Payout</t>
        </is>
      </c>
      <c r="E2279" s="19" t="inlineStr">
        <is>
          <t>IQ Capital</t>
        </is>
      </c>
      <c r="F2279" s="19" t="inlineStr">
        <is>
          <t>#28 Instant-Direct 100k</t>
        </is>
      </c>
      <c r="G2279" s="22" t="n">
        <v>100000</v>
      </c>
      <c r="H2279" s="22" t="n">
        <v>8000</v>
      </c>
      <c r="I2279" s="22" t="n">
        <v>18799363.15</v>
      </c>
      <c r="J2279" s="19" t="inlineStr">
        <is>
          <t>10 % × 100,000 × split 80%</t>
        </is>
      </c>
    </row>
    <row r="2280">
      <c r="A2280" s="13" t="n">
        <v>2279</v>
      </c>
      <c r="B2280" s="14" t="n">
        <v>46632</v>
      </c>
      <c r="C2280" s="15" t="n">
        <v>12</v>
      </c>
      <c r="D2280" s="25" t="inlineStr">
        <is>
          <t>Payout</t>
        </is>
      </c>
      <c r="E2280" s="13" t="inlineStr">
        <is>
          <t>IQ Capital</t>
        </is>
      </c>
      <c r="F2280" s="13" t="inlineStr">
        <is>
          <t>#29 Instant-Direct 100k</t>
        </is>
      </c>
      <c r="G2280" s="17" t="n">
        <v>100000</v>
      </c>
      <c r="H2280" s="17" t="n">
        <v>8000</v>
      </c>
      <c r="I2280" s="17" t="n">
        <v>18807363.15</v>
      </c>
      <c r="J2280" s="13" t="inlineStr">
        <is>
          <t>10 % × 100,000 × split 80%</t>
        </is>
      </c>
    </row>
    <row r="2281">
      <c r="A2281" s="19" t="n">
        <v>2280</v>
      </c>
      <c r="B2281" s="20" t="n">
        <v>46632</v>
      </c>
      <c r="C2281" s="21" t="n">
        <v>12</v>
      </c>
      <c r="D2281" s="25" t="inlineStr">
        <is>
          <t>Payout</t>
        </is>
      </c>
      <c r="E2281" s="19" t="inlineStr">
        <is>
          <t>IQ Capital</t>
        </is>
      </c>
      <c r="F2281" s="19" t="inlineStr">
        <is>
          <t>#30 Instant-Direct 100k</t>
        </is>
      </c>
      <c r="G2281" s="22" t="n">
        <v>100000</v>
      </c>
      <c r="H2281" s="22" t="n">
        <v>8000</v>
      </c>
      <c r="I2281" s="22" t="n">
        <v>18815363.15</v>
      </c>
      <c r="J2281" s="19" t="inlineStr">
        <is>
          <t>10 % × 100,000 × split 80%</t>
        </is>
      </c>
    </row>
    <row r="2282">
      <c r="A2282" s="13" t="n">
        <v>2281</v>
      </c>
      <c r="B2282" s="14" t="n">
        <v>46632</v>
      </c>
      <c r="C2282" s="15" t="n">
        <v>12</v>
      </c>
      <c r="D2282" s="25" t="inlineStr">
        <is>
          <t>Payout</t>
        </is>
      </c>
      <c r="E2282" s="13" t="inlineStr">
        <is>
          <t>IQ Capital</t>
        </is>
      </c>
      <c r="F2282" s="13" t="inlineStr">
        <is>
          <t>#31 Instant-Direct 100k</t>
        </is>
      </c>
      <c r="G2282" s="17" t="n">
        <v>100000</v>
      </c>
      <c r="H2282" s="17" t="n">
        <v>8000</v>
      </c>
      <c r="I2282" s="17" t="n">
        <v>18823363.15</v>
      </c>
      <c r="J2282" s="13" t="inlineStr">
        <is>
          <t>10 % × 100,000 × split 80%</t>
        </is>
      </c>
    </row>
    <row r="2283">
      <c r="A2283" s="19" t="n">
        <v>2282</v>
      </c>
      <c r="B2283" s="20" t="n">
        <v>46632</v>
      </c>
      <c r="C2283" s="21" t="n">
        <v>12</v>
      </c>
      <c r="D2283" s="25" t="inlineStr">
        <is>
          <t>Payout</t>
        </is>
      </c>
      <c r="E2283" s="19" t="inlineStr">
        <is>
          <t>IQ Capital</t>
        </is>
      </c>
      <c r="F2283" s="19" t="inlineStr">
        <is>
          <t>#32 Instant-Direct 100k</t>
        </is>
      </c>
      <c r="G2283" s="22" t="n">
        <v>100000</v>
      </c>
      <c r="H2283" s="22" t="n">
        <v>8000</v>
      </c>
      <c r="I2283" s="22" t="n">
        <v>18831363.15</v>
      </c>
      <c r="J2283" s="19" t="inlineStr">
        <is>
          <t>10 % × 100,000 × split 80%</t>
        </is>
      </c>
    </row>
    <row r="2284">
      <c r="A2284" s="13" t="n">
        <v>2283</v>
      </c>
      <c r="B2284" s="14" t="n">
        <v>46632</v>
      </c>
      <c r="C2284" s="15" t="n">
        <v>12</v>
      </c>
      <c r="D2284" s="25" t="inlineStr">
        <is>
          <t>Payout</t>
        </is>
      </c>
      <c r="E2284" s="13" t="inlineStr">
        <is>
          <t>IQ Capital</t>
        </is>
      </c>
      <c r="F2284" s="13" t="inlineStr">
        <is>
          <t>#33 Instant-Direct 100k</t>
        </is>
      </c>
      <c r="G2284" s="17" t="n">
        <v>100000</v>
      </c>
      <c r="H2284" s="17" t="n">
        <v>8000</v>
      </c>
      <c r="I2284" s="17" t="n">
        <v>18839363.15</v>
      </c>
      <c r="J2284" s="13" t="inlineStr">
        <is>
          <t>10 % × 100,000 × split 80%</t>
        </is>
      </c>
    </row>
    <row r="2285">
      <c r="A2285" s="19" t="n">
        <v>2284</v>
      </c>
      <c r="B2285" s="20" t="n">
        <v>46632</v>
      </c>
      <c r="C2285" s="21" t="n">
        <v>12</v>
      </c>
      <c r="D2285" s="25" t="inlineStr">
        <is>
          <t>Payout</t>
        </is>
      </c>
      <c r="E2285" s="19" t="inlineStr">
        <is>
          <t>IQ Capital</t>
        </is>
      </c>
      <c r="F2285" s="19" t="inlineStr">
        <is>
          <t>#34 Instant-Direct 100k</t>
        </is>
      </c>
      <c r="G2285" s="22" t="n">
        <v>100000</v>
      </c>
      <c r="H2285" s="22" t="n">
        <v>8000</v>
      </c>
      <c r="I2285" s="22" t="n">
        <v>18847363.15</v>
      </c>
      <c r="J2285" s="19" t="inlineStr">
        <is>
          <t>10 % × 100,000 × split 80%</t>
        </is>
      </c>
    </row>
    <row r="2286">
      <c r="A2286" s="13" t="n">
        <v>2285</v>
      </c>
      <c r="B2286" s="14" t="n">
        <v>46632</v>
      </c>
      <c r="C2286" s="15" t="n">
        <v>12</v>
      </c>
      <c r="D2286" s="25" t="inlineStr">
        <is>
          <t>Payout</t>
        </is>
      </c>
      <c r="E2286" s="13" t="inlineStr">
        <is>
          <t>IQ Capital</t>
        </is>
      </c>
      <c r="F2286" s="13" t="inlineStr">
        <is>
          <t>#35 Instant-Direct 100k</t>
        </is>
      </c>
      <c r="G2286" s="17" t="n">
        <v>100000</v>
      </c>
      <c r="H2286" s="17" t="n">
        <v>8000</v>
      </c>
      <c r="I2286" s="17" t="n">
        <v>18855363.15</v>
      </c>
      <c r="J2286" s="13" t="inlineStr">
        <is>
          <t>10 % × 100,000 × split 80%</t>
        </is>
      </c>
    </row>
    <row r="2287">
      <c r="A2287" s="19" t="n">
        <v>2286</v>
      </c>
      <c r="B2287" s="20" t="n">
        <v>46632</v>
      </c>
      <c r="C2287" s="21" t="n">
        <v>12</v>
      </c>
      <c r="D2287" s="25" t="inlineStr">
        <is>
          <t>Payout</t>
        </is>
      </c>
      <c r="E2287" s="19" t="inlineStr">
        <is>
          <t>IQ Capital</t>
        </is>
      </c>
      <c r="F2287" s="19" t="inlineStr">
        <is>
          <t>#36 Instant-Direct 100k</t>
        </is>
      </c>
      <c r="G2287" s="22" t="n">
        <v>100000</v>
      </c>
      <c r="H2287" s="22" t="n">
        <v>8000</v>
      </c>
      <c r="I2287" s="22" t="n">
        <v>18863363.15</v>
      </c>
      <c r="J2287" s="19" t="inlineStr">
        <is>
          <t>10 % × 100,000 × split 80%</t>
        </is>
      </c>
    </row>
    <row r="2288">
      <c r="A2288" s="13" t="n">
        <v>2287</v>
      </c>
      <c r="B2288" s="14" t="n">
        <v>46632</v>
      </c>
      <c r="C2288" s="15" t="n">
        <v>12</v>
      </c>
      <c r="D2288" s="25" t="inlineStr">
        <is>
          <t>Payout</t>
        </is>
      </c>
      <c r="E2288" s="13" t="inlineStr">
        <is>
          <t>IQ Capital</t>
        </is>
      </c>
      <c r="F2288" s="13" t="inlineStr">
        <is>
          <t>#37 Instant-Direct 100k</t>
        </is>
      </c>
      <c r="G2288" s="17" t="n">
        <v>100000</v>
      </c>
      <c r="H2288" s="17" t="n">
        <v>8000</v>
      </c>
      <c r="I2288" s="17" t="n">
        <v>18871363.15</v>
      </c>
      <c r="J2288" s="13" t="inlineStr">
        <is>
          <t>10 % × 100,000 × split 80%</t>
        </is>
      </c>
    </row>
    <row r="2289">
      <c r="A2289" s="19" t="n">
        <v>2288</v>
      </c>
      <c r="B2289" s="20" t="n">
        <v>46632</v>
      </c>
      <c r="C2289" s="21" t="n">
        <v>12</v>
      </c>
      <c r="D2289" s="25" t="inlineStr">
        <is>
          <t>Payout</t>
        </is>
      </c>
      <c r="E2289" s="19" t="inlineStr">
        <is>
          <t>IQ Capital</t>
        </is>
      </c>
      <c r="F2289" s="19" t="inlineStr">
        <is>
          <t>#38 Instant-Direct 100k</t>
        </is>
      </c>
      <c r="G2289" s="22" t="n">
        <v>100000</v>
      </c>
      <c r="H2289" s="22" t="n">
        <v>8000</v>
      </c>
      <c r="I2289" s="22" t="n">
        <v>18879363.15</v>
      </c>
      <c r="J2289" s="19" t="inlineStr">
        <is>
          <t>10 % × 100,000 × split 80%</t>
        </is>
      </c>
    </row>
    <row r="2290">
      <c r="A2290" s="13" t="n">
        <v>2289</v>
      </c>
      <c r="B2290" s="14" t="n">
        <v>46632</v>
      </c>
      <c r="C2290" s="15" t="n">
        <v>12</v>
      </c>
      <c r="D2290" s="25" t="inlineStr">
        <is>
          <t>Payout</t>
        </is>
      </c>
      <c r="E2290" s="13" t="inlineStr">
        <is>
          <t>IQ Capital</t>
        </is>
      </c>
      <c r="F2290" s="13" t="inlineStr">
        <is>
          <t>#39 Instant-Direct 100k</t>
        </is>
      </c>
      <c r="G2290" s="17" t="n">
        <v>100000</v>
      </c>
      <c r="H2290" s="17" t="n">
        <v>8000</v>
      </c>
      <c r="I2290" s="17" t="n">
        <v>18887363.15</v>
      </c>
      <c r="J2290" s="13" t="inlineStr">
        <is>
          <t>10 % × 100,000 × split 80%</t>
        </is>
      </c>
    </row>
    <row r="2291">
      <c r="A2291" s="19" t="n">
        <v>2290</v>
      </c>
      <c r="B2291" s="20" t="n">
        <v>46632</v>
      </c>
      <c r="C2291" s="21" t="n">
        <v>12</v>
      </c>
      <c r="D2291" s="25" t="inlineStr">
        <is>
          <t>Payout</t>
        </is>
      </c>
      <c r="E2291" s="19" t="inlineStr">
        <is>
          <t>IQ Capital</t>
        </is>
      </c>
      <c r="F2291" s="19" t="inlineStr">
        <is>
          <t>#40 Instant-Direct 100k</t>
        </is>
      </c>
      <c r="G2291" s="22" t="n">
        <v>100000</v>
      </c>
      <c r="H2291" s="22" t="n">
        <v>8000</v>
      </c>
      <c r="I2291" s="22" t="n">
        <v>18895363.15</v>
      </c>
      <c r="J2291" s="19" t="inlineStr">
        <is>
          <t>10 % × 100,000 × split 80%</t>
        </is>
      </c>
    </row>
    <row r="2292">
      <c r="A2292" s="13" t="n">
        <v>2291</v>
      </c>
      <c r="B2292" s="14" t="n">
        <v>46632</v>
      </c>
      <c r="C2292" s="15" t="n">
        <v>12</v>
      </c>
      <c r="D2292" s="25" t="inlineStr">
        <is>
          <t>Payout</t>
        </is>
      </c>
      <c r="E2292" s="13" t="inlineStr">
        <is>
          <t>IQ Capital</t>
        </is>
      </c>
      <c r="F2292" s="13" t="inlineStr">
        <is>
          <t>#41 Instant-Direct 100k</t>
        </is>
      </c>
      <c r="G2292" s="17" t="n">
        <v>100000</v>
      </c>
      <c r="H2292" s="17" t="n">
        <v>8000</v>
      </c>
      <c r="I2292" s="17" t="n">
        <v>18903363.15</v>
      </c>
      <c r="J2292" s="13" t="inlineStr">
        <is>
          <t>10 % × 100,000 × split 80%</t>
        </is>
      </c>
    </row>
    <row r="2293">
      <c r="A2293" s="19" t="n">
        <v>2292</v>
      </c>
      <c r="B2293" s="20" t="n">
        <v>46632</v>
      </c>
      <c r="C2293" s="21" t="n">
        <v>12</v>
      </c>
      <c r="D2293" s="25" t="inlineStr">
        <is>
          <t>Payout</t>
        </is>
      </c>
      <c r="E2293" s="19" t="inlineStr">
        <is>
          <t>IQ Capital</t>
        </is>
      </c>
      <c r="F2293" s="19" t="inlineStr">
        <is>
          <t>#42 Instant-Direct 100k</t>
        </is>
      </c>
      <c r="G2293" s="22" t="n">
        <v>100000</v>
      </c>
      <c r="H2293" s="22" t="n">
        <v>8000</v>
      </c>
      <c r="I2293" s="22" t="n">
        <v>18911363.15</v>
      </c>
      <c r="J2293" s="19" t="inlineStr">
        <is>
          <t>10 % × 100,000 × split 80%</t>
        </is>
      </c>
    </row>
    <row r="2294">
      <c r="A2294" s="13" t="n">
        <v>2293</v>
      </c>
      <c r="B2294" s="14" t="n">
        <v>46632</v>
      </c>
      <c r="C2294" s="15" t="n">
        <v>12</v>
      </c>
      <c r="D2294" s="25" t="inlineStr">
        <is>
          <t>Payout</t>
        </is>
      </c>
      <c r="E2294" s="13" t="inlineStr">
        <is>
          <t>IQ Capital</t>
        </is>
      </c>
      <c r="F2294" s="13" t="inlineStr">
        <is>
          <t>#43 Instant-Direct 100k</t>
        </is>
      </c>
      <c r="G2294" s="17" t="n">
        <v>100000</v>
      </c>
      <c r="H2294" s="17" t="n">
        <v>8000</v>
      </c>
      <c r="I2294" s="17" t="n">
        <v>18919363.15</v>
      </c>
      <c r="J2294" s="13" t="inlineStr">
        <is>
          <t>10 % × 100,000 × split 80%</t>
        </is>
      </c>
    </row>
    <row r="2295">
      <c r="A2295" s="19" t="n">
        <v>2294</v>
      </c>
      <c r="B2295" s="20" t="n">
        <v>46632</v>
      </c>
      <c r="C2295" s="21" t="n">
        <v>12</v>
      </c>
      <c r="D2295" s="25" t="inlineStr">
        <is>
          <t>Payout</t>
        </is>
      </c>
      <c r="E2295" s="19" t="inlineStr">
        <is>
          <t>IQ Capital</t>
        </is>
      </c>
      <c r="F2295" s="19" t="inlineStr">
        <is>
          <t>#44 Instant-Direct 100k</t>
        </is>
      </c>
      <c r="G2295" s="22" t="n">
        <v>100000</v>
      </c>
      <c r="H2295" s="22" t="n">
        <v>8000</v>
      </c>
      <c r="I2295" s="22" t="n">
        <v>18927363.15</v>
      </c>
      <c r="J2295" s="19" t="inlineStr">
        <is>
          <t>10 % × 100,000 × split 80%</t>
        </is>
      </c>
    </row>
    <row r="2296">
      <c r="A2296" s="13" t="n">
        <v>2295</v>
      </c>
      <c r="B2296" s="14" t="n">
        <v>46632</v>
      </c>
      <c r="C2296" s="15" t="n">
        <v>12</v>
      </c>
      <c r="D2296" s="25" t="inlineStr">
        <is>
          <t>Payout</t>
        </is>
      </c>
      <c r="E2296" s="13" t="inlineStr">
        <is>
          <t>IQ Capital</t>
        </is>
      </c>
      <c r="F2296" s="13" t="inlineStr">
        <is>
          <t>#45 Instant-Direct 100k</t>
        </is>
      </c>
      <c r="G2296" s="17" t="n">
        <v>100000</v>
      </c>
      <c r="H2296" s="17" t="n">
        <v>8000</v>
      </c>
      <c r="I2296" s="17" t="n">
        <v>18935363.15</v>
      </c>
      <c r="J2296" s="13" t="inlineStr">
        <is>
          <t>10 % × 100,000 × split 80%</t>
        </is>
      </c>
    </row>
    <row r="2297">
      <c r="A2297" s="19" t="n">
        <v>2296</v>
      </c>
      <c r="B2297" s="20" t="n">
        <v>46632</v>
      </c>
      <c r="C2297" s="21" t="n">
        <v>12</v>
      </c>
      <c r="D2297" s="25" t="inlineStr">
        <is>
          <t>Payout</t>
        </is>
      </c>
      <c r="E2297" s="19" t="inlineStr">
        <is>
          <t>Instant Funding</t>
        </is>
      </c>
      <c r="F2297" s="19" t="inlineStr">
        <is>
          <t>#46 Instant-Direct 120k</t>
        </is>
      </c>
      <c r="G2297" s="22" t="n">
        <v>120000</v>
      </c>
      <c r="H2297" s="22" t="n">
        <v>9600</v>
      </c>
      <c r="I2297" s="22" t="n">
        <v>18944963.15</v>
      </c>
      <c r="J2297" s="19" t="inlineStr">
        <is>
          <t>10 % × 120,000 × split 80%</t>
        </is>
      </c>
    </row>
    <row r="2298">
      <c r="A2298" s="13" t="n">
        <v>2297</v>
      </c>
      <c r="B2298" s="14" t="n">
        <v>46632</v>
      </c>
      <c r="C2298" s="15" t="n">
        <v>12</v>
      </c>
      <c r="D2298" s="25" t="inlineStr">
        <is>
          <t>Payout</t>
        </is>
      </c>
      <c r="E2298" s="13" t="inlineStr">
        <is>
          <t>Instant Funding</t>
        </is>
      </c>
      <c r="F2298" s="13" t="inlineStr">
        <is>
          <t>#47 Instant-Direct 120k</t>
        </is>
      </c>
      <c r="G2298" s="17" t="n">
        <v>120000</v>
      </c>
      <c r="H2298" s="17" t="n">
        <v>9600</v>
      </c>
      <c r="I2298" s="17" t="n">
        <v>18954563.15</v>
      </c>
      <c r="J2298" s="13" t="inlineStr">
        <is>
          <t>10 % × 120,000 × split 80%</t>
        </is>
      </c>
    </row>
    <row r="2299">
      <c r="A2299" s="19" t="n">
        <v>2298</v>
      </c>
      <c r="B2299" s="20" t="n">
        <v>46632</v>
      </c>
      <c r="C2299" s="21" t="n">
        <v>12</v>
      </c>
      <c r="D2299" s="25" t="inlineStr">
        <is>
          <t>Payout</t>
        </is>
      </c>
      <c r="E2299" s="19" t="inlineStr">
        <is>
          <t>Instant Funding</t>
        </is>
      </c>
      <c r="F2299" s="19" t="inlineStr">
        <is>
          <t>#48 Instant-Direct 120k</t>
        </is>
      </c>
      <c r="G2299" s="22" t="n">
        <v>120000</v>
      </c>
      <c r="H2299" s="22" t="n">
        <v>9600</v>
      </c>
      <c r="I2299" s="22" t="n">
        <v>18964163.15</v>
      </c>
      <c r="J2299" s="19" t="inlineStr">
        <is>
          <t>10 % × 120,000 × split 80%</t>
        </is>
      </c>
    </row>
    <row r="2300">
      <c r="A2300" s="13" t="n">
        <v>2299</v>
      </c>
      <c r="B2300" s="14" t="n">
        <v>46632</v>
      </c>
      <c r="C2300" s="15" t="n">
        <v>12</v>
      </c>
      <c r="D2300" s="25" t="inlineStr">
        <is>
          <t>Payout</t>
        </is>
      </c>
      <c r="E2300" s="13" t="inlineStr">
        <is>
          <t>Audacity Capital</t>
        </is>
      </c>
      <c r="F2300" s="13" t="inlineStr">
        <is>
          <t>#49 Instant-Direct 50k</t>
        </is>
      </c>
      <c r="G2300" s="17" t="n">
        <v>50000</v>
      </c>
      <c r="H2300" s="17" t="n">
        <v>4500</v>
      </c>
      <c r="I2300" s="17" t="n">
        <v>18968663.15</v>
      </c>
      <c r="J2300" s="13" t="inlineStr">
        <is>
          <t>10 % × 50,000 × split 90%</t>
        </is>
      </c>
    </row>
    <row r="2301">
      <c r="A2301" s="19" t="n">
        <v>2300</v>
      </c>
      <c r="B2301" s="20" t="n">
        <v>46632</v>
      </c>
      <c r="C2301" s="21" t="n">
        <v>12</v>
      </c>
      <c r="D2301" s="25" t="inlineStr">
        <is>
          <t>Payout</t>
        </is>
      </c>
      <c r="E2301" s="19" t="inlineStr">
        <is>
          <t>Crypto Fund Trader</t>
        </is>
      </c>
      <c r="F2301" s="19" t="inlineStr">
        <is>
          <t>#50 Instant-Direct 10k</t>
        </is>
      </c>
      <c r="G2301" s="22" t="n">
        <v>10000</v>
      </c>
      <c r="H2301" s="22" t="n">
        <v>800</v>
      </c>
      <c r="I2301" s="22" t="n">
        <v>18969463.15</v>
      </c>
      <c r="J2301" s="19" t="inlineStr">
        <is>
          <t>10 % × 10,000 × split 80%</t>
        </is>
      </c>
    </row>
    <row r="2302">
      <c r="A2302" s="13" t="n">
        <v>2301</v>
      </c>
      <c r="B2302" s="14" t="n">
        <v>46632</v>
      </c>
      <c r="C2302" s="15" t="n">
        <v>12</v>
      </c>
      <c r="D2302" s="25" t="inlineStr">
        <is>
          <t>Payout</t>
        </is>
      </c>
      <c r="E2302" s="13" t="inlineStr">
        <is>
          <t>Instant Funding</t>
        </is>
      </c>
      <c r="F2302" s="13" t="inlineStr">
        <is>
          <t>#51 Instant-Direct 120k</t>
        </is>
      </c>
      <c r="G2302" s="17" t="n">
        <v>120000</v>
      </c>
      <c r="H2302" s="17" t="n">
        <v>9600</v>
      </c>
      <c r="I2302" s="17" t="n">
        <v>18979063.15</v>
      </c>
      <c r="J2302" s="13" t="inlineStr">
        <is>
          <t>10 % × 120,000 × split 80%</t>
        </is>
      </c>
    </row>
    <row r="2303">
      <c r="A2303" s="19" t="n">
        <v>2302</v>
      </c>
      <c r="B2303" s="20" t="n">
        <v>46632</v>
      </c>
      <c r="C2303" s="21" t="n">
        <v>12</v>
      </c>
      <c r="D2303" s="25" t="inlineStr">
        <is>
          <t>Payout</t>
        </is>
      </c>
      <c r="E2303" s="19" t="inlineStr">
        <is>
          <t>Instant Funding</t>
        </is>
      </c>
      <c r="F2303" s="19" t="inlineStr">
        <is>
          <t>#52 Instant-Direct 120k</t>
        </is>
      </c>
      <c r="G2303" s="22" t="n">
        <v>120000</v>
      </c>
      <c r="H2303" s="22" t="n">
        <v>9600</v>
      </c>
      <c r="I2303" s="22" t="n">
        <v>18988663.15</v>
      </c>
      <c r="J2303" s="19" t="inlineStr">
        <is>
          <t>10 % × 120,000 × split 80%</t>
        </is>
      </c>
    </row>
    <row r="2304">
      <c r="A2304" s="13" t="n">
        <v>2303</v>
      </c>
      <c r="B2304" s="14" t="n">
        <v>46632</v>
      </c>
      <c r="C2304" s="15" t="n">
        <v>12</v>
      </c>
      <c r="D2304" s="25" t="inlineStr">
        <is>
          <t>Payout</t>
        </is>
      </c>
      <c r="E2304" s="13" t="inlineStr">
        <is>
          <t>Instant Funding</t>
        </is>
      </c>
      <c r="F2304" s="13" t="inlineStr">
        <is>
          <t>#53 Instant-Direct 120k</t>
        </is>
      </c>
      <c r="G2304" s="17" t="n">
        <v>120000</v>
      </c>
      <c r="H2304" s="17" t="n">
        <v>9600</v>
      </c>
      <c r="I2304" s="17" t="n">
        <v>18998263.15</v>
      </c>
      <c r="J2304" s="13" t="inlineStr">
        <is>
          <t>10 % × 120,000 × split 80%</t>
        </is>
      </c>
    </row>
    <row r="2305">
      <c r="A2305" s="19" t="n">
        <v>2304</v>
      </c>
      <c r="B2305" s="20" t="n">
        <v>46632</v>
      </c>
      <c r="C2305" s="21" t="n">
        <v>12</v>
      </c>
      <c r="D2305" s="25" t="inlineStr">
        <is>
          <t>Payout</t>
        </is>
      </c>
      <c r="E2305" s="19" t="inlineStr">
        <is>
          <t>Instant Funding</t>
        </is>
      </c>
      <c r="F2305" s="19" t="inlineStr">
        <is>
          <t>#54 Instant-Direct 120k</t>
        </is>
      </c>
      <c r="G2305" s="22" t="n">
        <v>120000</v>
      </c>
      <c r="H2305" s="22" t="n">
        <v>9600</v>
      </c>
      <c r="I2305" s="22" t="n">
        <v>19007863.15</v>
      </c>
      <c r="J2305" s="19" t="inlineStr">
        <is>
          <t>10 % × 120,000 × split 80%</t>
        </is>
      </c>
    </row>
    <row r="2306">
      <c r="A2306" s="13" t="n">
        <v>2305</v>
      </c>
      <c r="B2306" s="14" t="n">
        <v>46632</v>
      </c>
      <c r="C2306" s="15" t="n">
        <v>12</v>
      </c>
      <c r="D2306" s="25" t="inlineStr">
        <is>
          <t>Payout</t>
        </is>
      </c>
      <c r="E2306" s="13" t="inlineStr">
        <is>
          <t>Instant Funding</t>
        </is>
      </c>
      <c r="F2306" s="13" t="inlineStr">
        <is>
          <t>#55 Instant-Direct 120k</t>
        </is>
      </c>
      <c r="G2306" s="17" t="n">
        <v>120000</v>
      </c>
      <c r="H2306" s="17" t="n">
        <v>9600</v>
      </c>
      <c r="I2306" s="17" t="n">
        <v>19017463.15</v>
      </c>
      <c r="J2306" s="13" t="inlineStr">
        <is>
          <t>10 % × 120,000 × split 80%</t>
        </is>
      </c>
    </row>
    <row r="2307">
      <c r="A2307" s="19" t="n">
        <v>2306</v>
      </c>
      <c r="B2307" s="20" t="n">
        <v>46632</v>
      </c>
      <c r="C2307" s="21" t="n">
        <v>12</v>
      </c>
      <c r="D2307" s="25" t="inlineStr">
        <is>
          <t>Payout</t>
        </is>
      </c>
      <c r="E2307" s="19" t="inlineStr">
        <is>
          <t>Kickstart Trading</t>
        </is>
      </c>
      <c r="F2307" s="19" t="inlineStr">
        <is>
          <t>#56 Instant-Direct 100k</t>
        </is>
      </c>
      <c r="G2307" s="22" t="n">
        <v>100000</v>
      </c>
      <c r="H2307" s="22" t="n">
        <v>8000</v>
      </c>
      <c r="I2307" s="22" t="n">
        <v>19025463.15</v>
      </c>
      <c r="J2307" s="19" t="inlineStr">
        <is>
          <t>10 % × 100,000 × split 80%</t>
        </is>
      </c>
    </row>
    <row r="2308">
      <c r="A2308" s="13" t="n">
        <v>2307</v>
      </c>
      <c r="B2308" s="14" t="n">
        <v>46632</v>
      </c>
      <c r="C2308" s="15" t="n">
        <v>12</v>
      </c>
      <c r="D2308" s="25" t="inlineStr">
        <is>
          <t>Payout</t>
        </is>
      </c>
      <c r="E2308" s="13" t="inlineStr">
        <is>
          <t>Kickstart Trading</t>
        </is>
      </c>
      <c r="F2308" s="13" t="inlineStr">
        <is>
          <t>#57 Instant-Direct 100k</t>
        </is>
      </c>
      <c r="G2308" s="17" t="n">
        <v>100000</v>
      </c>
      <c r="H2308" s="17" t="n">
        <v>8000</v>
      </c>
      <c r="I2308" s="17" t="n">
        <v>19033463.15</v>
      </c>
      <c r="J2308" s="13" t="inlineStr">
        <is>
          <t>10 % × 100,000 × split 80%</t>
        </is>
      </c>
    </row>
    <row r="2309">
      <c r="A2309" s="19" t="n">
        <v>2308</v>
      </c>
      <c r="B2309" s="20" t="n">
        <v>46632</v>
      </c>
      <c r="C2309" s="21" t="n">
        <v>12</v>
      </c>
      <c r="D2309" s="25" t="inlineStr">
        <is>
          <t>Payout</t>
        </is>
      </c>
      <c r="E2309" s="19" t="inlineStr">
        <is>
          <t>Kickstart Trading</t>
        </is>
      </c>
      <c r="F2309" s="19" t="inlineStr">
        <is>
          <t>#58 Instant-Direct 100k</t>
        </is>
      </c>
      <c r="G2309" s="22" t="n">
        <v>100000</v>
      </c>
      <c r="H2309" s="22" t="n">
        <v>8000</v>
      </c>
      <c r="I2309" s="22" t="n">
        <v>19041463.15</v>
      </c>
      <c r="J2309" s="19" t="inlineStr">
        <is>
          <t>10 % × 100,000 × split 80%</t>
        </is>
      </c>
    </row>
    <row r="2310">
      <c r="A2310" s="13" t="n">
        <v>2309</v>
      </c>
      <c r="B2310" s="14" t="n">
        <v>46632</v>
      </c>
      <c r="C2310" s="15" t="n">
        <v>12</v>
      </c>
      <c r="D2310" s="25" t="inlineStr">
        <is>
          <t>Payout</t>
        </is>
      </c>
      <c r="E2310" s="13" t="inlineStr">
        <is>
          <t>Kickstart Trading</t>
        </is>
      </c>
      <c r="F2310" s="13" t="inlineStr">
        <is>
          <t>#59 Instant-Direct 100k</t>
        </is>
      </c>
      <c r="G2310" s="17" t="n">
        <v>100000</v>
      </c>
      <c r="H2310" s="17" t="n">
        <v>8000</v>
      </c>
      <c r="I2310" s="17" t="n">
        <v>19049463.15</v>
      </c>
      <c r="J2310" s="13" t="inlineStr">
        <is>
          <t>10 % × 100,000 × split 80%</t>
        </is>
      </c>
    </row>
    <row r="2311">
      <c r="A2311" s="19" t="n">
        <v>2310</v>
      </c>
      <c r="B2311" s="20" t="n">
        <v>46632</v>
      </c>
      <c r="C2311" s="21" t="n">
        <v>12</v>
      </c>
      <c r="D2311" s="25" t="inlineStr">
        <is>
          <t>Payout</t>
        </is>
      </c>
      <c r="E2311" s="19" t="inlineStr">
        <is>
          <t>Kickstart Trading</t>
        </is>
      </c>
      <c r="F2311" s="19" t="inlineStr">
        <is>
          <t>#60 Instant-Direct 100k</t>
        </is>
      </c>
      <c r="G2311" s="22" t="n">
        <v>100000</v>
      </c>
      <c r="H2311" s="22" t="n">
        <v>8000</v>
      </c>
      <c r="I2311" s="22" t="n">
        <v>19057463.15</v>
      </c>
      <c r="J2311" s="19" t="inlineStr">
        <is>
          <t>10 % × 100,000 × split 80%</t>
        </is>
      </c>
    </row>
    <row r="2312">
      <c r="A2312" s="13" t="n">
        <v>2311</v>
      </c>
      <c r="B2312" s="14" t="n">
        <v>46632</v>
      </c>
      <c r="C2312" s="15" t="n">
        <v>12</v>
      </c>
      <c r="D2312" s="25" t="inlineStr">
        <is>
          <t>Payout</t>
        </is>
      </c>
      <c r="E2312" s="13" t="inlineStr">
        <is>
          <t>Kickstart Trading</t>
        </is>
      </c>
      <c r="F2312" s="13" t="inlineStr">
        <is>
          <t>#61 Instant-Direct 100k</t>
        </is>
      </c>
      <c r="G2312" s="17" t="n">
        <v>100000</v>
      </c>
      <c r="H2312" s="17" t="n">
        <v>8000</v>
      </c>
      <c r="I2312" s="17" t="n">
        <v>19065463.15</v>
      </c>
      <c r="J2312" s="13" t="inlineStr">
        <is>
          <t>10 % × 100,000 × split 80%</t>
        </is>
      </c>
    </row>
    <row r="2313">
      <c r="A2313" s="19" t="n">
        <v>2312</v>
      </c>
      <c r="B2313" s="20" t="n">
        <v>46632</v>
      </c>
      <c r="C2313" s="21" t="n">
        <v>12</v>
      </c>
      <c r="D2313" s="25" t="inlineStr">
        <is>
          <t>Payout</t>
        </is>
      </c>
      <c r="E2313" s="19" t="inlineStr">
        <is>
          <t>Kickstart Trading</t>
        </is>
      </c>
      <c r="F2313" s="19" t="inlineStr">
        <is>
          <t>#62 Instant-Direct 100k</t>
        </is>
      </c>
      <c r="G2313" s="22" t="n">
        <v>100000</v>
      </c>
      <c r="H2313" s="22" t="n">
        <v>8000</v>
      </c>
      <c r="I2313" s="22" t="n">
        <v>19073463.15</v>
      </c>
      <c r="J2313" s="19" t="inlineStr">
        <is>
          <t>10 % × 100,000 × split 80%</t>
        </is>
      </c>
    </row>
    <row r="2314">
      <c r="A2314" s="13" t="n">
        <v>2313</v>
      </c>
      <c r="B2314" s="14" t="n">
        <v>46632</v>
      </c>
      <c r="C2314" s="15" t="n">
        <v>12</v>
      </c>
      <c r="D2314" s="25" t="inlineStr">
        <is>
          <t>Payout</t>
        </is>
      </c>
      <c r="E2314" s="13" t="inlineStr">
        <is>
          <t>Kickstart Trading</t>
        </is>
      </c>
      <c r="F2314" s="13" t="inlineStr">
        <is>
          <t>#63 Instant-Direct 100k</t>
        </is>
      </c>
      <c r="G2314" s="17" t="n">
        <v>100000</v>
      </c>
      <c r="H2314" s="17" t="n">
        <v>8000</v>
      </c>
      <c r="I2314" s="17" t="n">
        <v>19081463.15</v>
      </c>
      <c r="J2314" s="13" t="inlineStr">
        <is>
          <t>10 % × 100,000 × split 80%</t>
        </is>
      </c>
    </row>
    <row r="2315">
      <c r="A2315" s="19" t="n">
        <v>2314</v>
      </c>
      <c r="B2315" s="20" t="n">
        <v>46632</v>
      </c>
      <c r="C2315" s="21" t="n">
        <v>12</v>
      </c>
      <c r="D2315" s="25" t="inlineStr">
        <is>
          <t>Payout</t>
        </is>
      </c>
      <c r="E2315" s="19" t="inlineStr">
        <is>
          <t>Kickstart Trading</t>
        </is>
      </c>
      <c r="F2315" s="19" t="inlineStr">
        <is>
          <t>#64 Instant-Direct 100k</t>
        </is>
      </c>
      <c r="G2315" s="22" t="n">
        <v>100000</v>
      </c>
      <c r="H2315" s="22" t="n">
        <v>8000</v>
      </c>
      <c r="I2315" s="22" t="n">
        <v>19089463.15</v>
      </c>
      <c r="J2315" s="19" t="inlineStr">
        <is>
          <t>10 % × 100,000 × split 80%</t>
        </is>
      </c>
    </row>
    <row r="2316">
      <c r="A2316" s="13" t="n">
        <v>2315</v>
      </c>
      <c r="B2316" s="14" t="n">
        <v>46632</v>
      </c>
      <c r="C2316" s="15" t="n">
        <v>12</v>
      </c>
      <c r="D2316" s="25" t="inlineStr">
        <is>
          <t>Payout</t>
        </is>
      </c>
      <c r="E2316" s="13" t="inlineStr">
        <is>
          <t>Kickstart Trading</t>
        </is>
      </c>
      <c r="F2316" s="13" t="inlineStr">
        <is>
          <t>#65 Instant-Direct 100k</t>
        </is>
      </c>
      <c r="G2316" s="17" t="n">
        <v>100000</v>
      </c>
      <c r="H2316" s="17" t="n">
        <v>8000</v>
      </c>
      <c r="I2316" s="17" t="n">
        <v>19097463.15</v>
      </c>
      <c r="J2316" s="13" t="inlineStr">
        <is>
          <t>10 % × 100,000 × split 80%</t>
        </is>
      </c>
    </row>
    <row r="2317">
      <c r="A2317" s="19" t="n">
        <v>2316</v>
      </c>
      <c r="B2317" s="20" t="n">
        <v>46632</v>
      </c>
      <c r="C2317" s="21" t="n">
        <v>12</v>
      </c>
      <c r="D2317" s="25" t="inlineStr">
        <is>
          <t>Payout</t>
        </is>
      </c>
      <c r="E2317" s="19" t="inlineStr">
        <is>
          <t>Audacity Capital</t>
        </is>
      </c>
      <c r="F2317" s="19" t="inlineStr">
        <is>
          <t>#66 Instant-Direct 50k</t>
        </is>
      </c>
      <c r="G2317" s="22" t="n">
        <v>50000</v>
      </c>
      <c r="H2317" s="22" t="n">
        <v>4500</v>
      </c>
      <c r="I2317" s="22" t="n">
        <v>19101963.15</v>
      </c>
      <c r="J2317" s="19" t="inlineStr">
        <is>
          <t>10 % × 50,000 × split 90%</t>
        </is>
      </c>
    </row>
    <row r="2318">
      <c r="A2318" s="13" t="n">
        <v>2317</v>
      </c>
      <c r="B2318" s="14" t="n">
        <v>46632</v>
      </c>
      <c r="C2318" s="15" t="n">
        <v>12</v>
      </c>
      <c r="D2318" s="25" t="inlineStr">
        <is>
          <t>Payout</t>
        </is>
      </c>
      <c r="E2318" s="13" t="inlineStr">
        <is>
          <t>Audacity Capital</t>
        </is>
      </c>
      <c r="F2318" s="13" t="inlineStr">
        <is>
          <t>#67 Instant-Direct 50k</t>
        </is>
      </c>
      <c r="G2318" s="17" t="n">
        <v>50000</v>
      </c>
      <c r="H2318" s="17" t="n">
        <v>4500</v>
      </c>
      <c r="I2318" s="17" t="n">
        <v>19106463.15</v>
      </c>
      <c r="J2318" s="13" t="inlineStr">
        <is>
          <t>10 % × 50,000 × split 90%</t>
        </is>
      </c>
    </row>
    <row r="2319">
      <c r="A2319" s="19" t="n">
        <v>2318</v>
      </c>
      <c r="B2319" s="20" t="n">
        <v>46632</v>
      </c>
      <c r="C2319" s="21" t="n">
        <v>12</v>
      </c>
      <c r="D2319" s="25" t="inlineStr">
        <is>
          <t>Payout</t>
        </is>
      </c>
      <c r="E2319" s="19" t="inlineStr">
        <is>
          <t>Audacity Capital</t>
        </is>
      </c>
      <c r="F2319" s="19" t="inlineStr">
        <is>
          <t>#68 Instant-Direct 50k</t>
        </is>
      </c>
      <c r="G2319" s="22" t="n">
        <v>50000</v>
      </c>
      <c r="H2319" s="22" t="n">
        <v>4500</v>
      </c>
      <c r="I2319" s="22" t="n">
        <v>19110963.15</v>
      </c>
      <c r="J2319" s="19" t="inlineStr">
        <is>
          <t>10 % × 50,000 × split 90%</t>
        </is>
      </c>
    </row>
    <row r="2320">
      <c r="A2320" s="13" t="n">
        <v>2319</v>
      </c>
      <c r="B2320" s="14" t="n">
        <v>46632</v>
      </c>
      <c r="C2320" s="15" t="n">
        <v>12</v>
      </c>
      <c r="D2320" s="25" t="inlineStr">
        <is>
          <t>Payout</t>
        </is>
      </c>
      <c r="E2320" s="13" t="inlineStr">
        <is>
          <t>Audacity Capital</t>
        </is>
      </c>
      <c r="F2320" s="13" t="inlineStr">
        <is>
          <t>#69 Instant-Direct 50k</t>
        </is>
      </c>
      <c r="G2320" s="17" t="n">
        <v>50000</v>
      </c>
      <c r="H2320" s="17" t="n">
        <v>4500</v>
      </c>
      <c r="I2320" s="17" t="n">
        <v>19115463.15</v>
      </c>
      <c r="J2320" s="13" t="inlineStr">
        <is>
          <t>10 % × 50,000 × split 90%</t>
        </is>
      </c>
    </row>
    <row r="2321">
      <c r="A2321" s="19" t="n">
        <v>2320</v>
      </c>
      <c r="B2321" s="20" t="n">
        <v>46632</v>
      </c>
      <c r="C2321" s="21" t="n">
        <v>12</v>
      </c>
      <c r="D2321" s="25" t="inlineStr">
        <is>
          <t>Payout</t>
        </is>
      </c>
      <c r="E2321" s="19" t="inlineStr">
        <is>
          <t>Audacity Capital</t>
        </is>
      </c>
      <c r="F2321" s="19" t="inlineStr">
        <is>
          <t>#70 Instant-Direct 50k</t>
        </is>
      </c>
      <c r="G2321" s="22" t="n">
        <v>50000</v>
      </c>
      <c r="H2321" s="22" t="n">
        <v>4500</v>
      </c>
      <c r="I2321" s="22" t="n">
        <v>19119963.15</v>
      </c>
      <c r="J2321" s="19" t="inlineStr">
        <is>
          <t>10 % × 50,000 × split 90%</t>
        </is>
      </c>
    </row>
    <row r="2322">
      <c r="A2322" s="13" t="n">
        <v>2321</v>
      </c>
      <c r="B2322" s="14" t="n">
        <v>46632</v>
      </c>
      <c r="C2322" s="15" t="n">
        <v>12</v>
      </c>
      <c r="D2322" s="25" t="inlineStr">
        <is>
          <t>Payout</t>
        </is>
      </c>
      <c r="E2322" s="13" t="inlineStr">
        <is>
          <t>Audacity Capital</t>
        </is>
      </c>
      <c r="F2322" s="13" t="inlineStr">
        <is>
          <t>#71 Instant-Direct 50k</t>
        </is>
      </c>
      <c r="G2322" s="17" t="n">
        <v>50000</v>
      </c>
      <c r="H2322" s="17" t="n">
        <v>4500</v>
      </c>
      <c r="I2322" s="17" t="n">
        <v>19124463.15</v>
      </c>
      <c r="J2322" s="13" t="inlineStr">
        <is>
          <t>10 % × 50,000 × split 90%</t>
        </is>
      </c>
    </row>
    <row r="2323">
      <c r="A2323" s="19" t="n">
        <v>2322</v>
      </c>
      <c r="B2323" s="20" t="n">
        <v>46632</v>
      </c>
      <c r="C2323" s="21" t="n">
        <v>12</v>
      </c>
      <c r="D2323" s="25" t="inlineStr">
        <is>
          <t>Payout</t>
        </is>
      </c>
      <c r="E2323" s="19" t="inlineStr">
        <is>
          <t>Audacity Capital</t>
        </is>
      </c>
      <c r="F2323" s="19" t="inlineStr">
        <is>
          <t>#72 Instant-Direct 50k</t>
        </is>
      </c>
      <c r="G2323" s="22" t="n">
        <v>50000</v>
      </c>
      <c r="H2323" s="22" t="n">
        <v>4500</v>
      </c>
      <c r="I2323" s="22" t="n">
        <v>19128963.15</v>
      </c>
      <c r="J2323" s="19" t="inlineStr">
        <is>
          <t>10 % × 50,000 × split 90%</t>
        </is>
      </c>
    </row>
    <row r="2324">
      <c r="A2324" s="13" t="n">
        <v>2323</v>
      </c>
      <c r="B2324" s="14" t="n">
        <v>46632</v>
      </c>
      <c r="C2324" s="15" t="n">
        <v>12</v>
      </c>
      <c r="D2324" s="25" t="inlineStr">
        <is>
          <t>Payout</t>
        </is>
      </c>
      <c r="E2324" s="13" t="inlineStr">
        <is>
          <t>Audacity Capital</t>
        </is>
      </c>
      <c r="F2324" s="13" t="inlineStr">
        <is>
          <t>#73 Instant-Direct 50k</t>
        </is>
      </c>
      <c r="G2324" s="17" t="n">
        <v>50000</v>
      </c>
      <c r="H2324" s="17" t="n">
        <v>4500</v>
      </c>
      <c r="I2324" s="17" t="n">
        <v>19133463.15</v>
      </c>
      <c r="J2324" s="13" t="inlineStr">
        <is>
          <t>10 % × 50,000 × split 90%</t>
        </is>
      </c>
    </row>
    <row r="2325">
      <c r="A2325" s="19" t="n">
        <v>2324</v>
      </c>
      <c r="B2325" s="20" t="n">
        <v>46632</v>
      </c>
      <c r="C2325" s="21" t="n">
        <v>12</v>
      </c>
      <c r="D2325" s="25" t="inlineStr">
        <is>
          <t>Payout</t>
        </is>
      </c>
      <c r="E2325" s="19" t="inlineStr">
        <is>
          <t>Audacity Capital</t>
        </is>
      </c>
      <c r="F2325" s="19" t="inlineStr">
        <is>
          <t>#74 Instant-Direct 50k</t>
        </is>
      </c>
      <c r="G2325" s="22" t="n">
        <v>50000</v>
      </c>
      <c r="H2325" s="22" t="n">
        <v>4500</v>
      </c>
      <c r="I2325" s="22" t="n">
        <v>19137963.15</v>
      </c>
      <c r="J2325" s="19" t="inlineStr">
        <is>
          <t>10 % × 50,000 × split 90%</t>
        </is>
      </c>
    </row>
    <row r="2326">
      <c r="A2326" s="13" t="n">
        <v>2325</v>
      </c>
      <c r="B2326" s="14" t="n">
        <v>46632</v>
      </c>
      <c r="C2326" s="15" t="n">
        <v>12</v>
      </c>
      <c r="D2326" s="25" t="inlineStr">
        <is>
          <t>Payout</t>
        </is>
      </c>
      <c r="E2326" s="13" t="inlineStr">
        <is>
          <t>Audacity Capital</t>
        </is>
      </c>
      <c r="F2326" s="13" t="inlineStr">
        <is>
          <t>#75 Instant-Direct 50k</t>
        </is>
      </c>
      <c r="G2326" s="17" t="n">
        <v>50000</v>
      </c>
      <c r="H2326" s="17" t="n">
        <v>4500</v>
      </c>
      <c r="I2326" s="17" t="n">
        <v>19142463.15</v>
      </c>
      <c r="J2326" s="13" t="inlineStr">
        <is>
          <t>10 % × 50,000 × split 90%</t>
        </is>
      </c>
    </row>
    <row r="2327">
      <c r="A2327" s="19" t="n">
        <v>2326</v>
      </c>
      <c r="B2327" s="20" t="n">
        <v>46632</v>
      </c>
      <c r="C2327" s="21" t="n">
        <v>12</v>
      </c>
      <c r="D2327" s="25" t="inlineStr">
        <is>
          <t>Payout</t>
        </is>
      </c>
      <c r="E2327" s="19" t="inlineStr">
        <is>
          <t>Audacity Capital</t>
        </is>
      </c>
      <c r="F2327" s="19" t="inlineStr">
        <is>
          <t>#76 Instant-Direct 50k</t>
        </is>
      </c>
      <c r="G2327" s="22" t="n">
        <v>50000</v>
      </c>
      <c r="H2327" s="22" t="n">
        <v>4500</v>
      </c>
      <c r="I2327" s="22" t="n">
        <v>19146963.15</v>
      </c>
      <c r="J2327" s="19" t="inlineStr">
        <is>
          <t>10 % × 50,000 × split 90%</t>
        </is>
      </c>
    </row>
    <row r="2328">
      <c r="A2328" s="13" t="n">
        <v>2327</v>
      </c>
      <c r="B2328" s="14" t="n">
        <v>46632</v>
      </c>
      <c r="C2328" s="15" t="n">
        <v>12</v>
      </c>
      <c r="D2328" s="25" t="inlineStr">
        <is>
          <t>Payout</t>
        </is>
      </c>
      <c r="E2328" s="13" t="inlineStr">
        <is>
          <t>Audacity Capital</t>
        </is>
      </c>
      <c r="F2328" s="13" t="inlineStr">
        <is>
          <t>#77 Instant-Direct 50k</t>
        </is>
      </c>
      <c r="G2328" s="17" t="n">
        <v>50000</v>
      </c>
      <c r="H2328" s="17" t="n">
        <v>4500</v>
      </c>
      <c r="I2328" s="17" t="n">
        <v>19151463.15</v>
      </c>
      <c r="J2328" s="13" t="inlineStr">
        <is>
          <t>10 % × 50,000 × split 90%</t>
        </is>
      </c>
    </row>
    <row r="2329">
      <c r="A2329" s="19" t="n">
        <v>2328</v>
      </c>
      <c r="B2329" s="20" t="n">
        <v>46632</v>
      </c>
      <c r="C2329" s="21" t="n">
        <v>12</v>
      </c>
      <c r="D2329" s="25" t="inlineStr">
        <is>
          <t>Payout</t>
        </is>
      </c>
      <c r="E2329" s="19" t="inlineStr">
        <is>
          <t>Audacity Capital</t>
        </is>
      </c>
      <c r="F2329" s="19" t="inlineStr">
        <is>
          <t>#78 Instant-Direct 50k</t>
        </is>
      </c>
      <c r="G2329" s="22" t="n">
        <v>50000</v>
      </c>
      <c r="H2329" s="22" t="n">
        <v>4500</v>
      </c>
      <c r="I2329" s="22" t="n">
        <v>19155963.15</v>
      </c>
      <c r="J2329" s="19" t="inlineStr">
        <is>
          <t>10 % × 50,000 × split 90%</t>
        </is>
      </c>
    </row>
    <row r="2330">
      <c r="A2330" s="13" t="n">
        <v>2329</v>
      </c>
      <c r="B2330" s="14" t="n">
        <v>46632</v>
      </c>
      <c r="C2330" s="15" t="n">
        <v>12</v>
      </c>
      <c r="D2330" s="25" t="inlineStr">
        <is>
          <t>Payout</t>
        </is>
      </c>
      <c r="E2330" s="13" t="inlineStr">
        <is>
          <t>Fill88</t>
        </is>
      </c>
      <c r="F2330" s="13" t="inlineStr">
        <is>
          <t>#79 Instant-Direct 100k</t>
        </is>
      </c>
      <c r="G2330" s="17" t="n">
        <v>100000</v>
      </c>
      <c r="H2330" s="17" t="n">
        <v>8000</v>
      </c>
      <c r="I2330" s="17" t="n">
        <v>19163963.15</v>
      </c>
      <c r="J2330" s="13" t="inlineStr">
        <is>
          <t>10 % × 100,000 × split 80%</t>
        </is>
      </c>
    </row>
    <row r="2331">
      <c r="A2331" s="19" t="n">
        <v>2330</v>
      </c>
      <c r="B2331" s="20" t="n">
        <v>46632</v>
      </c>
      <c r="C2331" s="21" t="n">
        <v>12</v>
      </c>
      <c r="D2331" s="25" t="inlineStr">
        <is>
          <t>Payout</t>
        </is>
      </c>
      <c r="E2331" s="19" t="inlineStr">
        <is>
          <t>Fill88</t>
        </is>
      </c>
      <c r="F2331" s="19" t="inlineStr">
        <is>
          <t>#80 Instant-Direct 100k</t>
        </is>
      </c>
      <c r="G2331" s="22" t="n">
        <v>100000</v>
      </c>
      <c r="H2331" s="22" t="n">
        <v>8000</v>
      </c>
      <c r="I2331" s="22" t="n">
        <v>19171963.15</v>
      </c>
      <c r="J2331" s="19" t="inlineStr">
        <is>
          <t>10 % × 100,000 × split 80%</t>
        </is>
      </c>
    </row>
    <row r="2332">
      <c r="A2332" s="13" t="n">
        <v>2331</v>
      </c>
      <c r="B2332" s="14" t="n">
        <v>46632</v>
      </c>
      <c r="C2332" s="15" t="n">
        <v>12</v>
      </c>
      <c r="D2332" s="25" t="inlineStr">
        <is>
          <t>Payout</t>
        </is>
      </c>
      <c r="E2332" s="13" t="inlineStr">
        <is>
          <t>Fill88</t>
        </is>
      </c>
      <c r="F2332" s="13" t="inlineStr">
        <is>
          <t>#81 Instant-Direct 100k</t>
        </is>
      </c>
      <c r="G2332" s="17" t="n">
        <v>100000</v>
      </c>
      <c r="H2332" s="17" t="n">
        <v>8000</v>
      </c>
      <c r="I2332" s="17" t="n">
        <v>19179963.15</v>
      </c>
      <c r="J2332" s="13" t="inlineStr">
        <is>
          <t>10 % × 100,000 × split 80%</t>
        </is>
      </c>
    </row>
    <row r="2333">
      <c r="A2333" s="19" t="n">
        <v>2332</v>
      </c>
      <c r="B2333" s="20" t="n">
        <v>46632</v>
      </c>
      <c r="C2333" s="21" t="n">
        <v>12</v>
      </c>
      <c r="D2333" s="25" t="inlineStr">
        <is>
          <t>Payout</t>
        </is>
      </c>
      <c r="E2333" s="19" t="inlineStr">
        <is>
          <t>Fill88</t>
        </is>
      </c>
      <c r="F2333" s="19" t="inlineStr">
        <is>
          <t>#82 Instant-Direct 100k</t>
        </is>
      </c>
      <c r="G2333" s="22" t="n">
        <v>100000</v>
      </c>
      <c r="H2333" s="22" t="n">
        <v>8000</v>
      </c>
      <c r="I2333" s="22" t="n">
        <v>19187963.15</v>
      </c>
      <c r="J2333" s="19" t="inlineStr">
        <is>
          <t>10 % × 100,000 × split 80%</t>
        </is>
      </c>
    </row>
    <row r="2334">
      <c r="A2334" s="13" t="n">
        <v>2333</v>
      </c>
      <c r="B2334" s="14" t="n">
        <v>46632</v>
      </c>
      <c r="C2334" s="15" t="n">
        <v>12</v>
      </c>
      <c r="D2334" s="25" t="inlineStr">
        <is>
          <t>Payout</t>
        </is>
      </c>
      <c r="E2334" s="13" t="inlineStr">
        <is>
          <t>Fill88</t>
        </is>
      </c>
      <c r="F2334" s="13" t="inlineStr">
        <is>
          <t>#83 Instant-Direct 100k</t>
        </is>
      </c>
      <c r="G2334" s="17" t="n">
        <v>100000</v>
      </c>
      <c r="H2334" s="17" t="n">
        <v>8000</v>
      </c>
      <c r="I2334" s="17" t="n">
        <v>19195963.15</v>
      </c>
      <c r="J2334" s="13" t="inlineStr">
        <is>
          <t>10 % × 100,000 × split 80%</t>
        </is>
      </c>
    </row>
    <row r="2335">
      <c r="A2335" s="19" t="n">
        <v>2334</v>
      </c>
      <c r="B2335" s="20" t="n">
        <v>46632</v>
      </c>
      <c r="C2335" s="21" t="n">
        <v>12</v>
      </c>
      <c r="D2335" s="25" t="inlineStr">
        <is>
          <t>Payout</t>
        </is>
      </c>
      <c r="E2335" s="19" t="inlineStr">
        <is>
          <t>Fill88</t>
        </is>
      </c>
      <c r="F2335" s="19" t="inlineStr">
        <is>
          <t>#84 Instant-Direct 100k</t>
        </is>
      </c>
      <c r="G2335" s="22" t="n">
        <v>100000</v>
      </c>
      <c r="H2335" s="22" t="n">
        <v>8000</v>
      </c>
      <c r="I2335" s="22" t="n">
        <v>19203963.15</v>
      </c>
      <c r="J2335" s="19" t="inlineStr">
        <is>
          <t>10 % × 100,000 × split 80%</t>
        </is>
      </c>
    </row>
    <row r="2336">
      <c r="A2336" s="13" t="n">
        <v>2335</v>
      </c>
      <c r="B2336" s="14" t="n">
        <v>46632</v>
      </c>
      <c r="C2336" s="15" t="n">
        <v>12</v>
      </c>
      <c r="D2336" s="25" t="inlineStr">
        <is>
          <t>Payout</t>
        </is>
      </c>
      <c r="E2336" s="13" t="inlineStr">
        <is>
          <t>Finotive Funding</t>
        </is>
      </c>
      <c r="F2336" s="13" t="inlineStr">
        <is>
          <t>#85 Instant-Direct 100k</t>
        </is>
      </c>
      <c r="G2336" s="17" t="n">
        <v>100000</v>
      </c>
      <c r="H2336" s="17" t="n">
        <v>7500</v>
      </c>
      <c r="I2336" s="17" t="n">
        <v>19211463.15</v>
      </c>
      <c r="J2336" s="13" t="inlineStr">
        <is>
          <t>10 % × 100,000 × split 75%</t>
        </is>
      </c>
    </row>
    <row r="2337">
      <c r="A2337" s="19" t="n">
        <v>2336</v>
      </c>
      <c r="B2337" s="20" t="n">
        <v>46632</v>
      </c>
      <c r="C2337" s="21" t="n">
        <v>12</v>
      </c>
      <c r="D2337" s="25" t="inlineStr">
        <is>
          <t>Payout</t>
        </is>
      </c>
      <c r="E2337" s="19" t="inlineStr">
        <is>
          <t>Finotive Funding</t>
        </is>
      </c>
      <c r="F2337" s="19" t="inlineStr">
        <is>
          <t>#86 Instant-Direct 100k</t>
        </is>
      </c>
      <c r="G2337" s="22" t="n">
        <v>100000</v>
      </c>
      <c r="H2337" s="22" t="n">
        <v>7500</v>
      </c>
      <c r="I2337" s="22" t="n">
        <v>19218963.15</v>
      </c>
      <c r="J2337" s="19" t="inlineStr">
        <is>
          <t>10 % × 100,000 × split 75%</t>
        </is>
      </c>
    </row>
    <row r="2338">
      <c r="A2338" s="13" t="n">
        <v>2337</v>
      </c>
      <c r="B2338" s="14" t="n">
        <v>46632</v>
      </c>
      <c r="C2338" s="15" t="n">
        <v>12</v>
      </c>
      <c r="D2338" s="25" t="inlineStr">
        <is>
          <t>Payout</t>
        </is>
      </c>
      <c r="E2338" s="13" t="inlineStr">
        <is>
          <t>Finotive Funding</t>
        </is>
      </c>
      <c r="F2338" s="13" t="inlineStr">
        <is>
          <t>#87 Instant-Direct 100k</t>
        </is>
      </c>
      <c r="G2338" s="17" t="n">
        <v>100000</v>
      </c>
      <c r="H2338" s="17" t="n">
        <v>7500</v>
      </c>
      <c r="I2338" s="17" t="n">
        <v>19226463.15</v>
      </c>
      <c r="J2338" s="13" t="inlineStr">
        <is>
          <t>10 % × 100,000 × split 75%</t>
        </is>
      </c>
    </row>
    <row r="2339">
      <c r="A2339" s="19" t="n">
        <v>2338</v>
      </c>
      <c r="B2339" s="20" t="n">
        <v>46632</v>
      </c>
      <c r="C2339" s="21" t="n">
        <v>12</v>
      </c>
      <c r="D2339" s="25" t="inlineStr">
        <is>
          <t>Payout</t>
        </is>
      </c>
      <c r="E2339" s="19" t="inlineStr">
        <is>
          <t>Finotive Funding</t>
        </is>
      </c>
      <c r="F2339" s="19" t="inlineStr">
        <is>
          <t>#88 Instant-Direct 100k</t>
        </is>
      </c>
      <c r="G2339" s="22" t="n">
        <v>100000</v>
      </c>
      <c r="H2339" s="22" t="n">
        <v>7500</v>
      </c>
      <c r="I2339" s="22" t="n">
        <v>19233963.15</v>
      </c>
      <c r="J2339" s="19" t="inlineStr">
        <is>
          <t>10 % × 100,000 × split 75%</t>
        </is>
      </c>
    </row>
    <row r="2340">
      <c r="A2340" s="13" t="n">
        <v>2339</v>
      </c>
      <c r="B2340" s="14" t="n">
        <v>46632</v>
      </c>
      <c r="C2340" s="15" t="n">
        <v>12</v>
      </c>
      <c r="D2340" s="25" t="inlineStr">
        <is>
          <t>Payout</t>
        </is>
      </c>
      <c r="E2340" s="13" t="inlineStr">
        <is>
          <t>Finotive Funding</t>
        </is>
      </c>
      <c r="F2340" s="13" t="inlineStr">
        <is>
          <t>#89 Instant-Direct 100k</t>
        </is>
      </c>
      <c r="G2340" s="17" t="n">
        <v>100000</v>
      </c>
      <c r="H2340" s="17" t="n">
        <v>7500</v>
      </c>
      <c r="I2340" s="17" t="n">
        <v>19241463.15</v>
      </c>
      <c r="J2340" s="13" t="inlineStr">
        <is>
          <t>10 % × 100,000 × split 75%</t>
        </is>
      </c>
    </row>
    <row r="2341">
      <c r="A2341" s="19" t="n">
        <v>2340</v>
      </c>
      <c r="B2341" s="20" t="n">
        <v>46632</v>
      </c>
      <c r="C2341" s="21" t="n">
        <v>12</v>
      </c>
      <c r="D2341" s="25" t="inlineStr">
        <is>
          <t>Payout</t>
        </is>
      </c>
      <c r="E2341" s="19" t="inlineStr">
        <is>
          <t>Finotive Funding</t>
        </is>
      </c>
      <c r="F2341" s="19" t="inlineStr">
        <is>
          <t>#90 Instant-Direct 100k</t>
        </is>
      </c>
      <c r="G2341" s="22" t="n">
        <v>100000</v>
      </c>
      <c r="H2341" s="22" t="n">
        <v>7500</v>
      </c>
      <c r="I2341" s="22" t="n">
        <v>19248963.15</v>
      </c>
      <c r="J2341" s="19" t="inlineStr">
        <is>
          <t>10 % × 100,000 × split 75%</t>
        </is>
      </c>
    </row>
    <row r="2342">
      <c r="A2342" s="13" t="n">
        <v>2341</v>
      </c>
      <c r="B2342" s="14" t="n">
        <v>46632</v>
      </c>
      <c r="C2342" s="15" t="n">
        <v>12</v>
      </c>
      <c r="D2342" s="25" t="inlineStr">
        <is>
          <t>Payout</t>
        </is>
      </c>
      <c r="E2342" s="13" t="inlineStr">
        <is>
          <t>FNC Funding</t>
        </is>
      </c>
      <c r="F2342" s="13" t="inlineStr">
        <is>
          <t>#91 Instant-Direct 100k</t>
        </is>
      </c>
      <c r="G2342" s="17" t="n">
        <v>100000</v>
      </c>
      <c r="H2342" s="17" t="n">
        <v>7500</v>
      </c>
      <c r="I2342" s="17" t="n">
        <v>19256463.15</v>
      </c>
      <c r="J2342" s="13" t="inlineStr">
        <is>
          <t>10 % × 100,000 × split 75%</t>
        </is>
      </c>
    </row>
    <row r="2343">
      <c r="A2343" s="19" t="n">
        <v>2342</v>
      </c>
      <c r="B2343" s="20" t="n">
        <v>46632</v>
      </c>
      <c r="C2343" s="21" t="n">
        <v>12</v>
      </c>
      <c r="D2343" s="25" t="inlineStr">
        <is>
          <t>Payout</t>
        </is>
      </c>
      <c r="E2343" s="19" t="inlineStr">
        <is>
          <t>FNC Funding</t>
        </is>
      </c>
      <c r="F2343" s="19" t="inlineStr">
        <is>
          <t>#92 Instant-Direct 100k</t>
        </is>
      </c>
      <c r="G2343" s="22" t="n">
        <v>100000</v>
      </c>
      <c r="H2343" s="22" t="n">
        <v>7500</v>
      </c>
      <c r="I2343" s="22" t="n">
        <v>19263963.15</v>
      </c>
      <c r="J2343" s="19" t="inlineStr">
        <is>
          <t>10 % × 100,000 × split 75%</t>
        </is>
      </c>
    </row>
    <row r="2344">
      <c r="A2344" s="13" t="n">
        <v>2343</v>
      </c>
      <c r="B2344" s="14" t="n">
        <v>46632</v>
      </c>
      <c r="C2344" s="15" t="n">
        <v>12</v>
      </c>
      <c r="D2344" s="25" t="inlineStr">
        <is>
          <t>Payout</t>
        </is>
      </c>
      <c r="E2344" s="13" t="inlineStr">
        <is>
          <t>FNC Funding</t>
        </is>
      </c>
      <c r="F2344" s="13" t="inlineStr">
        <is>
          <t>#93 Instant-Direct 100k</t>
        </is>
      </c>
      <c r="G2344" s="17" t="n">
        <v>100000</v>
      </c>
      <c r="H2344" s="17" t="n">
        <v>7500</v>
      </c>
      <c r="I2344" s="17" t="n">
        <v>19271463.15</v>
      </c>
      <c r="J2344" s="13" t="inlineStr">
        <is>
          <t>10 % × 100,000 × split 75%</t>
        </is>
      </c>
    </row>
    <row r="2345">
      <c r="A2345" s="19" t="n">
        <v>2344</v>
      </c>
      <c r="B2345" s="20" t="n">
        <v>46632</v>
      </c>
      <c r="C2345" s="21" t="n">
        <v>12</v>
      </c>
      <c r="D2345" s="25" t="inlineStr">
        <is>
          <t>Payout</t>
        </is>
      </c>
      <c r="E2345" s="19" t="inlineStr">
        <is>
          <t>FNC Funding</t>
        </is>
      </c>
      <c r="F2345" s="19" t="inlineStr">
        <is>
          <t>#94 Instant-Direct 100k</t>
        </is>
      </c>
      <c r="G2345" s="22" t="n">
        <v>100000</v>
      </c>
      <c r="H2345" s="22" t="n">
        <v>7500</v>
      </c>
      <c r="I2345" s="22" t="n">
        <v>19278963.15</v>
      </c>
      <c r="J2345" s="19" t="inlineStr">
        <is>
          <t>10 % × 100,000 × split 75%</t>
        </is>
      </c>
    </row>
    <row r="2346">
      <c r="A2346" s="13" t="n">
        <v>2345</v>
      </c>
      <c r="B2346" s="14" t="n">
        <v>46632</v>
      </c>
      <c r="C2346" s="15" t="n">
        <v>12</v>
      </c>
      <c r="D2346" s="25" t="inlineStr">
        <is>
          <t>Payout</t>
        </is>
      </c>
      <c r="E2346" s="13" t="inlineStr">
        <is>
          <t>FNC Funding</t>
        </is>
      </c>
      <c r="F2346" s="13" t="inlineStr">
        <is>
          <t>#95 Instant-Direct 100k</t>
        </is>
      </c>
      <c r="G2346" s="17" t="n">
        <v>100000</v>
      </c>
      <c r="H2346" s="17" t="n">
        <v>7500</v>
      </c>
      <c r="I2346" s="17" t="n">
        <v>19286463.15</v>
      </c>
      <c r="J2346" s="13" t="inlineStr">
        <is>
          <t>10 % × 100,000 × split 75%</t>
        </is>
      </c>
    </row>
    <row r="2347">
      <c r="A2347" s="19" t="n">
        <v>2346</v>
      </c>
      <c r="B2347" s="20" t="n">
        <v>46632</v>
      </c>
      <c r="C2347" s="21" t="n">
        <v>12</v>
      </c>
      <c r="D2347" s="25" t="inlineStr">
        <is>
          <t>Payout</t>
        </is>
      </c>
      <c r="E2347" s="19" t="inlineStr">
        <is>
          <t>Funding Traders</t>
        </is>
      </c>
      <c r="F2347" s="19" t="inlineStr">
        <is>
          <t>#96 Instant-Direct 400k</t>
        </is>
      </c>
      <c r="G2347" s="22" t="n">
        <v>400000</v>
      </c>
      <c r="H2347" s="22" t="n">
        <v>40000</v>
      </c>
      <c r="I2347" s="22" t="n">
        <v>19326463.15</v>
      </c>
      <c r="J2347" s="19" t="inlineStr">
        <is>
          <t>10 % × 400,000 × split 100%</t>
        </is>
      </c>
    </row>
    <row r="2348">
      <c r="A2348" s="13" t="n">
        <v>2347</v>
      </c>
      <c r="B2348" s="14" t="n">
        <v>46632</v>
      </c>
      <c r="C2348" s="15" t="n">
        <v>12</v>
      </c>
      <c r="D2348" s="25" t="inlineStr">
        <is>
          <t>Payout</t>
        </is>
      </c>
      <c r="E2348" s="13" t="inlineStr">
        <is>
          <t>Ifunds</t>
        </is>
      </c>
      <c r="F2348" s="13" t="inlineStr">
        <is>
          <t>#97 Instant-Direct 500k</t>
        </is>
      </c>
      <c r="G2348" s="17" t="n">
        <v>500000</v>
      </c>
      <c r="H2348" s="17" t="n">
        <v>40000</v>
      </c>
      <c r="I2348" s="17" t="n">
        <v>19366463.15</v>
      </c>
      <c r="J2348" s="13" t="inlineStr">
        <is>
          <t>10 % × 500,000 × split 80%</t>
        </is>
      </c>
    </row>
    <row r="2349">
      <c r="A2349" s="19" t="n">
        <v>2348</v>
      </c>
      <c r="B2349" s="20" t="n">
        <v>46632</v>
      </c>
      <c r="C2349" s="21" t="n">
        <v>12</v>
      </c>
      <c r="D2349" s="25" t="inlineStr">
        <is>
          <t>Payout</t>
        </is>
      </c>
      <c r="E2349" s="19" t="inlineStr">
        <is>
          <t>Alpine Funded</t>
        </is>
      </c>
      <c r="F2349" s="19" t="inlineStr">
        <is>
          <t>#98 Instant-Direct 200k</t>
        </is>
      </c>
      <c r="G2349" s="22" t="n">
        <v>200000</v>
      </c>
      <c r="H2349" s="22" t="n">
        <v>20000</v>
      </c>
      <c r="I2349" s="22" t="n">
        <v>19386463.15</v>
      </c>
      <c r="J2349" s="19" t="inlineStr">
        <is>
          <t>10 % × 200,000 × split 100%</t>
        </is>
      </c>
    </row>
    <row r="2350">
      <c r="A2350" s="13" t="n">
        <v>2349</v>
      </c>
      <c r="B2350" s="14" t="n">
        <v>46632</v>
      </c>
      <c r="C2350" s="15" t="n">
        <v>12</v>
      </c>
      <c r="D2350" s="25" t="inlineStr">
        <is>
          <t>Payout</t>
        </is>
      </c>
      <c r="E2350" s="13" t="inlineStr">
        <is>
          <t>Alpine Funded</t>
        </is>
      </c>
      <c r="F2350" s="13" t="inlineStr">
        <is>
          <t>#99 Instant-Direct 200k</t>
        </is>
      </c>
      <c r="G2350" s="17" t="n">
        <v>200000</v>
      </c>
      <c r="H2350" s="17" t="n">
        <v>20000</v>
      </c>
      <c r="I2350" s="17" t="n">
        <v>19406463.15</v>
      </c>
      <c r="J2350" s="13" t="inlineStr">
        <is>
          <t>10 % × 200,000 × split 100%</t>
        </is>
      </c>
    </row>
    <row r="2351">
      <c r="A2351" s="19" t="n">
        <v>2350</v>
      </c>
      <c r="B2351" s="20" t="n">
        <v>46632</v>
      </c>
      <c r="C2351" s="21" t="n">
        <v>12</v>
      </c>
      <c r="D2351" s="25" t="inlineStr">
        <is>
          <t>Payout</t>
        </is>
      </c>
      <c r="E2351" s="19" t="inlineStr">
        <is>
          <t>AquaFunded</t>
        </is>
      </c>
      <c r="F2351" s="19" t="inlineStr">
        <is>
          <t>#100 Instant-Direct 400k</t>
        </is>
      </c>
      <c r="G2351" s="22" t="n">
        <v>400000</v>
      </c>
      <c r="H2351" s="22" t="n">
        <v>36000</v>
      </c>
      <c r="I2351" s="22" t="n">
        <v>19442463.15</v>
      </c>
      <c r="J2351" s="19" t="inlineStr">
        <is>
          <t>10 % × 400,000 × split 90%</t>
        </is>
      </c>
    </row>
    <row r="2352">
      <c r="A2352" s="13" t="n">
        <v>2351</v>
      </c>
      <c r="B2352" s="14" t="n">
        <v>46632</v>
      </c>
      <c r="C2352" s="15" t="n">
        <v>12</v>
      </c>
      <c r="D2352" s="25" t="inlineStr">
        <is>
          <t>Payout</t>
        </is>
      </c>
      <c r="E2352" s="13" t="inlineStr">
        <is>
          <t>Atlas Funded</t>
        </is>
      </c>
      <c r="F2352" s="13" t="inlineStr">
        <is>
          <t>#101 Instant-Direct 300k</t>
        </is>
      </c>
      <c r="G2352" s="17" t="n">
        <v>300000</v>
      </c>
      <c r="H2352" s="17" t="n">
        <v>30000</v>
      </c>
      <c r="I2352" s="17" t="n">
        <v>19472463.15</v>
      </c>
      <c r="J2352" s="13" t="inlineStr">
        <is>
          <t>10 % × 300,000 × split 100%</t>
        </is>
      </c>
    </row>
    <row r="2353">
      <c r="A2353" s="19" t="n">
        <v>2352</v>
      </c>
      <c r="B2353" s="20" t="n">
        <v>46632</v>
      </c>
      <c r="C2353" s="21" t="n">
        <v>12</v>
      </c>
      <c r="D2353" s="25" t="inlineStr">
        <is>
          <t>Payout</t>
        </is>
      </c>
      <c r="E2353" s="19" t="inlineStr">
        <is>
          <t>Atmos Funded</t>
        </is>
      </c>
      <c r="F2353" s="19" t="inlineStr">
        <is>
          <t>#102 Instant-Direct 100k</t>
        </is>
      </c>
      <c r="G2353" s="22" t="n">
        <v>100000</v>
      </c>
      <c r="H2353" s="22" t="n">
        <v>9000</v>
      </c>
      <c r="I2353" s="22" t="n">
        <v>19481463.15</v>
      </c>
      <c r="J2353" s="19" t="inlineStr">
        <is>
          <t>10 % × 100,000 × split 90%</t>
        </is>
      </c>
    </row>
    <row r="2354">
      <c r="A2354" s="13" t="n">
        <v>2353</v>
      </c>
      <c r="B2354" s="14" t="n">
        <v>46632</v>
      </c>
      <c r="C2354" s="15" t="n">
        <v>12</v>
      </c>
      <c r="D2354" s="25" t="inlineStr">
        <is>
          <t>Payout</t>
        </is>
      </c>
      <c r="E2354" s="13" t="inlineStr">
        <is>
          <t>Atmos Funded</t>
        </is>
      </c>
      <c r="F2354" s="13" t="inlineStr">
        <is>
          <t>#103 Instant-Direct 100k</t>
        </is>
      </c>
      <c r="G2354" s="17" t="n">
        <v>100000</v>
      </c>
      <c r="H2354" s="17" t="n">
        <v>9000</v>
      </c>
      <c r="I2354" s="17" t="n">
        <v>19490463.15</v>
      </c>
      <c r="J2354" s="13" t="inlineStr">
        <is>
          <t>10 % × 100,000 × split 90%</t>
        </is>
      </c>
    </row>
    <row r="2355">
      <c r="A2355" s="19" t="n">
        <v>2354</v>
      </c>
      <c r="B2355" s="20" t="n">
        <v>46632</v>
      </c>
      <c r="C2355" s="21" t="n">
        <v>12</v>
      </c>
      <c r="D2355" s="25" t="inlineStr">
        <is>
          <t>Payout</t>
        </is>
      </c>
      <c r="E2355" s="19" t="inlineStr">
        <is>
          <t>Atmos Funded</t>
        </is>
      </c>
      <c r="F2355" s="19" t="inlineStr">
        <is>
          <t>#104 Instant-Direct 100k</t>
        </is>
      </c>
      <c r="G2355" s="22" t="n">
        <v>100000</v>
      </c>
      <c r="H2355" s="22" t="n">
        <v>9000</v>
      </c>
      <c r="I2355" s="22" t="n">
        <v>19499463.15</v>
      </c>
      <c r="J2355" s="19" t="inlineStr">
        <is>
          <t>10 % × 100,000 × split 90%</t>
        </is>
      </c>
    </row>
    <row r="2356">
      <c r="A2356" s="13" t="n">
        <v>2355</v>
      </c>
      <c r="B2356" s="14" t="n">
        <v>46632</v>
      </c>
      <c r="C2356" s="15" t="n">
        <v>12</v>
      </c>
      <c r="D2356" s="25" t="inlineStr">
        <is>
          <t>Payout</t>
        </is>
      </c>
      <c r="E2356" s="13" t="inlineStr">
        <is>
          <t>Atmos Funded</t>
        </is>
      </c>
      <c r="F2356" s="13" t="inlineStr">
        <is>
          <t>#105 Instant-Direct 100k</t>
        </is>
      </c>
      <c r="G2356" s="17" t="n">
        <v>100000</v>
      </c>
      <c r="H2356" s="17" t="n">
        <v>9000</v>
      </c>
      <c r="I2356" s="17" t="n">
        <v>19508463.15</v>
      </c>
      <c r="J2356" s="13" t="inlineStr">
        <is>
          <t>10 % × 100,000 × split 90%</t>
        </is>
      </c>
    </row>
    <row r="2357">
      <c r="A2357" s="19" t="n">
        <v>2356</v>
      </c>
      <c r="B2357" s="20" t="n">
        <v>46632</v>
      </c>
      <c r="C2357" s="21" t="n">
        <v>12</v>
      </c>
      <c r="D2357" s="25" t="inlineStr">
        <is>
          <t>Payout</t>
        </is>
      </c>
      <c r="E2357" s="19" t="inlineStr">
        <is>
          <t>Blue Guardian</t>
        </is>
      </c>
      <c r="F2357" s="19" t="inlineStr">
        <is>
          <t>#106 Instant-Direct 400k</t>
        </is>
      </c>
      <c r="G2357" s="22" t="n">
        <v>400000</v>
      </c>
      <c r="H2357" s="22" t="n">
        <v>32000</v>
      </c>
      <c r="I2357" s="22" t="n">
        <v>19540463.15</v>
      </c>
      <c r="J2357" s="19" t="inlineStr">
        <is>
          <t>10 % × 400,000 × split 80%</t>
        </is>
      </c>
    </row>
    <row r="2358">
      <c r="A2358" s="13" t="n">
        <v>2357</v>
      </c>
      <c r="B2358" s="14" t="n">
        <v>46632</v>
      </c>
      <c r="C2358" s="15" t="n">
        <v>12</v>
      </c>
      <c r="D2358" s="25" t="inlineStr">
        <is>
          <t>Payout</t>
        </is>
      </c>
      <c r="E2358" s="13" t="inlineStr">
        <is>
          <t>FundedElite</t>
        </is>
      </c>
      <c r="F2358" s="13" t="inlineStr">
        <is>
          <t>#107 Instant-Direct 100k</t>
        </is>
      </c>
      <c r="G2358" s="17" t="n">
        <v>100000</v>
      </c>
      <c r="H2358" s="17" t="n">
        <v>9500</v>
      </c>
      <c r="I2358" s="17" t="n">
        <v>19549963.15</v>
      </c>
      <c r="J2358" s="13" t="inlineStr">
        <is>
          <t>10 % × 100,000 × split 95%</t>
        </is>
      </c>
    </row>
    <row r="2359">
      <c r="A2359" s="19" t="n">
        <v>2358</v>
      </c>
      <c r="B2359" s="20" t="n">
        <v>46632</v>
      </c>
      <c r="C2359" s="21" t="n">
        <v>12</v>
      </c>
      <c r="D2359" s="25" t="inlineStr">
        <is>
          <t>Payout</t>
        </is>
      </c>
      <c r="E2359" s="19" t="inlineStr">
        <is>
          <t>FundedElite</t>
        </is>
      </c>
      <c r="F2359" s="19" t="inlineStr">
        <is>
          <t>#108 Instant-Direct 100k</t>
        </is>
      </c>
      <c r="G2359" s="22" t="n">
        <v>100000</v>
      </c>
      <c r="H2359" s="22" t="n">
        <v>9500</v>
      </c>
      <c r="I2359" s="22" t="n">
        <v>19559463.15</v>
      </c>
      <c r="J2359" s="19" t="inlineStr">
        <is>
          <t>10 % × 100,000 × split 95%</t>
        </is>
      </c>
    </row>
    <row r="2360">
      <c r="A2360" s="13" t="n">
        <v>2359</v>
      </c>
      <c r="B2360" s="14" t="n">
        <v>46632</v>
      </c>
      <c r="C2360" s="15" t="n">
        <v>12</v>
      </c>
      <c r="D2360" s="25" t="inlineStr">
        <is>
          <t>Payout</t>
        </is>
      </c>
      <c r="E2360" s="13" t="inlineStr">
        <is>
          <t>FundedElite</t>
        </is>
      </c>
      <c r="F2360" s="13" t="inlineStr">
        <is>
          <t>#109 Instant-Direct 100k</t>
        </is>
      </c>
      <c r="G2360" s="17" t="n">
        <v>100000</v>
      </c>
      <c r="H2360" s="17" t="n">
        <v>9500</v>
      </c>
      <c r="I2360" s="17" t="n">
        <v>19568963.15</v>
      </c>
      <c r="J2360" s="13" t="inlineStr">
        <is>
          <t>10 % × 100,000 × split 95%</t>
        </is>
      </c>
    </row>
    <row r="2361">
      <c r="A2361" s="19" t="n">
        <v>2360</v>
      </c>
      <c r="B2361" s="20" t="n">
        <v>46632</v>
      </c>
      <c r="C2361" s="21" t="n">
        <v>12</v>
      </c>
      <c r="D2361" s="25" t="inlineStr">
        <is>
          <t>Payout</t>
        </is>
      </c>
      <c r="E2361" s="19" t="inlineStr">
        <is>
          <t>FundedElite</t>
        </is>
      </c>
      <c r="F2361" s="19" t="inlineStr">
        <is>
          <t>#110 Instant-Direct 100k</t>
        </is>
      </c>
      <c r="G2361" s="22" t="n">
        <v>100000</v>
      </c>
      <c r="H2361" s="22" t="n">
        <v>9500</v>
      </c>
      <c r="I2361" s="22" t="n">
        <v>19578463.15</v>
      </c>
      <c r="J2361" s="19" t="inlineStr">
        <is>
          <t>10 % × 100,000 × split 95%</t>
        </is>
      </c>
    </row>
    <row r="2362">
      <c r="A2362" s="13" t="n">
        <v>2361</v>
      </c>
      <c r="B2362" s="14" t="n">
        <v>46632</v>
      </c>
      <c r="C2362" s="15" t="n">
        <v>12</v>
      </c>
      <c r="D2362" s="25" t="inlineStr">
        <is>
          <t>Payout</t>
        </is>
      </c>
      <c r="E2362" s="13" t="inlineStr">
        <is>
          <t>Funding Pips</t>
        </is>
      </c>
      <c r="F2362" s="13" t="inlineStr">
        <is>
          <t>#111 Instant-Direct 200k</t>
        </is>
      </c>
      <c r="G2362" s="17" t="n">
        <v>200000</v>
      </c>
      <c r="H2362" s="17" t="n">
        <v>20000</v>
      </c>
      <c r="I2362" s="17" t="n">
        <v>19598463.15</v>
      </c>
      <c r="J2362" s="13" t="inlineStr">
        <is>
          <t>10 % × 200,000 × split 100%</t>
        </is>
      </c>
    </row>
    <row r="2363">
      <c r="A2363" s="19" t="n">
        <v>2362</v>
      </c>
      <c r="B2363" s="20" t="n">
        <v>46632</v>
      </c>
      <c r="C2363" s="21" t="n">
        <v>12</v>
      </c>
      <c r="D2363" s="25" t="inlineStr">
        <is>
          <t>Payout</t>
        </is>
      </c>
      <c r="E2363" s="19" t="inlineStr">
        <is>
          <t>Funding Pips</t>
        </is>
      </c>
      <c r="F2363" s="19" t="inlineStr">
        <is>
          <t>#112 Instant-Direct 200k</t>
        </is>
      </c>
      <c r="G2363" s="22" t="n">
        <v>200000</v>
      </c>
      <c r="H2363" s="22" t="n">
        <v>20000</v>
      </c>
      <c r="I2363" s="22" t="n">
        <v>19618463.15</v>
      </c>
      <c r="J2363" s="19" t="inlineStr">
        <is>
          <t>10 % × 200,000 × split 100%</t>
        </is>
      </c>
    </row>
    <row r="2364">
      <c r="A2364" s="13" t="n">
        <v>2363</v>
      </c>
      <c r="B2364" s="14" t="n">
        <v>46632</v>
      </c>
      <c r="C2364" s="15" t="n">
        <v>12</v>
      </c>
      <c r="D2364" s="25" t="inlineStr">
        <is>
          <t>Payout</t>
        </is>
      </c>
      <c r="E2364" s="13" t="inlineStr">
        <is>
          <t>Global Forex Funds</t>
        </is>
      </c>
      <c r="F2364" s="13" t="inlineStr">
        <is>
          <t>#113 Instant-Direct 100k</t>
        </is>
      </c>
      <c r="G2364" s="17" t="n">
        <v>100000</v>
      </c>
      <c r="H2364" s="17" t="n">
        <v>9000</v>
      </c>
      <c r="I2364" s="17" t="n">
        <v>19627463.15</v>
      </c>
      <c r="J2364" s="13" t="inlineStr">
        <is>
          <t>10 % × 100,000 × split 90%</t>
        </is>
      </c>
    </row>
    <row r="2365">
      <c r="A2365" s="19" t="n">
        <v>2364</v>
      </c>
      <c r="B2365" s="20" t="n">
        <v>46632</v>
      </c>
      <c r="C2365" s="21" t="n">
        <v>12</v>
      </c>
      <c r="D2365" s="25" t="inlineStr">
        <is>
          <t>Payout</t>
        </is>
      </c>
      <c r="E2365" s="19" t="inlineStr">
        <is>
          <t>Goat Funded Trader</t>
        </is>
      </c>
      <c r="F2365" s="19" t="inlineStr">
        <is>
          <t>#114 Instant-Direct 100k</t>
        </is>
      </c>
      <c r="G2365" s="22" t="n">
        <v>100000</v>
      </c>
      <c r="H2365" s="22" t="n">
        <v>10000</v>
      </c>
      <c r="I2365" s="22" t="n">
        <v>19637463.15</v>
      </c>
      <c r="J2365" s="19" t="inlineStr">
        <is>
          <t>10 % × 100,000 × split 100%</t>
        </is>
      </c>
    </row>
    <row r="2366">
      <c r="A2366" s="13" t="n">
        <v>2365</v>
      </c>
      <c r="B2366" s="14" t="n">
        <v>46632</v>
      </c>
      <c r="C2366" s="15" t="n">
        <v>12</v>
      </c>
      <c r="D2366" s="25" t="inlineStr">
        <is>
          <t>Payout</t>
        </is>
      </c>
      <c r="E2366" s="13" t="inlineStr">
        <is>
          <t>Goat Funded Trader</t>
        </is>
      </c>
      <c r="F2366" s="13" t="inlineStr">
        <is>
          <t>#115 Instant-Direct 100k</t>
        </is>
      </c>
      <c r="G2366" s="17" t="n">
        <v>100000</v>
      </c>
      <c r="H2366" s="17" t="n">
        <v>10000</v>
      </c>
      <c r="I2366" s="17" t="n">
        <v>19647463.15</v>
      </c>
      <c r="J2366" s="13" t="inlineStr">
        <is>
          <t>10 % × 100,000 × split 100%</t>
        </is>
      </c>
    </row>
    <row r="2367">
      <c r="A2367" s="19" t="n">
        <v>2366</v>
      </c>
      <c r="B2367" s="20" t="n">
        <v>46632</v>
      </c>
      <c r="C2367" s="21" t="n">
        <v>12</v>
      </c>
      <c r="D2367" s="25" t="inlineStr">
        <is>
          <t>Payout</t>
        </is>
      </c>
      <c r="E2367" s="19" t="inlineStr">
        <is>
          <t>Goat Funded Trader</t>
        </is>
      </c>
      <c r="F2367" s="19" t="inlineStr">
        <is>
          <t>#116 Instant-Direct 100k</t>
        </is>
      </c>
      <c r="G2367" s="22" t="n">
        <v>100000</v>
      </c>
      <c r="H2367" s="22" t="n">
        <v>10000</v>
      </c>
      <c r="I2367" s="22" t="n">
        <v>19657463.15</v>
      </c>
      <c r="J2367" s="19" t="inlineStr">
        <is>
          <t>10 % × 100,000 × split 100%</t>
        </is>
      </c>
    </row>
    <row r="2368">
      <c r="A2368" s="13" t="n">
        <v>2367</v>
      </c>
      <c r="B2368" s="14" t="n">
        <v>46632</v>
      </c>
      <c r="C2368" s="15" t="n">
        <v>12</v>
      </c>
      <c r="D2368" s="25" t="inlineStr">
        <is>
          <t>Payout</t>
        </is>
      </c>
      <c r="E2368" s="13" t="inlineStr">
        <is>
          <t>Goat Funded Trader</t>
        </is>
      </c>
      <c r="F2368" s="13" t="inlineStr">
        <is>
          <t>#117 Instant-Direct 100k</t>
        </is>
      </c>
      <c r="G2368" s="17" t="n">
        <v>100000</v>
      </c>
      <c r="H2368" s="17" t="n">
        <v>10000</v>
      </c>
      <c r="I2368" s="17" t="n">
        <v>19667463.15</v>
      </c>
      <c r="J2368" s="13" t="inlineStr">
        <is>
          <t>10 % × 100,000 × split 100%</t>
        </is>
      </c>
    </row>
    <row r="2369">
      <c r="A2369" s="19" t="n">
        <v>2368</v>
      </c>
      <c r="B2369" s="20" t="n">
        <v>46632</v>
      </c>
      <c r="C2369" s="21" t="n">
        <v>12</v>
      </c>
      <c r="D2369" s="25" t="inlineStr">
        <is>
          <t>Payout</t>
        </is>
      </c>
      <c r="E2369" s="19" t="inlineStr">
        <is>
          <t>FundedVerse</t>
        </is>
      </c>
      <c r="F2369" s="19" t="inlineStr">
        <is>
          <t>#118 Instant-Direct 50k</t>
        </is>
      </c>
      <c r="G2369" s="22" t="n">
        <v>50000</v>
      </c>
      <c r="H2369" s="22" t="n">
        <v>4000</v>
      </c>
      <c r="I2369" s="22" t="n">
        <v>19671463.15</v>
      </c>
      <c r="J2369" s="19" t="inlineStr">
        <is>
          <t>10 % × 50,000 × split 80%</t>
        </is>
      </c>
    </row>
    <row r="2370">
      <c r="A2370" s="13" t="n">
        <v>2369</v>
      </c>
      <c r="B2370" s="14" t="n">
        <v>46632</v>
      </c>
      <c r="C2370" s="15" t="n">
        <v>12</v>
      </c>
      <c r="D2370" s="25" t="inlineStr">
        <is>
          <t>Payout</t>
        </is>
      </c>
      <c r="E2370" s="13" t="inlineStr">
        <is>
          <t>FundedVerse</t>
        </is>
      </c>
      <c r="F2370" s="13" t="inlineStr">
        <is>
          <t>#119 Instant-Direct 50k</t>
        </is>
      </c>
      <c r="G2370" s="17" t="n">
        <v>50000</v>
      </c>
      <c r="H2370" s="17" t="n">
        <v>4000</v>
      </c>
      <c r="I2370" s="17" t="n">
        <v>19675463.15</v>
      </c>
      <c r="J2370" s="13" t="inlineStr">
        <is>
          <t>10 % × 50,000 × split 80%</t>
        </is>
      </c>
    </row>
    <row r="2371">
      <c r="A2371" s="19" t="n">
        <v>2370</v>
      </c>
      <c r="B2371" s="20" t="n">
        <v>46632</v>
      </c>
      <c r="C2371" s="21" t="n">
        <v>12</v>
      </c>
      <c r="D2371" s="25" t="inlineStr">
        <is>
          <t>Payout</t>
        </is>
      </c>
      <c r="E2371" s="19" t="inlineStr">
        <is>
          <t>FundedVerse</t>
        </is>
      </c>
      <c r="F2371" s="19" t="inlineStr">
        <is>
          <t>#120 Instant-Direct 50k</t>
        </is>
      </c>
      <c r="G2371" s="22" t="n">
        <v>50000</v>
      </c>
      <c r="H2371" s="22" t="n">
        <v>4000</v>
      </c>
      <c r="I2371" s="22" t="n">
        <v>19679463.15</v>
      </c>
      <c r="J2371" s="19" t="inlineStr">
        <is>
          <t>10 % × 50,000 × split 80%</t>
        </is>
      </c>
    </row>
    <row r="2372">
      <c r="A2372" s="13" t="n">
        <v>2371</v>
      </c>
      <c r="B2372" s="14" t="n">
        <v>46632</v>
      </c>
      <c r="C2372" s="15" t="n">
        <v>12</v>
      </c>
      <c r="D2372" s="25" t="inlineStr">
        <is>
          <t>Payout</t>
        </is>
      </c>
      <c r="E2372" s="13" t="inlineStr">
        <is>
          <t>FundedVerse</t>
        </is>
      </c>
      <c r="F2372" s="13" t="inlineStr">
        <is>
          <t>#121 Instant-Direct 50k</t>
        </is>
      </c>
      <c r="G2372" s="17" t="n">
        <v>50000</v>
      </c>
      <c r="H2372" s="17" t="n">
        <v>4000</v>
      </c>
      <c r="I2372" s="17" t="n">
        <v>19683463.15</v>
      </c>
      <c r="J2372" s="13" t="inlineStr">
        <is>
          <t>10 % × 50,000 × split 80%</t>
        </is>
      </c>
    </row>
    <row r="2373">
      <c r="A2373" s="19" t="n">
        <v>2372</v>
      </c>
      <c r="B2373" s="20" t="n">
        <v>46632</v>
      </c>
      <c r="C2373" s="21" t="n">
        <v>12</v>
      </c>
      <c r="D2373" s="25" t="inlineStr">
        <is>
          <t>Payout</t>
        </is>
      </c>
      <c r="E2373" s="19" t="inlineStr">
        <is>
          <t>FundedVerse</t>
        </is>
      </c>
      <c r="F2373" s="19" t="inlineStr">
        <is>
          <t>#122 Instant-Direct 50k</t>
        </is>
      </c>
      <c r="G2373" s="22" t="n">
        <v>50000</v>
      </c>
      <c r="H2373" s="22" t="n">
        <v>4000</v>
      </c>
      <c r="I2373" s="22" t="n">
        <v>19687463.15</v>
      </c>
      <c r="J2373" s="19" t="inlineStr">
        <is>
          <t>10 % × 50,000 × split 80%</t>
        </is>
      </c>
    </row>
    <row r="2374">
      <c r="A2374" s="13" t="n">
        <v>2373</v>
      </c>
      <c r="B2374" s="14" t="n">
        <v>46632</v>
      </c>
      <c r="C2374" s="15" t="n">
        <v>12</v>
      </c>
      <c r="D2374" s="25" t="inlineStr">
        <is>
          <t>Payout</t>
        </is>
      </c>
      <c r="E2374" s="13" t="inlineStr">
        <is>
          <t>FundedVerse</t>
        </is>
      </c>
      <c r="F2374" s="13" t="inlineStr">
        <is>
          <t>#123 Instant-Direct 50k</t>
        </is>
      </c>
      <c r="G2374" s="17" t="n">
        <v>50000</v>
      </c>
      <c r="H2374" s="17" t="n">
        <v>4000</v>
      </c>
      <c r="I2374" s="17" t="n">
        <v>19691463.15</v>
      </c>
      <c r="J2374" s="13" t="inlineStr">
        <is>
          <t>10 % × 50,000 × split 80%</t>
        </is>
      </c>
    </row>
    <row r="2375">
      <c r="A2375" s="19" t="n">
        <v>2374</v>
      </c>
      <c r="B2375" s="20" t="n">
        <v>46632</v>
      </c>
      <c r="C2375" s="21" t="n">
        <v>12</v>
      </c>
      <c r="D2375" s="25" t="inlineStr">
        <is>
          <t>Payout</t>
        </is>
      </c>
      <c r="E2375" s="19" t="inlineStr">
        <is>
          <t>Lark Funding</t>
        </is>
      </c>
      <c r="F2375" s="19" t="inlineStr">
        <is>
          <t>#124 Instant-Direct 100k</t>
        </is>
      </c>
      <c r="G2375" s="22" t="n">
        <v>100000</v>
      </c>
      <c r="H2375" s="22" t="n">
        <v>8000</v>
      </c>
      <c r="I2375" s="22" t="n">
        <v>19699463.15</v>
      </c>
      <c r="J2375" s="19" t="inlineStr">
        <is>
          <t>10 % × 100,000 × split 80%</t>
        </is>
      </c>
    </row>
    <row r="2376">
      <c r="A2376" s="13" t="n">
        <v>2375</v>
      </c>
      <c r="B2376" s="14" t="n">
        <v>46632</v>
      </c>
      <c r="C2376" s="15" t="n">
        <v>12</v>
      </c>
      <c r="D2376" s="25" t="inlineStr">
        <is>
          <t>Payout</t>
        </is>
      </c>
      <c r="E2376" s="13" t="inlineStr">
        <is>
          <t>Lark Funding</t>
        </is>
      </c>
      <c r="F2376" s="13" t="inlineStr">
        <is>
          <t>#125 Instant-Direct 100k</t>
        </is>
      </c>
      <c r="G2376" s="17" t="n">
        <v>100000</v>
      </c>
      <c r="H2376" s="17" t="n">
        <v>8000</v>
      </c>
      <c r="I2376" s="17" t="n">
        <v>19707463.15</v>
      </c>
      <c r="J2376" s="13" t="inlineStr">
        <is>
          <t>10 % × 100,000 × split 80%</t>
        </is>
      </c>
    </row>
    <row r="2377">
      <c r="A2377" s="19" t="n">
        <v>2376</v>
      </c>
      <c r="B2377" s="20" t="n">
        <v>46632</v>
      </c>
      <c r="C2377" s="21" t="n">
        <v>12</v>
      </c>
      <c r="D2377" s="25" t="inlineStr">
        <is>
          <t>Payout</t>
        </is>
      </c>
      <c r="E2377" s="19" t="inlineStr">
        <is>
          <t>Lark Funding</t>
        </is>
      </c>
      <c r="F2377" s="19" t="inlineStr">
        <is>
          <t>#126 Instant-Direct 100k</t>
        </is>
      </c>
      <c r="G2377" s="22" t="n">
        <v>100000</v>
      </c>
      <c r="H2377" s="22" t="n">
        <v>8000</v>
      </c>
      <c r="I2377" s="22" t="n">
        <v>19715463.15</v>
      </c>
      <c r="J2377" s="19" t="inlineStr">
        <is>
          <t>10 % × 100,000 × split 80%</t>
        </is>
      </c>
    </row>
    <row r="2378">
      <c r="A2378" s="13" t="n">
        <v>2377</v>
      </c>
      <c r="B2378" s="14" t="n">
        <v>46632</v>
      </c>
      <c r="C2378" s="15" t="n">
        <v>12</v>
      </c>
      <c r="D2378" s="25" t="inlineStr">
        <is>
          <t>Payout</t>
        </is>
      </c>
      <c r="E2378" s="13" t="inlineStr">
        <is>
          <t>Mockapital</t>
        </is>
      </c>
      <c r="F2378" s="13" t="inlineStr">
        <is>
          <t>#127 Instant-Direct 50k</t>
        </is>
      </c>
      <c r="G2378" s="17" t="n">
        <v>50000</v>
      </c>
      <c r="H2378" s="17" t="n">
        <v>4000</v>
      </c>
      <c r="I2378" s="17" t="n">
        <v>19719463.15</v>
      </c>
      <c r="J2378" s="13" t="inlineStr">
        <is>
          <t>10 % × 50,000 × split 80%</t>
        </is>
      </c>
    </row>
    <row r="2379">
      <c r="A2379" s="19" t="n">
        <v>2378</v>
      </c>
      <c r="B2379" s="20" t="n">
        <v>46632</v>
      </c>
      <c r="C2379" s="21" t="n">
        <v>12</v>
      </c>
      <c r="D2379" s="25" t="inlineStr">
        <is>
          <t>Payout</t>
        </is>
      </c>
      <c r="E2379" s="19" t="inlineStr">
        <is>
          <t>Mockapital</t>
        </is>
      </c>
      <c r="F2379" s="19" t="inlineStr">
        <is>
          <t>#128 Instant-Direct 50k</t>
        </is>
      </c>
      <c r="G2379" s="22" t="n">
        <v>50000</v>
      </c>
      <c r="H2379" s="22" t="n">
        <v>4000</v>
      </c>
      <c r="I2379" s="22" t="n">
        <v>19723463.15</v>
      </c>
      <c r="J2379" s="19" t="inlineStr">
        <is>
          <t>10 % × 50,000 × split 80%</t>
        </is>
      </c>
    </row>
    <row r="2380">
      <c r="A2380" s="13" t="n">
        <v>2379</v>
      </c>
      <c r="B2380" s="14" t="n">
        <v>46632</v>
      </c>
      <c r="C2380" s="15" t="n">
        <v>12</v>
      </c>
      <c r="D2380" s="25" t="inlineStr">
        <is>
          <t>Payout</t>
        </is>
      </c>
      <c r="E2380" s="13" t="inlineStr">
        <is>
          <t>Mockapital</t>
        </is>
      </c>
      <c r="F2380" s="13" t="inlineStr">
        <is>
          <t>#129 Instant-Direct 50k</t>
        </is>
      </c>
      <c r="G2380" s="17" t="n">
        <v>50000</v>
      </c>
      <c r="H2380" s="17" t="n">
        <v>4000</v>
      </c>
      <c r="I2380" s="17" t="n">
        <v>19727463.15</v>
      </c>
      <c r="J2380" s="13" t="inlineStr">
        <is>
          <t>10 % × 50,000 × split 80%</t>
        </is>
      </c>
    </row>
    <row r="2381">
      <c r="A2381" s="19" t="n">
        <v>2380</v>
      </c>
      <c r="B2381" s="20" t="n">
        <v>46632</v>
      </c>
      <c r="C2381" s="21" t="n">
        <v>12</v>
      </c>
      <c r="D2381" s="25" t="inlineStr">
        <is>
          <t>Payout</t>
        </is>
      </c>
      <c r="E2381" s="19" t="inlineStr">
        <is>
          <t>Mockapital</t>
        </is>
      </c>
      <c r="F2381" s="19" t="inlineStr">
        <is>
          <t>#130 Instant-Direct 50k</t>
        </is>
      </c>
      <c r="G2381" s="22" t="n">
        <v>50000</v>
      </c>
      <c r="H2381" s="22" t="n">
        <v>4000</v>
      </c>
      <c r="I2381" s="22" t="n">
        <v>19731463.15</v>
      </c>
      <c r="J2381" s="19" t="inlineStr">
        <is>
          <t>10 % × 50,000 × split 80%</t>
        </is>
      </c>
    </row>
    <row r="2382">
      <c r="A2382" s="13" t="n">
        <v>2381</v>
      </c>
      <c r="B2382" s="14" t="n">
        <v>46632</v>
      </c>
      <c r="C2382" s="15" t="n">
        <v>12</v>
      </c>
      <c r="D2382" s="25" t="inlineStr">
        <is>
          <t>Payout</t>
        </is>
      </c>
      <c r="E2382" s="13" t="inlineStr">
        <is>
          <t>Mockapital</t>
        </is>
      </c>
      <c r="F2382" s="13" t="inlineStr">
        <is>
          <t>#131 Instant-Direct 50k</t>
        </is>
      </c>
      <c r="G2382" s="17" t="n">
        <v>50000</v>
      </c>
      <c r="H2382" s="17" t="n">
        <v>4000</v>
      </c>
      <c r="I2382" s="17" t="n">
        <v>19735463.15</v>
      </c>
      <c r="J2382" s="13" t="inlineStr">
        <is>
          <t>10 % × 50,000 × split 80%</t>
        </is>
      </c>
    </row>
    <row r="2383">
      <c r="A2383" s="19" t="n">
        <v>2382</v>
      </c>
      <c r="B2383" s="20" t="n">
        <v>46632</v>
      </c>
      <c r="C2383" s="21" t="n">
        <v>12</v>
      </c>
      <c r="D2383" s="25" t="inlineStr">
        <is>
          <t>Payout</t>
        </is>
      </c>
      <c r="E2383" s="19" t="inlineStr">
        <is>
          <t>Mockapital</t>
        </is>
      </c>
      <c r="F2383" s="19" t="inlineStr">
        <is>
          <t>#132 Instant-Direct 50k</t>
        </is>
      </c>
      <c r="G2383" s="22" t="n">
        <v>50000</v>
      </c>
      <c r="H2383" s="22" t="n">
        <v>4000</v>
      </c>
      <c r="I2383" s="22" t="n">
        <v>19739463.15</v>
      </c>
      <c r="J2383" s="19" t="inlineStr">
        <is>
          <t>10 % × 50,000 × split 80%</t>
        </is>
      </c>
    </row>
    <row r="2384">
      <c r="A2384" s="13" t="n">
        <v>2383</v>
      </c>
      <c r="B2384" s="14" t="n">
        <v>46632</v>
      </c>
      <c r="C2384" s="15" t="n">
        <v>12</v>
      </c>
      <c r="D2384" s="25" t="inlineStr">
        <is>
          <t>Payout</t>
        </is>
      </c>
      <c r="E2384" s="13" t="inlineStr">
        <is>
          <t>Myfundedcapital</t>
        </is>
      </c>
      <c r="F2384" s="13" t="inlineStr">
        <is>
          <t>#133 Instant-Direct 80k</t>
        </is>
      </c>
      <c r="G2384" s="17" t="n">
        <v>80000</v>
      </c>
      <c r="H2384" s="17" t="n">
        <v>6400</v>
      </c>
      <c r="I2384" s="17" t="n">
        <v>19745863.15</v>
      </c>
      <c r="J2384" s="13" t="inlineStr">
        <is>
          <t>10 % × 80,000 × split 80%</t>
        </is>
      </c>
    </row>
    <row r="2385">
      <c r="A2385" s="19" t="n">
        <v>2384</v>
      </c>
      <c r="B2385" s="20" t="n">
        <v>46632</v>
      </c>
      <c r="C2385" s="21" t="n">
        <v>12</v>
      </c>
      <c r="D2385" s="25" t="inlineStr">
        <is>
          <t>Payout</t>
        </is>
      </c>
      <c r="E2385" s="19" t="inlineStr">
        <is>
          <t>Myfundedcapital</t>
        </is>
      </c>
      <c r="F2385" s="19" t="inlineStr">
        <is>
          <t>#134 Instant-Direct 80k</t>
        </is>
      </c>
      <c r="G2385" s="22" t="n">
        <v>80000</v>
      </c>
      <c r="H2385" s="22" t="n">
        <v>6400</v>
      </c>
      <c r="I2385" s="22" t="n">
        <v>19752263.15</v>
      </c>
      <c r="J2385" s="19" t="inlineStr">
        <is>
          <t>10 % × 80,000 × split 80%</t>
        </is>
      </c>
    </row>
    <row r="2386">
      <c r="A2386" s="13" t="n">
        <v>2385</v>
      </c>
      <c r="B2386" s="14" t="n">
        <v>46632</v>
      </c>
      <c r="C2386" s="15" t="n">
        <v>12</v>
      </c>
      <c r="D2386" s="25" t="inlineStr">
        <is>
          <t>Payout</t>
        </is>
      </c>
      <c r="E2386" s="13" t="inlineStr">
        <is>
          <t>Myfundedcapital</t>
        </is>
      </c>
      <c r="F2386" s="13" t="inlineStr">
        <is>
          <t>#135 Instant-Direct 80k</t>
        </is>
      </c>
      <c r="G2386" s="17" t="n">
        <v>80000</v>
      </c>
      <c r="H2386" s="17" t="n">
        <v>6400</v>
      </c>
      <c r="I2386" s="17" t="n">
        <v>19758663.15</v>
      </c>
      <c r="J2386" s="13" t="inlineStr">
        <is>
          <t>10 % × 80,000 × split 80%</t>
        </is>
      </c>
    </row>
    <row r="2387">
      <c r="A2387" s="19" t="n">
        <v>2386</v>
      </c>
      <c r="B2387" s="20" t="n">
        <v>46632</v>
      </c>
      <c r="C2387" s="21" t="n">
        <v>12</v>
      </c>
      <c r="D2387" s="25" t="inlineStr">
        <is>
          <t>Payout</t>
        </is>
      </c>
      <c r="E2387" s="19" t="inlineStr">
        <is>
          <t>City Traders Imperium</t>
        </is>
      </c>
      <c r="F2387" s="19" t="inlineStr">
        <is>
          <t>#136 Instant-Direct 80k</t>
        </is>
      </c>
      <c r="G2387" s="22" t="n">
        <v>80000</v>
      </c>
      <c r="H2387" s="22" t="n">
        <v>7200</v>
      </c>
      <c r="I2387" s="22" t="n">
        <v>19765863.15</v>
      </c>
      <c r="J2387" s="19" t="inlineStr">
        <is>
          <t>10 % × 80,000 × split 90%</t>
        </is>
      </c>
    </row>
    <row r="2388">
      <c r="A2388" s="13" t="n">
        <v>2387</v>
      </c>
      <c r="B2388" s="14" t="n">
        <v>46632</v>
      </c>
      <c r="C2388" s="15" t="n">
        <v>12</v>
      </c>
      <c r="D2388" s="25" t="inlineStr">
        <is>
          <t>Payout</t>
        </is>
      </c>
      <c r="E2388" s="13" t="inlineStr">
        <is>
          <t>City Traders Imperium</t>
        </is>
      </c>
      <c r="F2388" s="13" t="inlineStr">
        <is>
          <t>#137 Instant-Direct 80k</t>
        </is>
      </c>
      <c r="G2388" s="17" t="n">
        <v>80000</v>
      </c>
      <c r="H2388" s="17" t="n">
        <v>7200</v>
      </c>
      <c r="I2388" s="17" t="n">
        <v>19773063.15</v>
      </c>
      <c r="J2388" s="13" t="inlineStr">
        <is>
          <t>10 % × 80,000 × split 90%</t>
        </is>
      </c>
    </row>
    <row r="2389">
      <c r="A2389" s="19" t="n">
        <v>2388</v>
      </c>
      <c r="B2389" s="20" t="n">
        <v>46632</v>
      </c>
      <c r="C2389" s="21" t="n">
        <v>12</v>
      </c>
      <c r="D2389" s="25" t="inlineStr">
        <is>
          <t>Payout</t>
        </is>
      </c>
      <c r="E2389" s="19" t="inlineStr">
        <is>
          <t>FTUK</t>
        </is>
      </c>
      <c r="F2389" s="19" t="inlineStr">
        <is>
          <t>#138 Instant-Direct 100k</t>
        </is>
      </c>
      <c r="G2389" s="22" t="n">
        <v>100000</v>
      </c>
      <c r="H2389" s="22" t="n">
        <v>8000</v>
      </c>
      <c r="I2389" s="22" t="n">
        <v>19781063.15</v>
      </c>
      <c r="J2389" s="19" t="inlineStr">
        <is>
          <t>10 % × 100,000 × split 80%</t>
        </is>
      </c>
    </row>
    <row r="2390">
      <c r="A2390" s="13" t="n">
        <v>2389</v>
      </c>
      <c r="B2390" s="14" t="n">
        <v>46632</v>
      </c>
      <c r="C2390" s="15" t="n">
        <v>12</v>
      </c>
      <c r="D2390" s="25" t="inlineStr">
        <is>
          <t>Payout</t>
        </is>
      </c>
      <c r="E2390" s="13" t="inlineStr">
        <is>
          <t>Funded Friday</t>
        </is>
      </c>
      <c r="F2390" s="13" t="inlineStr">
        <is>
          <t>#139 Instant-Direct 200k</t>
        </is>
      </c>
      <c r="G2390" s="17" t="n">
        <v>200000</v>
      </c>
      <c r="H2390" s="17" t="n">
        <v>16000</v>
      </c>
      <c r="I2390" s="17" t="n">
        <v>19797063.15</v>
      </c>
      <c r="J2390" s="13" t="inlineStr">
        <is>
          <t>10 % × 200,000 × split 80%</t>
        </is>
      </c>
    </row>
    <row r="2391">
      <c r="A2391" s="19" t="n">
        <v>2390</v>
      </c>
      <c r="B2391" s="20" t="n">
        <v>46632</v>
      </c>
      <c r="C2391" s="21" t="n">
        <v>12</v>
      </c>
      <c r="D2391" s="25" t="inlineStr">
        <is>
          <t>Payout</t>
        </is>
      </c>
      <c r="E2391" s="19" t="inlineStr">
        <is>
          <t>Funded Trading Plus</t>
        </is>
      </c>
      <c r="F2391" s="19" t="inlineStr">
        <is>
          <t>#140 Instant-Direct 100k</t>
        </is>
      </c>
      <c r="G2391" s="22" t="n">
        <v>100000</v>
      </c>
      <c r="H2391" s="22" t="n">
        <v>8000</v>
      </c>
      <c r="I2391" s="22" t="n">
        <v>19805063.15</v>
      </c>
      <c r="J2391" s="19" t="inlineStr">
        <is>
          <t>10 % × 100,000 × split 80%</t>
        </is>
      </c>
    </row>
    <row r="2392">
      <c r="A2392" s="13" t="n">
        <v>2391</v>
      </c>
      <c r="B2392" s="14" t="n">
        <v>46632</v>
      </c>
      <c r="C2392" s="15" t="n">
        <v>12</v>
      </c>
      <c r="D2392" s="25" t="inlineStr">
        <is>
          <t>Payout</t>
        </is>
      </c>
      <c r="E2392" s="13" t="inlineStr">
        <is>
          <t>Funding Dynasty</t>
        </is>
      </c>
      <c r="F2392" s="13" t="inlineStr">
        <is>
          <t>#141 Instant-Direct 200k</t>
        </is>
      </c>
      <c r="G2392" s="17" t="n">
        <v>200000</v>
      </c>
      <c r="H2392" s="17" t="n">
        <v>16000</v>
      </c>
      <c r="I2392" s="17" t="n">
        <v>19821063.15</v>
      </c>
      <c r="J2392" s="13" t="inlineStr">
        <is>
          <t>10 % × 200,000 × split 80%</t>
        </is>
      </c>
    </row>
    <row r="2393">
      <c r="A2393" s="19" t="n">
        <v>2392</v>
      </c>
      <c r="B2393" s="20" t="n">
        <v>46632</v>
      </c>
      <c r="C2393" s="21" t="n">
        <v>12</v>
      </c>
      <c r="D2393" s="25" t="inlineStr">
        <is>
          <t>Payout</t>
        </is>
      </c>
      <c r="E2393" s="19" t="inlineStr">
        <is>
          <t>Funding Frontier</t>
        </is>
      </c>
      <c r="F2393" s="19" t="inlineStr">
        <is>
          <t>#142 Instant-Direct 50k</t>
        </is>
      </c>
      <c r="G2393" s="22" t="n">
        <v>50000</v>
      </c>
      <c r="H2393" s="22" t="n">
        <v>4000</v>
      </c>
      <c r="I2393" s="22" t="n">
        <v>19825063.15</v>
      </c>
      <c r="J2393" s="19" t="inlineStr">
        <is>
          <t>10 % × 50,000 × split 80%</t>
        </is>
      </c>
    </row>
    <row r="2394">
      <c r="A2394" s="13" t="n">
        <v>2393</v>
      </c>
      <c r="B2394" s="14" t="n">
        <v>46632</v>
      </c>
      <c r="C2394" s="15" t="n">
        <v>12</v>
      </c>
      <c r="D2394" s="25" t="inlineStr">
        <is>
          <t>Payout</t>
        </is>
      </c>
      <c r="E2394" s="13" t="inlineStr">
        <is>
          <t>FundYourFX</t>
        </is>
      </c>
      <c r="F2394" s="13" t="inlineStr">
        <is>
          <t>#143 Instant-Direct 200k</t>
        </is>
      </c>
      <c r="G2394" s="17" t="n">
        <v>200000</v>
      </c>
      <c r="H2394" s="17" t="n">
        <v>19000</v>
      </c>
      <c r="I2394" s="17" t="n">
        <v>19844063.15</v>
      </c>
      <c r="J2394" s="13" t="inlineStr">
        <is>
          <t>10 % × 200,000 × split 95%</t>
        </is>
      </c>
    </row>
    <row r="2395">
      <c r="A2395" s="19" t="n">
        <v>2394</v>
      </c>
      <c r="B2395" s="20" t="n">
        <v>46632</v>
      </c>
      <c r="C2395" s="21" t="n">
        <v>12</v>
      </c>
      <c r="D2395" s="25" t="inlineStr">
        <is>
          <t>Payout</t>
        </is>
      </c>
      <c r="E2395" s="19" t="inlineStr">
        <is>
          <t>Hex Funded</t>
        </is>
      </c>
      <c r="F2395" s="19" t="inlineStr">
        <is>
          <t>#144 Instant-Direct 100k</t>
        </is>
      </c>
      <c r="G2395" s="22" t="n">
        <v>100000</v>
      </c>
      <c r="H2395" s="22" t="n">
        <v>9000</v>
      </c>
      <c r="I2395" s="22" t="n">
        <v>19853063.15</v>
      </c>
      <c r="J2395" s="19" t="inlineStr">
        <is>
          <t>10 % × 100,000 × split 90%</t>
        </is>
      </c>
    </row>
    <row r="2396">
      <c r="A2396" s="13" t="n">
        <v>2395</v>
      </c>
      <c r="B2396" s="14" t="n">
        <v>46632</v>
      </c>
      <c r="C2396" s="15" t="n">
        <v>12</v>
      </c>
      <c r="D2396" s="25" t="inlineStr">
        <is>
          <t>Payout</t>
        </is>
      </c>
      <c r="E2396" s="13" t="inlineStr">
        <is>
          <t>FundingRock</t>
        </is>
      </c>
      <c r="F2396" s="13" t="inlineStr">
        <is>
          <t>#145 Instant-Direct 100k</t>
        </is>
      </c>
      <c r="G2396" s="17" t="n">
        <v>100000</v>
      </c>
      <c r="H2396" s="17" t="n">
        <v>8000</v>
      </c>
      <c r="I2396" s="17" t="n">
        <v>19861063.15</v>
      </c>
      <c r="J2396" s="13" t="inlineStr">
        <is>
          <t>10 % × 100,000 × split 80%</t>
        </is>
      </c>
    </row>
    <row r="2397">
      <c r="A2397" s="19" t="n">
        <v>2396</v>
      </c>
      <c r="B2397" s="20" t="n">
        <v>46632</v>
      </c>
      <c r="C2397" s="21" t="n">
        <v>12</v>
      </c>
      <c r="D2397" s="25" t="inlineStr">
        <is>
          <t>Payout</t>
        </is>
      </c>
      <c r="E2397" s="19" t="inlineStr">
        <is>
          <t>LegionFunding</t>
        </is>
      </c>
      <c r="F2397" s="19" t="inlineStr">
        <is>
          <t>#146 Instant-Direct 100k</t>
        </is>
      </c>
      <c r="G2397" s="22" t="n">
        <v>100000</v>
      </c>
      <c r="H2397" s="22" t="n">
        <v>8000</v>
      </c>
      <c r="I2397" s="22" t="n">
        <v>19869063.15</v>
      </c>
      <c r="J2397" s="19" t="inlineStr">
        <is>
          <t>10 % × 100,000 × split 80%</t>
        </is>
      </c>
    </row>
    <row r="2398">
      <c r="A2398" s="13" t="n">
        <v>2397</v>
      </c>
      <c r="B2398" s="14" t="n">
        <v>46632</v>
      </c>
      <c r="C2398" s="15" t="n">
        <v>12</v>
      </c>
      <c r="D2398" s="25" t="inlineStr">
        <is>
          <t>Payout</t>
        </is>
      </c>
      <c r="E2398" s="13" t="inlineStr">
        <is>
          <t>MasterFunders</t>
        </is>
      </c>
      <c r="F2398" s="13" t="inlineStr">
        <is>
          <t>#147 Instant-Direct 100k</t>
        </is>
      </c>
      <c r="G2398" s="17" t="n">
        <v>100000</v>
      </c>
      <c r="H2398" s="17" t="n">
        <v>8000</v>
      </c>
      <c r="I2398" s="17" t="n">
        <v>19877063.15</v>
      </c>
      <c r="J2398" s="13" t="inlineStr">
        <is>
          <t>10 % × 100,000 × split 80%</t>
        </is>
      </c>
    </row>
    <row r="2399">
      <c r="A2399" s="19" t="n">
        <v>2398</v>
      </c>
      <c r="B2399" s="20" t="n">
        <v>46632</v>
      </c>
      <c r="C2399" s="21" t="n">
        <v>12</v>
      </c>
      <c r="D2399" s="25" t="inlineStr">
        <is>
          <t>Payout</t>
        </is>
      </c>
      <c r="E2399" s="19" t="inlineStr">
        <is>
          <t>BloomFunded</t>
        </is>
      </c>
      <c r="F2399" s="19" t="inlineStr">
        <is>
          <t>#148 Instant-Direct 50k</t>
        </is>
      </c>
      <c r="G2399" s="22" t="n">
        <v>50000</v>
      </c>
      <c r="H2399" s="22" t="n">
        <v>4500</v>
      </c>
      <c r="I2399" s="22" t="n">
        <v>19881563.15</v>
      </c>
      <c r="J2399" s="19" t="inlineStr">
        <is>
          <t>10 % × 50,000 × split 90%</t>
        </is>
      </c>
    </row>
    <row r="2400">
      <c r="A2400" s="13" t="n">
        <v>2399</v>
      </c>
      <c r="B2400" s="14" t="n">
        <v>46632</v>
      </c>
      <c r="C2400" s="15" t="n">
        <v>12</v>
      </c>
      <c r="D2400" s="25" t="inlineStr">
        <is>
          <t>Payout</t>
        </is>
      </c>
      <c r="E2400" s="13" t="inlineStr">
        <is>
          <t>Finotive Futures</t>
        </is>
      </c>
      <c r="F2400" s="13" t="inlineStr">
        <is>
          <t>#153 1 Step 150k</t>
        </is>
      </c>
      <c r="G2400" s="17" t="n">
        <v>150000</v>
      </c>
      <c r="H2400" s="17" t="n">
        <v>13500</v>
      </c>
      <c r="I2400" s="17" t="n">
        <v>19895063.15</v>
      </c>
      <c r="J2400" s="13" t="inlineStr">
        <is>
          <t>10 % × 150,000 × split 90%</t>
        </is>
      </c>
    </row>
    <row r="2401">
      <c r="A2401" s="19" t="n">
        <v>2400</v>
      </c>
      <c r="B2401" s="20" t="n">
        <v>46632</v>
      </c>
      <c r="C2401" s="21" t="n">
        <v>12</v>
      </c>
      <c r="D2401" s="25" t="inlineStr">
        <is>
          <t>Payout</t>
        </is>
      </c>
      <c r="E2401" s="19" t="inlineStr">
        <is>
          <t>Finotive Futures</t>
        </is>
      </c>
      <c r="F2401" s="19" t="inlineStr">
        <is>
          <t>#154 1 Step 150k</t>
        </is>
      </c>
      <c r="G2401" s="22" t="n">
        <v>150000</v>
      </c>
      <c r="H2401" s="22" t="n">
        <v>13500</v>
      </c>
      <c r="I2401" s="22" t="n">
        <v>19908563.15</v>
      </c>
      <c r="J2401" s="19" t="inlineStr">
        <is>
          <t>10 % × 150,000 × split 90%</t>
        </is>
      </c>
    </row>
    <row r="2402">
      <c r="A2402" s="13" t="n">
        <v>2401</v>
      </c>
      <c r="B2402" s="14" t="n">
        <v>46632</v>
      </c>
      <c r="C2402" s="15" t="n">
        <v>12</v>
      </c>
      <c r="D2402" s="25" t="inlineStr">
        <is>
          <t>Payout</t>
        </is>
      </c>
      <c r="E2402" s="13" t="inlineStr">
        <is>
          <t>Finotive Futures</t>
        </is>
      </c>
      <c r="F2402" s="13" t="inlineStr">
        <is>
          <t>#155 1 Step 150k</t>
        </is>
      </c>
      <c r="G2402" s="17" t="n">
        <v>150000</v>
      </c>
      <c r="H2402" s="17" t="n">
        <v>13500</v>
      </c>
      <c r="I2402" s="17" t="n">
        <v>19922063.15</v>
      </c>
      <c r="J2402" s="13" t="inlineStr">
        <is>
          <t>10 % × 150,000 × split 90%</t>
        </is>
      </c>
    </row>
    <row r="2403">
      <c r="A2403" s="19" t="n">
        <v>2402</v>
      </c>
      <c r="B2403" s="20" t="n">
        <v>46632</v>
      </c>
      <c r="C2403" s="21" t="n">
        <v>12</v>
      </c>
      <c r="D2403" s="25" t="inlineStr">
        <is>
          <t>Payout</t>
        </is>
      </c>
      <c r="E2403" s="19" t="inlineStr">
        <is>
          <t>Finotive Futures</t>
        </is>
      </c>
      <c r="F2403" s="19" t="inlineStr">
        <is>
          <t>#156 1 Step 150k</t>
        </is>
      </c>
      <c r="G2403" s="22" t="n">
        <v>150000</v>
      </c>
      <c r="H2403" s="22" t="n">
        <v>13500</v>
      </c>
      <c r="I2403" s="22" t="n">
        <v>19935563.15</v>
      </c>
      <c r="J2403" s="19" t="inlineStr">
        <is>
          <t>10 % × 150,000 × split 90%</t>
        </is>
      </c>
    </row>
    <row r="2404">
      <c r="A2404" s="13" t="n">
        <v>2403</v>
      </c>
      <c r="B2404" s="14" t="n">
        <v>46632</v>
      </c>
      <c r="C2404" s="15" t="n">
        <v>12</v>
      </c>
      <c r="D2404" s="25" t="inlineStr">
        <is>
          <t>Payout</t>
        </is>
      </c>
      <c r="E2404" s="13" t="inlineStr">
        <is>
          <t>Finotive Futures</t>
        </is>
      </c>
      <c r="F2404" s="13" t="inlineStr">
        <is>
          <t>#157 1 Step 150k</t>
        </is>
      </c>
      <c r="G2404" s="17" t="n">
        <v>150000</v>
      </c>
      <c r="H2404" s="17" t="n">
        <v>13500</v>
      </c>
      <c r="I2404" s="17" t="n">
        <v>19949063.15</v>
      </c>
      <c r="J2404" s="13" t="inlineStr">
        <is>
          <t>10 % × 150,000 × split 90%</t>
        </is>
      </c>
    </row>
    <row r="2405">
      <c r="A2405" s="19" t="n">
        <v>2404</v>
      </c>
      <c r="B2405" s="20" t="n">
        <v>46632</v>
      </c>
      <c r="C2405" s="21" t="n">
        <v>12</v>
      </c>
      <c r="D2405" s="25" t="inlineStr">
        <is>
          <t>Payout</t>
        </is>
      </c>
      <c r="E2405" s="19" t="inlineStr">
        <is>
          <t>Finotive Futures</t>
        </is>
      </c>
      <c r="F2405" s="19" t="inlineStr">
        <is>
          <t>#158 1 Step 150k</t>
        </is>
      </c>
      <c r="G2405" s="22" t="n">
        <v>150000</v>
      </c>
      <c r="H2405" s="22" t="n">
        <v>13500</v>
      </c>
      <c r="I2405" s="22" t="n">
        <v>19962563.15</v>
      </c>
      <c r="J2405" s="19" t="inlineStr">
        <is>
          <t>10 % × 150,000 × split 90%</t>
        </is>
      </c>
    </row>
    <row r="2406">
      <c r="A2406" s="13" t="n">
        <v>2405</v>
      </c>
      <c r="B2406" s="14" t="n">
        <v>46632</v>
      </c>
      <c r="C2406" s="15" t="n">
        <v>12</v>
      </c>
      <c r="D2406" s="25" t="inlineStr">
        <is>
          <t>Payout</t>
        </is>
      </c>
      <c r="E2406" s="13" t="inlineStr">
        <is>
          <t>Funded Trader Markets</t>
        </is>
      </c>
      <c r="F2406" s="13" t="inlineStr">
        <is>
          <t>#159 1 Step 300k</t>
        </is>
      </c>
      <c r="G2406" s="17" t="n">
        <v>300000</v>
      </c>
      <c r="H2406" s="17" t="n">
        <v>27000</v>
      </c>
      <c r="I2406" s="17" t="n">
        <v>19989563.15</v>
      </c>
      <c r="J2406" s="13" t="inlineStr">
        <is>
          <t>10 % × 300,000 × split 90%</t>
        </is>
      </c>
    </row>
    <row r="2407">
      <c r="A2407" s="19" t="n">
        <v>2406</v>
      </c>
      <c r="B2407" s="20" t="n">
        <v>46632</v>
      </c>
      <c r="C2407" s="21" t="n">
        <v>12</v>
      </c>
      <c r="D2407" s="25" t="inlineStr">
        <is>
          <t>Payout</t>
        </is>
      </c>
      <c r="E2407" s="19" t="inlineStr">
        <is>
          <t>Funded Trader Markets</t>
        </is>
      </c>
      <c r="F2407" s="19" t="inlineStr">
        <is>
          <t>#160 1 Step 300k</t>
        </is>
      </c>
      <c r="G2407" s="22" t="n">
        <v>300000</v>
      </c>
      <c r="H2407" s="22" t="n">
        <v>27000</v>
      </c>
      <c r="I2407" s="22" t="n">
        <v>20016563.15</v>
      </c>
      <c r="J2407" s="19" t="inlineStr">
        <is>
          <t>10 % × 300,000 × split 90%</t>
        </is>
      </c>
    </row>
    <row r="2408">
      <c r="A2408" s="13" t="n">
        <v>2407</v>
      </c>
      <c r="B2408" s="14" t="n">
        <v>46632</v>
      </c>
      <c r="C2408" s="15" t="n">
        <v>12</v>
      </c>
      <c r="D2408" s="25" t="inlineStr">
        <is>
          <t>Payout</t>
        </is>
      </c>
      <c r="E2408" s="13" t="inlineStr">
        <is>
          <t>Funded Trader Markets</t>
        </is>
      </c>
      <c r="F2408" s="13" t="inlineStr">
        <is>
          <t>#161 1 Step 300k</t>
        </is>
      </c>
      <c r="G2408" s="17" t="n">
        <v>300000</v>
      </c>
      <c r="H2408" s="17" t="n">
        <v>27000</v>
      </c>
      <c r="I2408" s="17" t="n">
        <v>20043563.15</v>
      </c>
      <c r="J2408" s="13" t="inlineStr">
        <is>
          <t>10 % × 300,000 × split 90%</t>
        </is>
      </c>
    </row>
    <row r="2409">
      <c r="A2409" s="19" t="n">
        <v>2408</v>
      </c>
      <c r="B2409" s="20" t="n">
        <v>46632</v>
      </c>
      <c r="C2409" s="21" t="n">
        <v>12</v>
      </c>
      <c r="D2409" s="25" t="inlineStr">
        <is>
          <t>Payout</t>
        </is>
      </c>
      <c r="E2409" s="19" t="inlineStr">
        <is>
          <t>Kingdom Wealth Funding</t>
        </is>
      </c>
      <c r="F2409" s="19" t="inlineStr">
        <is>
          <t>#164 1 Step 1000k</t>
        </is>
      </c>
      <c r="G2409" s="22" t="n">
        <v>1000000</v>
      </c>
      <c r="H2409" s="22" t="n">
        <v>80000</v>
      </c>
      <c r="I2409" s="22" t="n">
        <v>20123563.15</v>
      </c>
      <c r="J2409" s="19" t="inlineStr">
        <is>
          <t>10 % × 1,000,000 × split 80%</t>
        </is>
      </c>
    </row>
    <row r="2410">
      <c r="A2410" s="13" t="n">
        <v>2409</v>
      </c>
      <c r="B2410" s="14" t="n">
        <v>46632</v>
      </c>
      <c r="C2410" s="15" t="n">
        <v>12</v>
      </c>
      <c r="D2410" s="25" t="inlineStr">
        <is>
          <t>Payout</t>
        </is>
      </c>
      <c r="E2410" s="13" t="inlineStr">
        <is>
          <t>Ment Funding</t>
        </is>
      </c>
      <c r="F2410" s="13" t="inlineStr">
        <is>
          <t>#165 1 Step 1000k</t>
        </is>
      </c>
      <c r="G2410" s="17" t="n">
        <v>1000000</v>
      </c>
      <c r="H2410" s="17" t="n">
        <v>80000</v>
      </c>
      <c r="I2410" s="17" t="n">
        <v>20203563.15</v>
      </c>
      <c r="J2410" s="13" t="inlineStr">
        <is>
          <t>10 % × 1,000,000 × split 80%</t>
        </is>
      </c>
    </row>
    <row r="2411">
      <c r="A2411" s="19" t="n">
        <v>2410</v>
      </c>
      <c r="B2411" s="20" t="n">
        <v>46632</v>
      </c>
      <c r="C2411" s="21" t="n">
        <v>12</v>
      </c>
      <c r="D2411" s="25" t="inlineStr">
        <is>
          <t>Payout</t>
        </is>
      </c>
      <c r="E2411" s="19" t="inlineStr">
        <is>
          <t>Ment Funding Futures</t>
        </is>
      </c>
      <c r="F2411" s="19" t="inlineStr">
        <is>
          <t>#172 1 Step 400k</t>
        </is>
      </c>
      <c r="G2411" s="22" t="n">
        <v>400000</v>
      </c>
      <c r="H2411" s="22" t="n">
        <v>32000</v>
      </c>
      <c r="I2411" s="22" t="n">
        <v>20235563.15</v>
      </c>
      <c r="J2411" s="19" t="inlineStr">
        <is>
          <t>10 % × 400,000 × split 80%</t>
        </is>
      </c>
    </row>
    <row r="2412">
      <c r="A2412" s="13" t="n">
        <v>2411</v>
      </c>
      <c r="B2412" s="14" t="n">
        <v>46632</v>
      </c>
      <c r="C2412" s="15" t="n">
        <v>12</v>
      </c>
      <c r="D2412" s="25" t="inlineStr">
        <is>
          <t>Payout</t>
        </is>
      </c>
      <c r="E2412" s="13" t="inlineStr">
        <is>
          <t>10FOUR</t>
        </is>
      </c>
      <c r="F2412" s="13" t="inlineStr">
        <is>
          <t>#173 1 Step 150k</t>
        </is>
      </c>
      <c r="G2412" s="17" t="n">
        <v>150000</v>
      </c>
      <c r="H2412" s="17" t="n">
        <v>13500</v>
      </c>
      <c r="I2412" s="17" t="n">
        <v>20249063.15</v>
      </c>
      <c r="J2412" s="13" t="inlineStr">
        <is>
          <t>10 % × 150,000 × split 90%</t>
        </is>
      </c>
    </row>
    <row r="2413">
      <c r="A2413" s="19" t="n">
        <v>2412</v>
      </c>
      <c r="B2413" s="20" t="n">
        <v>46632</v>
      </c>
      <c r="C2413" s="21" t="n">
        <v>12</v>
      </c>
      <c r="D2413" s="25" t="inlineStr">
        <is>
          <t>Payout</t>
        </is>
      </c>
      <c r="E2413" s="19" t="inlineStr">
        <is>
          <t>10FOUR</t>
        </is>
      </c>
      <c r="F2413" s="19" t="inlineStr">
        <is>
          <t>#174 1 Step 150k</t>
        </is>
      </c>
      <c r="G2413" s="22" t="n">
        <v>150000</v>
      </c>
      <c r="H2413" s="22" t="n">
        <v>13500</v>
      </c>
      <c r="I2413" s="22" t="n">
        <v>20262563.15</v>
      </c>
      <c r="J2413" s="19" t="inlineStr">
        <is>
          <t>10 % × 150,000 × split 90%</t>
        </is>
      </c>
    </row>
    <row r="2414">
      <c r="A2414" s="13" t="n">
        <v>2413</v>
      </c>
      <c r="B2414" s="14" t="n">
        <v>46632</v>
      </c>
      <c r="C2414" s="15" t="n">
        <v>12</v>
      </c>
      <c r="D2414" s="25" t="inlineStr">
        <is>
          <t>Payout</t>
        </is>
      </c>
      <c r="E2414" s="13" t="inlineStr">
        <is>
          <t>10FOUR</t>
        </is>
      </c>
      <c r="F2414" s="13" t="inlineStr">
        <is>
          <t>#175 1 Step 150k</t>
        </is>
      </c>
      <c r="G2414" s="17" t="n">
        <v>150000</v>
      </c>
      <c r="H2414" s="17" t="n">
        <v>13500</v>
      </c>
      <c r="I2414" s="17" t="n">
        <v>20276063.15</v>
      </c>
      <c r="J2414" s="13" t="inlineStr">
        <is>
          <t>10 % × 150,000 × split 90%</t>
        </is>
      </c>
    </row>
    <row r="2415">
      <c r="A2415" s="19" t="n">
        <v>2414</v>
      </c>
      <c r="B2415" s="20" t="n">
        <v>46632</v>
      </c>
      <c r="C2415" s="21" t="n">
        <v>12</v>
      </c>
      <c r="D2415" s="25" t="inlineStr">
        <is>
          <t>Payout</t>
        </is>
      </c>
      <c r="E2415" s="19" t="inlineStr">
        <is>
          <t>10FOUR</t>
        </is>
      </c>
      <c r="F2415" s="19" t="inlineStr">
        <is>
          <t>#176 1 Step 150k</t>
        </is>
      </c>
      <c r="G2415" s="22" t="n">
        <v>150000</v>
      </c>
      <c r="H2415" s="22" t="n">
        <v>13500</v>
      </c>
      <c r="I2415" s="22" t="n">
        <v>20289563.15</v>
      </c>
      <c r="J2415" s="19" t="inlineStr">
        <is>
          <t>10 % × 150,000 × split 90%</t>
        </is>
      </c>
    </row>
    <row r="2416">
      <c r="A2416" s="13" t="n">
        <v>2415</v>
      </c>
      <c r="B2416" s="14" t="n">
        <v>46632</v>
      </c>
      <c r="C2416" s="15" t="n">
        <v>12</v>
      </c>
      <c r="D2416" s="25" t="inlineStr">
        <is>
          <t>Payout</t>
        </is>
      </c>
      <c r="E2416" s="13" t="inlineStr">
        <is>
          <t>10FOUR</t>
        </is>
      </c>
      <c r="F2416" s="13" t="inlineStr">
        <is>
          <t>#177 1 Step 150k</t>
        </is>
      </c>
      <c r="G2416" s="17" t="n">
        <v>150000</v>
      </c>
      <c r="H2416" s="17" t="n">
        <v>13500</v>
      </c>
      <c r="I2416" s="17" t="n">
        <v>20303063.15</v>
      </c>
      <c r="J2416" s="13" t="inlineStr">
        <is>
          <t>10 % × 150,000 × split 90%</t>
        </is>
      </c>
    </row>
    <row r="2417">
      <c r="A2417" s="19" t="n">
        <v>2416</v>
      </c>
      <c r="B2417" s="20" t="n">
        <v>46632</v>
      </c>
      <c r="C2417" s="21" t="n">
        <v>12</v>
      </c>
      <c r="D2417" s="25" t="inlineStr">
        <is>
          <t>Payout</t>
        </is>
      </c>
      <c r="E2417" s="19" t="inlineStr">
        <is>
          <t>Blue Guardian Futures</t>
        </is>
      </c>
      <c r="F2417" s="19" t="inlineStr">
        <is>
          <t>#178 1 Step 100k</t>
        </is>
      </c>
      <c r="G2417" s="22" t="n">
        <v>100000</v>
      </c>
      <c r="H2417" s="22" t="n">
        <v>9000</v>
      </c>
      <c r="I2417" s="22" t="n">
        <v>20312063.15</v>
      </c>
      <c r="J2417" s="19" t="inlineStr">
        <is>
          <t>10 % × 100,000 × split 90%</t>
        </is>
      </c>
    </row>
    <row r="2418">
      <c r="A2418" s="13" t="n">
        <v>2417</v>
      </c>
      <c r="B2418" s="14" t="n">
        <v>46632</v>
      </c>
      <c r="C2418" s="15" t="n">
        <v>12</v>
      </c>
      <c r="D2418" s="25" t="inlineStr">
        <is>
          <t>Payout</t>
        </is>
      </c>
      <c r="E2418" s="13" t="inlineStr">
        <is>
          <t>Blue Guardian Futures</t>
        </is>
      </c>
      <c r="F2418" s="13" t="inlineStr">
        <is>
          <t>#179 1 Step 100k</t>
        </is>
      </c>
      <c r="G2418" s="17" t="n">
        <v>100000</v>
      </c>
      <c r="H2418" s="17" t="n">
        <v>9000</v>
      </c>
      <c r="I2418" s="17" t="n">
        <v>20321063.15</v>
      </c>
      <c r="J2418" s="13" t="inlineStr">
        <is>
          <t>10 % × 100,000 × split 90%</t>
        </is>
      </c>
    </row>
    <row r="2419">
      <c r="A2419" s="19" t="n">
        <v>2418</v>
      </c>
      <c r="B2419" s="20" t="n">
        <v>46632</v>
      </c>
      <c r="C2419" s="21" t="n">
        <v>12</v>
      </c>
      <c r="D2419" s="25" t="inlineStr">
        <is>
          <t>Payout</t>
        </is>
      </c>
      <c r="E2419" s="19" t="inlineStr">
        <is>
          <t>Blue Guardian Futures</t>
        </is>
      </c>
      <c r="F2419" s="19" t="inlineStr">
        <is>
          <t>#180 1 Step 100k</t>
        </is>
      </c>
      <c r="G2419" s="22" t="n">
        <v>100000</v>
      </c>
      <c r="H2419" s="22" t="n">
        <v>9000</v>
      </c>
      <c r="I2419" s="22" t="n">
        <v>20330063.15</v>
      </c>
      <c r="J2419" s="19" t="inlineStr">
        <is>
          <t>10 % × 100,000 × split 90%</t>
        </is>
      </c>
    </row>
    <row r="2420">
      <c r="A2420" s="13" t="n">
        <v>2419</v>
      </c>
      <c r="B2420" s="14" t="n">
        <v>46632</v>
      </c>
      <c r="C2420" s="15" t="n">
        <v>12</v>
      </c>
      <c r="D2420" s="25" t="inlineStr">
        <is>
          <t>Payout</t>
        </is>
      </c>
      <c r="E2420" s="13" t="inlineStr">
        <is>
          <t>Blue Guardian Futures</t>
        </is>
      </c>
      <c r="F2420" s="13" t="inlineStr">
        <is>
          <t>#181 1 Step 100k</t>
        </is>
      </c>
      <c r="G2420" s="17" t="n">
        <v>100000</v>
      </c>
      <c r="H2420" s="17" t="n">
        <v>9000</v>
      </c>
      <c r="I2420" s="17" t="n">
        <v>20339063.15</v>
      </c>
      <c r="J2420" s="13" t="inlineStr">
        <is>
          <t>10 % × 100,000 × split 90%</t>
        </is>
      </c>
    </row>
    <row r="2421">
      <c r="A2421" s="19" t="n">
        <v>2420</v>
      </c>
      <c r="B2421" s="20" t="n">
        <v>46632</v>
      </c>
      <c r="C2421" s="21" t="n">
        <v>12</v>
      </c>
      <c r="D2421" s="25" t="inlineStr">
        <is>
          <t>Payout</t>
        </is>
      </c>
      <c r="E2421" s="19" t="inlineStr">
        <is>
          <t>Blue Guardian Futures</t>
        </is>
      </c>
      <c r="F2421" s="19" t="inlineStr">
        <is>
          <t>#182 1 Step 100k</t>
        </is>
      </c>
      <c r="G2421" s="22" t="n">
        <v>100000</v>
      </c>
      <c r="H2421" s="22" t="n">
        <v>9000</v>
      </c>
      <c r="I2421" s="22" t="n">
        <v>20348063.15</v>
      </c>
      <c r="J2421" s="19" t="inlineStr">
        <is>
          <t>10 % × 100,000 × split 90%</t>
        </is>
      </c>
    </row>
    <row r="2422">
      <c r="A2422" s="13" t="n">
        <v>2421</v>
      </c>
      <c r="B2422" s="14" t="n">
        <v>46632</v>
      </c>
      <c r="C2422" s="15" t="n">
        <v>12</v>
      </c>
      <c r="D2422" s="25" t="inlineStr">
        <is>
          <t>Payout</t>
        </is>
      </c>
      <c r="E2422" s="13" t="inlineStr">
        <is>
          <t>Blue Guardian Futures</t>
        </is>
      </c>
      <c r="F2422" s="13" t="inlineStr">
        <is>
          <t>#183 1 Step 100k</t>
        </is>
      </c>
      <c r="G2422" s="17" t="n">
        <v>100000</v>
      </c>
      <c r="H2422" s="17" t="n">
        <v>9000</v>
      </c>
      <c r="I2422" s="17" t="n">
        <v>20357063.15</v>
      </c>
      <c r="J2422" s="13" t="inlineStr">
        <is>
          <t>10 % × 100,000 × split 90%</t>
        </is>
      </c>
    </row>
    <row r="2423">
      <c r="A2423" s="19" t="n">
        <v>2422</v>
      </c>
      <c r="B2423" s="20" t="n">
        <v>46632</v>
      </c>
      <c r="C2423" s="21" t="n">
        <v>12</v>
      </c>
      <c r="D2423" s="25" t="inlineStr">
        <is>
          <t>Payout</t>
        </is>
      </c>
      <c r="E2423" s="19" t="inlineStr">
        <is>
          <t>Blue Guardian Futures</t>
        </is>
      </c>
      <c r="F2423" s="19" t="inlineStr">
        <is>
          <t>#184 1 Step 100k</t>
        </is>
      </c>
      <c r="G2423" s="22" t="n">
        <v>100000</v>
      </c>
      <c r="H2423" s="22" t="n">
        <v>9000</v>
      </c>
      <c r="I2423" s="22" t="n">
        <v>20366063.15</v>
      </c>
      <c r="J2423" s="19" t="inlineStr">
        <is>
          <t>10 % × 100,000 × split 90%</t>
        </is>
      </c>
    </row>
    <row r="2424">
      <c r="A2424" s="13" t="n">
        <v>2423</v>
      </c>
      <c r="B2424" s="14" t="n">
        <v>46632</v>
      </c>
      <c r="C2424" s="15" t="n">
        <v>12</v>
      </c>
      <c r="D2424" s="25" t="inlineStr">
        <is>
          <t>Payout</t>
        </is>
      </c>
      <c r="E2424" s="13" t="inlineStr">
        <is>
          <t>FunderPro Futures</t>
        </is>
      </c>
      <c r="F2424" s="13" t="inlineStr">
        <is>
          <t>#185 1 Step 150k</t>
        </is>
      </c>
      <c r="G2424" s="17" t="n">
        <v>150000</v>
      </c>
      <c r="H2424" s="17" t="n">
        <v>9000</v>
      </c>
      <c r="I2424" s="17" t="n">
        <v>20375063.15</v>
      </c>
      <c r="J2424" s="13" t="inlineStr">
        <is>
          <t>10 % × 150,000 × split 60%</t>
        </is>
      </c>
    </row>
    <row r="2425">
      <c r="A2425" s="19" t="n">
        <v>2424</v>
      </c>
      <c r="B2425" s="20" t="n">
        <v>46632</v>
      </c>
      <c r="C2425" s="21" t="n">
        <v>12</v>
      </c>
      <c r="D2425" s="25" t="inlineStr">
        <is>
          <t>Payout</t>
        </is>
      </c>
      <c r="E2425" s="19" t="inlineStr">
        <is>
          <t>FunderPro Futures</t>
        </is>
      </c>
      <c r="F2425" s="19" t="inlineStr">
        <is>
          <t>#186 1 Step 150k</t>
        </is>
      </c>
      <c r="G2425" s="22" t="n">
        <v>150000</v>
      </c>
      <c r="H2425" s="22" t="n">
        <v>9000</v>
      </c>
      <c r="I2425" s="22" t="n">
        <v>20384063.15</v>
      </c>
      <c r="J2425" s="19" t="inlineStr">
        <is>
          <t>10 % × 150,000 × split 60%</t>
        </is>
      </c>
    </row>
    <row r="2426">
      <c r="A2426" s="13" t="n">
        <v>2425</v>
      </c>
      <c r="B2426" s="14" t="n">
        <v>46632</v>
      </c>
      <c r="C2426" s="15" t="n">
        <v>12</v>
      </c>
      <c r="D2426" s="25" t="inlineStr">
        <is>
          <t>Payout</t>
        </is>
      </c>
      <c r="E2426" s="13" t="inlineStr">
        <is>
          <t>FunderPro Futures</t>
        </is>
      </c>
      <c r="F2426" s="13" t="inlineStr">
        <is>
          <t>#187 1 Step 150k</t>
        </is>
      </c>
      <c r="G2426" s="17" t="n">
        <v>150000</v>
      </c>
      <c r="H2426" s="17" t="n">
        <v>9000</v>
      </c>
      <c r="I2426" s="17" t="n">
        <v>20393063.15</v>
      </c>
      <c r="J2426" s="13" t="inlineStr">
        <is>
          <t>10 % × 150,000 × split 60%</t>
        </is>
      </c>
    </row>
    <row r="2427">
      <c r="A2427" s="19" t="n">
        <v>2426</v>
      </c>
      <c r="B2427" s="20" t="n">
        <v>46632</v>
      </c>
      <c r="C2427" s="21" t="n">
        <v>12</v>
      </c>
      <c r="D2427" s="25" t="inlineStr">
        <is>
          <t>Payout</t>
        </is>
      </c>
      <c r="E2427" s="19" t="inlineStr">
        <is>
          <t>FunderPro Futures</t>
        </is>
      </c>
      <c r="F2427" s="19" t="inlineStr">
        <is>
          <t>#188 1 Step 150k</t>
        </is>
      </c>
      <c r="G2427" s="22" t="n">
        <v>150000</v>
      </c>
      <c r="H2427" s="22" t="n">
        <v>9000</v>
      </c>
      <c r="I2427" s="22" t="n">
        <v>20402063.15</v>
      </c>
      <c r="J2427" s="19" t="inlineStr">
        <is>
          <t>10 % × 150,000 × split 60%</t>
        </is>
      </c>
    </row>
    <row r="2428">
      <c r="A2428" s="13" t="n">
        <v>2427</v>
      </c>
      <c r="B2428" s="14" t="n">
        <v>46632</v>
      </c>
      <c r="C2428" s="15" t="n">
        <v>12</v>
      </c>
      <c r="D2428" s="25" t="inlineStr">
        <is>
          <t>Payout</t>
        </is>
      </c>
      <c r="E2428" s="13" t="inlineStr">
        <is>
          <t>Capitalize</t>
        </is>
      </c>
      <c r="F2428" s="13" t="inlineStr">
        <is>
          <t>#202 1 Step 500k</t>
        </is>
      </c>
      <c r="G2428" s="17" t="n">
        <v>500000</v>
      </c>
      <c r="H2428" s="17" t="n">
        <v>40000</v>
      </c>
      <c r="I2428" s="17" t="n">
        <v>20442063.15</v>
      </c>
      <c r="J2428" s="13" t="inlineStr">
        <is>
          <t>10 % × 500,000 × split 80%</t>
        </is>
      </c>
    </row>
    <row r="2429">
      <c r="A2429" s="19" t="n">
        <v>2428</v>
      </c>
      <c r="B2429" s="20" t="n">
        <v>46632</v>
      </c>
      <c r="C2429" s="21" t="n">
        <v>12</v>
      </c>
      <c r="D2429" s="25" t="inlineStr">
        <is>
          <t>Payout</t>
        </is>
      </c>
      <c r="E2429" s="19" t="inlineStr">
        <is>
          <t>Hola Prime</t>
        </is>
      </c>
      <c r="F2429" s="19" t="inlineStr">
        <is>
          <t>#206 1 Step 150k</t>
        </is>
      </c>
      <c r="G2429" s="22" t="n">
        <v>150000</v>
      </c>
      <c r="H2429" s="22" t="n">
        <v>12000</v>
      </c>
      <c r="I2429" s="22" t="n">
        <v>20454063.15</v>
      </c>
      <c r="J2429" s="19" t="inlineStr">
        <is>
          <t>10 % × 150,000 × split 80%</t>
        </is>
      </c>
    </row>
    <row r="2430">
      <c r="A2430" s="13" t="n">
        <v>2429</v>
      </c>
      <c r="B2430" s="14" t="n">
        <v>46632</v>
      </c>
      <c r="C2430" s="15" t="n">
        <v>12</v>
      </c>
      <c r="D2430" s="25" t="inlineStr">
        <is>
          <t>Payout</t>
        </is>
      </c>
      <c r="E2430" s="13" t="inlineStr">
        <is>
          <t>Hola Prime</t>
        </is>
      </c>
      <c r="F2430" s="13" t="inlineStr">
        <is>
          <t>#207 1 Step 150k</t>
        </is>
      </c>
      <c r="G2430" s="17" t="n">
        <v>150000</v>
      </c>
      <c r="H2430" s="17" t="n">
        <v>12000</v>
      </c>
      <c r="I2430" s="17" t="n">
        <v>20466063.15</v>
      </c>
      <c r="J2430" s="13" t="inlineStr">
        <is>
          <t>10 % × 150,000 × split 80%</t>
        </is>
      </c>
    </row>
    <row r="2431">
      <c r="A2431" s="19" t="n">
        <v>2430</v>
      </c>
      <c r="B2431" s="20" t="n">
        <v>46632</v>
      </c>
      <c r="C2431" s="21" t="n">
        <v>12</v>
      </c>
      <c r="D2431" s="25" t="inlineStr">
        <is>
          <t>Payout</t>
        </is>
      </c>
      <c r="E2431" s="19" t="inlineStr">
        <is>
          <t>Hola Prime</t>
        </is>
      </c>
      <c r="F2431" s="19" t="inlineStr">
        <is>
          <t>#208 1 Step 150k</t>
        </is>
      </c>
      <c r="G2431" s="22" t="n">
        <v>150000</v>
      </c>
      <c r="H2431" s="22" t="n">
        <v>12000</v>
      </c>
      <c r="I2431" s="22" t="n">
        <v>20478063.15</v>
      </c>
      <c r="J2431" s="19" t="inlineStr">
        <is>
          <t>10 % × 150,000 × split 80%</t>
        </is>
      </c>
    </row>
    <row r="2432">
      <c r="A2432" s="13" t="n">
        <v>2431</v>
      </c>
      <c r="B2432" s="14" t="n">
        <v>46632</v>
      </c>
      <c r="C2432" s="15" t="n">
        <v>12</v>
      </c>
      <c r="D2432" s="25" t="inlineStr">
        <is>
          <t>Payout</t>
        </is>
      </c>
      <c r="E2432" s="13" t="inlineStr">
        <is>
          <t>FTMO Futures</t>
        </is>
      </c>
      <c r="F2432" s="13" t="inlineStr">
        <is>
          <t>#213 1 Step 150k</t>
        </is>
      </c>
      <c r="G2432" s="17" t="n">
        <v>150000</v>
      </c>
      <c r="H2432" s="17" t="n">
        <v>13500</v>
      </c>
      <c r="I2432" s="17" t="n">
        <v>20491563.15</v>
      </c>
      <c r="J2432" s="13" t="inlineStr">
        <is>
          <t>10 % × 150,000 × split 90%</t>
        </is>
      </c>
    </row>
    <row r="2433">
      <c r="A2433" s="19" t="n">
        <v>2432</v>
      </c>
      <c r="B2433" s="20" t="n">
        <v>46632</v>
      </c>
      <c r="C2433" s="21" t="n">
        <v>12</v>
      </c>
      <c r="D2433" s="25" t="inlineStr">
        <is>
          <t>Payout</t>
        </is>
      </c>
      <c r="E2433" s="19" t="inlineStr">
        <is>
          <t>FTMO Futures</t>
        </is>
      </c>
      <c r="F2433" s="19" t="inlineStr">
        <is>
          <t>#214 1 Step 150k</t>
        </is>
      </c>
      <c r="G2433" s="22" t="n">
        <v>150000</v>
      </c>
      <c r="H2433" s="22" t="n">
        <v>13500</v>
      </c>
      <c r="I2433" s="22" t="n">
        <v>20505063.15</v>
      </c>
      <c r="J2433" s="19" t="inlineStr">
        <is>
          <t>10 % × 150,000 × split 90%</t>
        </is>
      </c>
    </row>
    <row r="2434">
      <c r="A2434" s="13" t="n">
        <v>2433</v>
      </c>
      <c r="B2434" s="14" t="n">
        <v>46632</v>
      </c>
      <c r="C2434" s="15" t="n">
        <v>12</v>
      </c>
      <c r="D2434" s="25" t="inlineStr">
        <is>
          <t>Payout</t>
        </is>
      </c>
      <c r="E2434" s="13" t="inlineStr">
        <is>
          <t>FTMO Futures</t>
        </is>
      </c>
      <c r="F2434" s="13" t="inlineStr">
        <is>
          <t>#215 1 Step 150k</t>
        </is>
      </c>
      <c r="G2434" s="17" t="n">
        <v>150000</v>
      </c>
      <c r="H2434" s="17" t="n">
        <v>13500</v>
      </c>
      <c r="I2434" s="17" t="n">
        <v>20518563.15</v>
      </c>
      <c r="J2434" s="13" t="inlineStr">
        <is>
          <t>10 % × 150,000 × split 90%</t>
        </is>
      </c>
    </row>
    <row r="2435">
      <c r="A2435" s="19" t="n">
        <v>2434</v>
      </c>
      <c r="B2435" s="20" t="n">
        <v>46632</v>
      </c>
      <c r="C2435" s="21" t="n">
        <v>12</v>
      </c>
      <c r="D2435" s="25" t="inlineStr">
        <is>
          <t>Payout</t>
        </is>
      </c>
      <c r="E2435" s="19" t="inlineStr">
        <is>
          <t>Halcyon Trader Funding</t>
        </is>
      </c>
      <c r="F2435" s="19" t="inlineStr">
        <is>
          <t>#216 1 Step 150k</t>
        </is>
      </c>
      <c r="G2435" s="22" t="n">
        <v>150000</v>
      </c>
      <c r="H2435" s="22" t="n">
        <v>13500</v>
      </c>
      <c r="I2435" s="22" t="n">
        <v>20532063.15</v>
      </c>
      <c r="J2435" s="19" t="inlineStr">
        <is>
          <t>10 % × 150,000 × split 90%</t>
        </is>
      </c>
    </row>
    <row r="2436">
      <c r="A2436" s="13" t="n">
        <v>2435</v>
      </c>
      <c r="B2436" s="14" t="n">
        <v>46632</v>
      </c>
      <c r="C2436" s="15" t="n">
        <v>12</v>
      </c>
      <c r="D2436" s="25" t="inlineStr">
        <is>
          <t>Payout</t>
        </is>
      </c>
      <c r="E2436" s="13" t="inlineStr">
        <is>
          <t>Halcyon Trader Funding</t>
        </is>
      </c>
      <c r="F2436" s="13" t="inlineStr">
        <is>
          <t>#217 1 Step 150k</t>
        </is>
      </c>
      <c r="G2436" s="17" t="n">
        <v>150000</v>
      </c>
      <c r="H2436" s="17" t="n">
        <v>13500</v>
      </c>
      <c r="I2436" s="17" t="n">
        <v>20545563.15</v>
      </c>
      <c r="J2436" s="13" t="inlineStr">
        <is>
          <t>10 % × 150,000 × split 90%</t>
        </is>
      </c>
    </row>
    <row r="2437">
      <c r="A2437" s="19" t="n">
        <v>2436</v>
      </c>
      <c r="B2437" s="20" t="n">
        <v>46632</v>
      </c>
      <c r="C2437" s="21" t="n">
        <v>12</v>
      </c>
      <c r="D2437" s="25" t="inlineStr">
        <is>
          <t>Payout</t>
        </is>
      </c>
      <c r="E2437" s="19" t="inlineStr">
        <is>
          <t>Halcyon Trader Funding</t>
        </is>
      </c>
      <c r="F2437" s="19" t="inlineStr">
        <is>
          <t>#218 1 Step 150k</t>
        </is>
      </c>
      <c r="G2437" s="22" t="n">
        <v>150000</v>
      </c>
      <c r="H2437" s="22" t="n">
        <v>13500</v>
      </c>
      <c r="I2437" s="22" t="n">
        <v>20559063.15</v>
      </c>
      <c r="J2437" s="19" t="inlineStr">
        <is>
          <t>10 % × 150,000 × split 90%</t>
        </is>
      </c>
    </row>
    <row r="2438">
      <c r="A2438" s="13" t="n">
        <v>2437</v>
      </c>
      <c r="B2438" s="14" t="n">
        <v>46632</v>
      </c>
      <c r="C2438" s="15" t="n">
        <v>12</v>
      </c>
      <c r="D2438" s="25" t="inlineStr">
        <is>
          <t>Payout</t>
        </is>
      </c>
      <c r="E2438" s="13" t="inlineStr">
        <is>
          <t>Astrofund</t>
        </is>
      </c>
      <c r="F2438" s="13" t="inlineStr">
        <is>
          <t>#219 1 Step 100k</t>
        </is>
      </c>
      <c r="G2438" s="17" t="n">
        <v>100000</v>
      </c>
      <c r="H2438" s="17" t="n">
        <v>9000</v>
      </c>
      <c r="I2438" s="17" t="n">
        <v>20568063.15</v>
      </c>
      <c r="J2438" s="13" t="inlineStr">
        <is>
          <t>10 % × 100,000 × split 90%</t>
        </is>
      </c>
    </row>
    <row r="2439">
      <c r="A2439" s="19" t="n">
        <v>2438</v>
      </c>
      <c r="B2439" s="20" t="n">
        <v>46632</v>
      </c>
      <c r="C2439" s="21" t="n">
        <v>12</v>
      </c>
      <c r="D2439" s="25" t="inlineStr">
        <is>
          <t>Payout</t>
        </is>
      </c>
      <c r="E2439" s="19" t="inlineStr">
        <is>
          <t>Astrofund</t>
        </is>
      </c>
      <c r="F2439" s="19" t="inlineStr">
        <is>
          <t>#220 1 Step 100k</t>
        </is>
      </c>
      <c r="G2439" s="22" t="n">
        <v>100000</v>
      </c>
      <c r="H2439" s="22" t="n">
        <v>9000</v>
      </c>
      <c r="I2439" s="22" t="n">
        <v>20577063.15</v>
      </c>
      <c r="J2439" s="19" t="inlineStr">
        <is>
          <t>10 % × 100,000 × split 90%</t>
        </is>
      </c>
    </row>
    <row r="2440">
      <c r="A2440" s="13" t="n">
        <v>2439</v>
      </c>
      <c r="B2440" s="14" t="n">
        <v>46632</v>
      </c>
      <c r="C2440" s="15" t="n">
        <v>12</v>
      </c>
      <c r="D2440" s="25" t="inlineStr">
        <is>
          <t>Payout</t>
        </is>
      </c>
      <c r="E2440" s="13" t="inlineStr">
        <is>
          <t>Astrofund</t>
        </is>
      </c>
      <c r="F2440" s="13" t="inlineStr">
        <is>
          <t>#221 1 Step 100k</t>
        </is>
      </c>
      <c r="G2440" s="17" t="n">
        <v>100000</v>
      </c>
      <c r="H2440" s="17" t="n">
        <v>9000</v>
      </c>
      <c r="I2440" s="17" t="n">
        <v>20586063.15</v>
      </c>
      <c r="J2440" s="13" t="inlineStr">
        <is>
          <t>10 % × 100,000 × split 90%</t>
        </is>
      </c>
    </row>
    <row r="2441">
      <c r="A2441" s="19" t="n">
        <v>2440</v>
      </c>
      <c r="B2441" s="20" t="n">
        <v>46632</v>
      </c>
      <c r="C2441" s="21" t="n">
        <v>12</v>
      </c>
      <c r="D2441" s="25" t="inlineStr">
        <is>
          <t>Payout</t>
        </is>
      </c>
      <c r="E2441" s="19" t="inlineStr">
        <is>
          <t>Astrofund</t>
        </is>
      </c>
      <c r="F2441" s="19" t="inlineStr">
        <is>
          <t>#222 1 Step 100k</t>
        </is>
      </c>
      <c r="G2441" s="22" t="n">
        <v>100000</v>
      </c>
      <c r="H2441" s="22" t="n">
        <v>9000</v>
      </c>
      <c r="I2441" s="22" t="n">
        <v>20595063.15</v>
      </c>
      <c r="J2441" s="19" t="inlineStr">
        <is>
          <t>10 % × 100,000 × split 90%</t>
        </is>
      </c>
    </row>
    <row r="2442">
      <c r="A2442" s="13" t="n">
        <v>2441</v>
      </c>
      <c r="B2442" s="14" t="n">
        <v>46632</v>
      </c>
      <c r="C2442" s="15" t="n">
        <v>12</v>
      </c>
      <c r="D2442" s="25" t="inlineStr">
        <is>
          <t>Payout</t>
        </is>
      </c>
      <c r="E2442" s="13" t="inlineStr">
        <is>
          <t>BrightFunded</t>
        </is>
      </c>
      <c r="F2442" s="13" t="inlineStr">
        <is>
          <t>#223 1 Step 200k</t>
        </is>
      </c>
      <c r="G2442" s="17" t="n">
        <v>200000</v>
      </c>
      <c r="H2442" s="17" t="n">
        <v>20000</v>
      </c>
      <c r="I2442" s="17" t="n">
        <v>20615063.15</v>
      </c>
      <c r="J2442" s="13" t="inlineStr">
        <is>
          <t>10 % × 200,000 × split 100%</t>
        </is>
      </c>
    </row>
    <row r="2443">
      <c r="A2443" s="19" t="n">
        <v>2442</v>
      </c>
      <c r="B2443" s="20" t="n">
        <v>46632</v>
      </c>
      <c r="C2443" s="21" t="n">
        <v>12</v>
      </c>
      <c r="D2443" s="25" t="inlineStr">
        <is>
          <t>Payout</t>
        </is>
      </c>
      <c r="E2443" s="19" t="inlineStr">
        <is>
          <t>BrightFunded</t>
        </is>
      </c>
      <c r="F2443" s="19" t="inlineStr">
        <is>
          <t>#224 1 Step 200k</t>
        </is>
      </c>
      <c r="G2443" s="22" t="n">
        <v>200000</v>
      </c>
      <c r="H2443" s="22" t="n">
        <v>20000</v>
      </c>
      <c r="I2443" s="22" t="n">
        <v>20635063.15</v>
      </c>
      <c r="J2443" s="19" t="inlineStr">
        <is>
          <t>10 % × 200,000 × split 100%</t>
        </is>
      </c>
    </row>
    <row r="2444">
      <c r="A2444" s="13" t="n">
        <v>2443</v>
      </c>
      <c r="B2444" s="14" t="n">
        <v>46632</v>
      </c>
      <c r="C2444" s="15" t="n">
        <v>12</v>
      </c>
      <c r="D2444" s="25" t="inlineStr">
        <is>
          <t>Payout</t>
        </is>
      </c>
      <c r="E2444" s="13" t="inlineStr">
        <is>
          <t>FTMO</t>
        </is>
      </c>
      <c r="F2444" s="13" t="inlineStr">
        <is>
          <t>#227 1 Step 200k</t>
        </is>
      </c>
      <c r="G2444" s="17" t="n">
        <v>200000</v>
      </c>
      <c r="H2444" s="17" t="n">
        <v>16000</v>
      </c>
      <c r="I2444" s="17" t="n">
        <v>20651063.15</v>
      </c>
      <c r="J2444" s="13" t="inlineStr">
        <is>
          <t>10 % × 200,000 × split 80%</t>
        </is>
      </c>
    </row>
    <row r="2445">
      <c r="A2445" s="19" t="n">
        <v>2444</v>
      </c>
      <c r="B2445" s="20" t="n">
        <v>46632</v>
      </c>
      <c r="C2445" s="21" t="n">
        <v>12</v>
      </c>
      <c r="D2445" s="25" t="inlineStr">
        <is>
          <t>Payout</t>
        </is>
      </c>
      <c r="E2445" s="19" t="inlineStr">
        <is>
          <t>FTMO</t>
        </is>
      </c>
      <c r="F2445" s="19" t="inlineStr">
        <is>
          <t>#228 1 Step 200k</t>
        </is>
      </c>
      <c r="G2445" s="22" t="n">
        <v>200000</v>
      </c>
      <c r="H2445" s="22" t="n">
        <v>16000</v>
      </c>
      <c r="I2445" s="22" t="n">
        <v>20667063.15</v>
      </c>
      <c r="J2445" s="19" t="inlineStr">
        <is>
          <t>10 % × 200,000 × split 80%</t>
        </is>
      </c>
    </row>
    <row r="2446">
      <c r="A2446" s="13" t="n">
        <v>2445</v>
      </c>
      <c r="B2446" s="14" t="n">
        <v>46632</v>
      </c>
      <c r="C2446" s="15" t="n">
        <v>12</v>
      </c>
      <c r="D2446" s="25" t="inlineStr">
        <is>
          <t>Payout</t>
        </is>
      </c>
      <c r="E2446" s="13" t="inlineStr">
        <is>
          <t>Funded X</t>
        </is>
      </c>
      <c r="F2446" s="13" t="inlineStr">
        <is>
          <t>#229 1 Step 200k</t>
        </is>
      </c>
      <c r="G2446" s="17" t="n">
        <v>200000</v>
      </c>
      <c r="H2446" s="17" t="n">
        <v>20000</v>
      </c>
      <c r="I2446" s="17" t="n">
        <v>20687063.15</v>
      </c>
      <c r="J2446" s="13" t="inlineStr">
        <is>
          <t>10 % × 200,000 × split 100%</t>
        </is>
      </c>
    </row>
    <row r="2447">
      <c r="A2447" s="19" t="n">
        <v>2446</v>
      </c>
      <c r="B2447" s="20" t="n">
        <v>46632</v>
      </c>
      <c r="C2447" s="21" t="n">
        <v>12</v>
      </c>
      <c r="D2447" s="25" t="inlineStr">
        <is>
          <t>Payout</t>
        </is>
      </c>
      <c r="E2447" s="19" t="inlineStr">
        <is>
          <t>Funded X</t>
        </is>
      </c>
      <c r="F2447" s="19" t="inlineStr">
        <is>
          <t>#230 1 Step 200k</t>
        </is>
      </c>
      <c r="G2447" s="22" t="n">
        <v>200000</v>
      </c>
      <c r="H2447" s="22" t="n">
        <v>20000</v>
      </c>
      <c r="I2447" s="22" t="n">
        <v>20707063.15</v>
      </c>
      <c r="J2447" s="19" t="inlineStr">
        <is>
          <t>10 % × 200,000 × split 100%</t>
        </is>
      </c>
    </row>
    <row r="2448">
      <c r="A2448" s="13" t="n">
        <v>2447</v>
      </c>
      <c r="B2448" s="14" t="n">
        <v>46632</v>
      </c>
      <c r="C2448" s="15" t="n">
        <v>12</v>
      </c>
      <c r="D2448" s="25" t="inlineStr">
        <is>
          <t>Payout</t>
        </is>
      </c>
      <c r="E2448" s="13" t="inlineStr">
        <is>
          <t>Hantec Trader</t>
        </is>
      </c>
      <c r="F2448" s="13" t="inlineStr">
        <is>
          <t>#231 3 Step 200k</t>
        </is>
      </c>
      <c r="G2448" s="17" t="n">
        <v>200000</v>
      </c>
      <c r="H2448" s="17" t="n">
        <v>19000</v>
      </c>
      <c r="I2448" s="17" t="n">
        <v>20726063.15</v>
      </c>
      <c r="J2448" s="13" t="inlineStr">
        <is>
          <t>10 % × 200,000 × split 95%</t>
        </is>
      </c>
    </row>
    <row r="2449">
      <c r="A2449" s="19" t="n">
        <v>2448</v>
      </c>
      <c r="B2449" s="20" t="n">
        <v>46632</v>
      </c>
      <c r="C2449" s="21" t="n">
        <v>12</v>
      </c>
      <c r="D2449" s="25" t="inlineStr">
        <is>
          <t>Payout</t>
        </is>
      </c>
      <c r="E2449" s="19" t="inlineStr">
        <is>
          <t>LifeUp Trading</t>
        </is>
      </c>
      <c r="F2449" s="19" t="inlineStr">
        <is>
          <t>#232 1 Step 150k</t>
        </is>
      </c>
      <c r="G2449" s="22" t="n">
        <v>150000</v>
      </c>
      <c r="H2449" s="22" t="n">
        <v>12000</v>
      </c>
      <c r="I2449" s="22" t="n">
        <v>20738063.15</v>
      </c>
      <c r="J2449" s="19" t="inlineStr">
        <is>
          <t>10 % × 150,000 × split 80%</t>
        </is>
      </c>
    </row>
    <row r="2450">
      <c r="A2450" s="13" t="n">
        <v>2449</v>
      </c>
      <c r="B2450" s="14" t="n">
        <v>46632</v>
      </c>
      <c r="C2450" s="15" t="n">
        <v>12</v>
      </c>
      <c r="D2450" s="25" t="inlineStr">
        <is>
          <t>Payout</t>
        </is>
      </c>
      <c r="E2450" s="13" t="inlineStr">
        <is>
          <t>LifeUp Trading</t>
        </is>
      </c>
      <c r="F2450" s="13" t="inlineStr">
        <is>
          <t>#233 1 Step 150k</t>
        </is>
      </c>
      <c r="G2450" s="17" t="n">
        <v>150000</v>
      </c>
      <c r="H2450" s="17" t="n">
        <v>12000</v>
      </c>
      <c r="I2450" s="17" t="n">
        <v>20750063.15</v>
      </c>
      <c r="J2450" s="13" t="inlineStr">
        <is>
          <t>10 % × 150,000 × split 80%</t>
        </is>
      </c>
    </row>
    <row r="2451">
      <c r="A2451" s="19" t="n">
        <v>2450</v>
      </c>
      <c r="B2451" s="20" t="n">
        <v>46632</v>
      </c>
      <c r="C2451" s="21" t="n">
        <v>12</v>
      </c>
      <c r="D2451" s="25" t="inlineStr">
        <is>
          <t>Payout</t>
        </is>
      </c>
      <c r="E2451" s="19" t="inlineStr">
        <is>
          <t>LifeUp Trading</t>
        </is>
      </c>
      <c r="F2451" s="19" t="inlineStr">
        <is>
          <t>#234 1 Step 150k</t>
        </is>
      </c>
      <c r="G2451" s="22" t="n">
        <v>150000</v>
      </c>
      <c r="H2451" s="22" t="n">
        <v>12000</v>
      </c>
      <c r="I2451" s="22" t="n">
        <v>20762063.15</v>
      </c>
      <c r="J2451" s="19" t="inlineStr">
        <is>
          <t>10 % × 150,000 × split 80%</t>
        </is>
      </c>
    </row>
    <row r="2452">
      <c r="A2452" s="13" t="n">
        <v>2451</v>
      </c>
      <c r="B2452" s="14" t="n">
        <v>46632</v>
      </c>
      <c r="C2452" s="15" t="n">
        <v>12</v>
      </c>
      <c r="D2452" s="25" t="inlineStr">
        <is>
          <t>Payout</t>
        </is>
      </c>
      <c r="E2452" s="13" t="inlineStr">
        <is>
          <t>LifeUp Trading</t>
        </is>
      </c>
      <c r="F2452" s="13" t="inlineStr">
        <is>
          <t>#235 1 Step 150k</t>
        </is>
      </c>
      <c r="G2452" s="17" t="n">
        <v>150000</v>
      </c>
      <c r="H2452" s="17" t="n">
        <v>12000</v>
      </c>
      <c r="I2452" s="17" t="n">
        <v>20774063.15</v>
      </c>
      <c r="J2452" s="13" t="inlineStr">
        <is>
          <t>10 % × 150,000 × split 80%</t>
        </is>
      </c>
    </row>
    <row r="2453">
      <c r="A2453" s="19" t="n">
        <v>2452</v>
      </c>
      <c r="B2453" s="20" t="n">
        <v>46632</v>
      </c>
      <c r="C2453" s="21" t="n">
        <v>12</v>
      </c>
      <c r="D2453" s="25" t="inlineStr">
        <is>
          <t>Payout</t>
        </is>
      </c>
      <c r="E2453" s="19" t="inlineStr">
        <is>
          <t>Get Funded Now</t>
        </is>
      </c>
      <c r="F2453" s="19" t="inlineStr">
        <is>
          <t>#239 1 Step 200k</t>
        </is>
      </c>
      <c r="G2453" s="22" t="n">
        <v>200000</v>
      </c>
      <c r="H2453" s="22" t="n">
        <v>16000</v>
      </c>
      <c r="I2453" s="22" t="n">
        <v>20790063.15</v>
      </c>
      <c r="J2453" s="19" t="inlineStr">
        <is>
          <t>10 % × 200,000 × split 80%</t>
        </is>
      </c>
    </row>
    <row r="2454">
      <c r="A2454" s="13" t="n">
        <v>2453</v>
      </c>
      <c r="B2454" s="14" t="n">
        <v>46632</v>
      </c>
      <c r="C2454" s="15" t="n">
        <v>12</v>
      </c>
      <c r="D2454" s="25" t="inlineStr">
        <is>
          <t>Payout</t>
        </is>
      </c>
      <c r="E2454" s="13" t="inlineStr">
        <is>
          <t>Get Funded Now</t>
        </is>
      </c>
      <c r="F2454" s="13" t="inlineStr">
        <is>
          <t>#240 1 Step 200k</t>
        </is>
      </c>
      <c r="G2454" s="17" t="n">
        <v>200000</v>
      </c>
      <c r="H2454" s="17" t="n">
        <v>16000</v>
      </c>
      <c r="I2454" s="17" t="n">
        <v>20806063.15</v>
      </c>
      <c r="J2454" s="13" t="inlineStr">
        <is>
          <t>10 % × 200,000 × split 80%</t>
        </is>
      </c>
    </row>
    <row r="2455">
      <c r="A2455" s="19" t="n">
        <v>2454</v>
      </c>
      <c r="B2455" s="20" t="n">
        <v>46632</v>
      </c>
      <c r="C2455" s="21" t="n">
        <v>12</v>
      </c>
      <c r="D2455" s="25" t="inlineStr">
        <is>
          <t>Payout</t>
        </is>
      </c>
      <c r="E2455" s="19" t="inlineStr">
        <is>
          <t>FOREXIVE</t>
        </is>
      </c>
      <c r="F2455" s="19" t="inlineStr">
        <is>
          <t>#246 2 Step 200k</t>
        </is>
      </c>
      <c r="G2455" s="22" t="n">
        <v>200000</v>
      </c>
      <c r="H2455" s="22" t="n">
        <v>16000</v>
      </c>
      <c r="I2455" s="22" t="n">
        <v>20822063.15</v>
      </c>
      <c r="J2455" s="19" t="inlineStr">
        <is>
          <t>10 % × 200,000 × split 80%</t>
        </is>
      </c>
    </row>
    <row r="2456">
      <c r="A2456" s="13" t="n">
        <v>2455</v>
      </c>
      <c r="B2456" s="14" t="n">
        <v>46632</v>
      </c>
      <c r="C2456" s="15" t="n">
        <v>12</v>
      </c>
      <c r="D2456" s="25" t="inlineStr">
        <is>
          <t>Payout</t>
        </is>
      </c>
      <c r="E2456" s="13" t="inlineStr">
        <is>
          <t>Breakout</t>
        </is>
      </c>
      <c r="F2456" s="13" t="inlineStr">
        <is>
          <t>#249 1 Step 200k</t>
        </is>
      </c>
      <c r="G2456" s="17" t="n">
        <v>200000</v>
      </c>
      <c r="H2456" s="17" t="n">
        <v>16000</v>
      </c>
      <c r="I2456" s="17" t="n">
        <v>20838063.15</v>
      </c>
      <c r="J2456" s="13" t="inlineStr">
        <is>
          <t>10 % × 200,000 × split 80%</t>
        </is>
      </c>
    </row>
    <row r="2457">
      <c r="A2457" s="19" t="n">
        <v>2456</v>
      </c>
      <c r="B2457" s="20" t="n">
        <v>46632</v>
      </c>
      <c r="C2457" s="21" t="n">
        <v>12</v>
      </c>
      <c r="D2457" s="25" t="inlineStr">
        <is>
          <t>Payout</t>
        </is>
      </c>
      <c r="E2457" s="19" t="inlineStr">
        <is>
          <t>HyroTrader</t>
        </is>
      </c>
      <c r="F2457" s="19" t="inlineStr">
        <is>
          <t>#254 1 Step 200k</t>
        </is>
      </c>
      <c r="G2457" s="22" t="n">
        <v>200000</v>
      </c>
      <c r="H2457" s="22" t="n">
        <v>16000</v>
      </c>
      <c r="I2457" s="22" t="n">
        <v>20854063.15</v>
      </c>
      <c r="J2457" s="19" t="inlineStr">
        <is>
          <t>10 % × 200,000 × split 80%</t>
        </is>
      </c>
    </row>
    <row r="2458">
      <c r="A2458" s="13" t="n">
        <v>2457</v>
      </c>
      <c r="B2458" s="14" t="n">
        <v>46632</v>
      </c>
      <c r="C2458" s="15" t="n">
        <v>12</v>
      </c>
      <c r="D2458" s="25" t="inlineStr">
        <is>
          <t>Payout</t>
        </is>
      </c>
      <c r="E2458" s="13" t="inlineStr">
        <is>
          <t>Tradersyard</t>
        </is>
      </c>
      <c r="F2458" s="13" t="inlineStr">
        <is>
          <t>#256 1 Step 150k</t>
        </is>
      </c>
      <c r="G2458" s="17" t="n">
        <v>150000</v>
      </c>
      <c r="H2458" s="17" t="n">
        <v>15000</v>
      </c>
      <c r="I2458" s="17" t="n">
        <v>20869063.15</v>
      </c>
      <c r="J2458" s="13" t="inlineStr">
        <is>
          <t>10 % × 150,000 × split 100%</t>
        </is>
      </c>
    </row>
    <row r="2459">
      <c r="A2459" s="19" t="n">
        <v>2458</v>
      </c>
      <c r="B2459" s="20" t="n">
        <v>46632</v>
      </c>
      <c r="C2459" s="21" t="n">
        <v>12</v>
      </c>
      <c r="D2459" s="25" t="inlineStr">
        <is>
          <t>Payout</t>
        </is>
      </c>
      <c r="E2459" s="19" t="inlineStr">
        <is>
          <t>Get Crypto Funded</t>
        </is>
      </c>
      <c r="F2459" s="19" t="inlineStr">
        <is>
          <t>#237 3 Step 200k</t>
        </is>
      </c>
      <c r="G2459" s="22" t="n">
        <v>200000</v>
      </c>
      <c r="H2459" s="22" t="n">
        <v>16000</v>
      </c>
      <c r="I2459" s="22" t="n">
        <v>20885063.15</v>
      </c>
      <c r="J2459" s="19" t="inlineStr">
        <is>
          <t>10 % × 200,000 × split 80%</t>
        </is>
      </c>
    </row>
    <row r="2460">
      <c r="A2460" s="13" t="n">
        <v>2459</v>
      </c>
      <c r="B2460" s="14" t="n">
        <v>46632</v>
      </c>
      <c r="C2460" s="15" t="n">
        <v>12</v>
      </c>
      <c r="D2460" s="25" t="inlineStr">
        <is>
          <t>Payout</t>
        </is>
      </c>
      <c r="E2460" s="13" t="inlineStr">
        <is>
          <t>Get Crypto Funded</t>
        </is>
      </c>
      <c r="F2460" s="13" t="inlineStr">
        <is>
          <t>#238 3 Step 200k</t>
        </is>
      </c>
      <c r="G2460" s="17" t="n">
        <v>200000</v>
      </c>
      <c r="H2460" s="17" t="n">
        <v>16000</v>
      </c>
      <c r="I2460" s="17" t="n">
        <v>20901063.15</v>
      </c>
      <c r="J2460" s="13" t="inlineStr">
        <is>
          <t>10 % × 200,000 × split 80%</t>
        </is>
      </c>
    </row>
    <row r="2461">
      <c r="A2461" s="19" t="n">
        <v>2460</v>
      </c>
      <c r="B2461" s="20" t="n">
        <v>46632</v>
      </c>
      <c r="C2461" s="21" t="n">
        <v>12</v>
      </c>
      <c r="D2461" s="25" t="inlineStr">
        <is>
          <t>Payout</t>
        </is>
      </c>
      <c r="E2461" s="19" t="inlineStr">
        <is>
          <t>Hantec Trader</t>
        </is>
      </c>
      <c r="F2461" s="19" t="inlineStr">
        <is>
          <t>#241 3 Step 200k</t>
        </is>
      </c>
      <c r="G2461" s="22" t="n">
        <v>200000</v>
      </c>
      <c r="H2461" s="22" t="n">
        <v>19000</v>
      </c>
      <c r="I2461" s="22" t="n">
        <v>20920063.15</v>
      </c>
      <c r="J2461" s="19" t="inlineStr">
        <is>
          <t>10 % × 200,000 × split 95%</t>
        </is>
      </c>
    </row>
    <row r="2462">
      <c r="A2462" s="13" t="n">
        <v>2461</v>
      </c>
      <c r="B2462" s="14" t="n">
        <v>46632</v>
      </c>
      <c r="C2462" s="15" t="n">
        <v>12</v>
      </c>
      <c r="D2462" s="25" t="inlineStr">
        <is>
          <t>Payout</t>
        </is>
      </c>
      <c r="E2462" s="13" t="inlineStr">
        <is>
          <t>LifeUp Trading</t>
        </is>
      </c>
      <c r="F2462" s="13" t="inlineStr">
        <is>
          <t>#257 1 Step 150k</t>
        </is>
      </c>
      <c r="G2462" s="17" t="n">
        <v>150000</v>
      </c>
      <c r="H2462" s="17" t="n">
        <v>12000</v>
      </c>
      <c r="I2462" s="17" t="n">
        <v>20932063.15</v>
      </c>
      <c r="J2462" s="13" t="inlineStr">
        <is>
          <t>10 % × 150,000 × split 80%</t>
        </is>
      </c>
    </row>
  </sheetData>
  <autoFilter ref="A1:J246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8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28" customWidth="1" min="3" max="3"/>
    <col width="12" customWidth="1" min="4" max="4"/>
    <col width="14" customWidth="1" min="5" max="5"/>
    <col width="12" customWidth="1" min="6" max="6"/>
    <col width="12" customWidth="1" min="7" max="7"/>
    <col width="8" customWidth="1" min="8" max="8"/>
    <col width="14" customWidth="1" min="9" max="9"/>
    <col width="14" customWidth="1" min="10" max="10"/>
    <col width="10" customWidth="1" min="11" max="11"/>
    <col width="22" customWidth="1" min="12" max="12"/>
    <col width="8" customWidth="1" min="13" max="13"/>
    <col width="26" customWidth="1" min="14" max="14"/>
    <col width="10" customWidth="1" min="15" max="15"/>
    <col width="12" customWidth="1" min="16" max="16"/>
    <col width="12" customWidth="1" min="17" max="17"/>
    <col width="12" customWidth="1" min="18" max="18"/>
    <col width="70" customWidth="1" min="19" max="19"/>
  </cols>
  <sheetData>
    <row r="1" ht="40" customHeight="1">
      <c r="A1" s="12" t="inlineStr">
        <is>
          <t>Rang</t>
        </is>
      </c>
      <c r="B1" s="12" t="inlineStr">
        <is>
          <t>Groupe</t>
        </is>
      </c>
      <c r="C1" s="12" t="inlineStr">
        <is>
          <t>Prop firm</t>
        </is>
      </c>
      <c r="D1" s="12" t="inlineStr">
        <is>
          <t>Marché</t>
        </is>
      </c>
      <c r="E1" s="12" t="inlineStr">
        <is>
          <t>Type de compte</t>
        </is>
      </c>
      <c r="F1" s="12" t="inlineStr">
        <is>
          <t>Taille ($)</t>
        </is>
      </c>
      <c r="G1" s="12" t="inlineStr">
        <is>
          <t>Prix unitaire ($)</t>
        </is>
      </c>
      <c r="H1" s="12" t="inlineStr">
        <is>
          <t>Nb de comptes</t>
        </is>
      </c>
      <c r="I1" s="12" t="inlineStr">
        <is>
          <t>Capital cible ($)</t>
        </is>
      </c>
      <c r="J1" s="12" t="inlineStr">
        <is>
          <t>Coût total ($)</t>
        </is>
      </c>
      <c r="K1" s="12" t="inlineStr">
        <is>
          <t>Capital par $ de frais</t>
        </is>
      </c>
      <c r="L1" s="12" t="inlineStr">
        <is>
          <t>Même stratégie</t>
        </is>
      </c>
      <c r="M1" s="12" t="inlineStr">
        <is>
          <t>Profit split</t>
        </is>
      </c>
      <c r="N1" s="12" t="inlineStr">
        <is>
          <t>Objectif(s) de profit</t>
        </is>
      </c>
      <c r="O1" s="12" t="inlineStr">
        <is>
          <t>Durée d'évaluation (mois)</t>
        </is>
      </c>
      <c r="P1" s="12" t="inlineStr">
        <is>
          <t>Date du 1er achat</t>
        </is>
      </c>
      <c r="Q1" s="12" t="inlineStr">
        <is>
          <t>Date du dernier achat</t>
        </is>
      </c>
      <c r="R1" s="12" t="inlineStr">
        <is>
          <t>Date du 1er payout</t>
        </is>
      </c>
      <c r="S1" s="12" t="inlineStr">
        <is>
          <t>Prix : détail et source</t>
        </is>
      </c>
    </row>
    <row r="2">
      <c r="A2" s="13" t="n">
        <v>1</v>
      </c>
      <c r="B2" s="13" t="inlineStr">
        <is>
          <t>A – Instant/Direct CFD</t>
        </is>
      </c>
      <c r="C2" s="13" t="inlineStr">
        <is>
          <t>Moneta Funded</t>
        </is>
      </c>
      <c r="D2" s="13" t="inlineStr">
        <is>
          <t>CFD</t>
        </is>
      </c>
      <c r="E2" s="13" t="inlineStr">
        <is>
          <t>Instant-Direct</t>
        </is>
      </c>
      <c r="F2" s="17" t="n">
        <v>100000</v>
      </c>
      <c r="G2" s="17" t="n">
        <v>780</v>
      </c>
      <c r="H2" s="13" t="n">
        <v>23</v>
      </c>
      <c r="I2" s="17" t="n">
        <v>2300000</v>
      </c>
      <c r="J2" s="17" t="n">
        <v>17940</v>
      </c>
      <c r="K2" s="13" t="n">
        <v>128</v>
      </c>
      <c r="L2" s="13" t="inlineStr">
        <is>
          <t>OUI</t>
        </is>
      </c>
      <c r="M2" s="27" t="n">
        <v>0.8</v>
      </c>
      <c r="N2" s="13" t="inlineStr">
        <is>
          <t>aucun (instant)</t>
        </is>
      </c>
      <c r="O2" s="13" t="n">
        <v>0</v>
      </c>
      <c r="P2" s="14" t="n">
        <v>46324</v>
      </c>
      <c r="Q2" s="14" t="n">
        <v>46380</v>
      </c>
      <c r="R2" s="14" t="n">
        <v>46352</v>
      </c>
      <c r="S2" s="13" t="inlineStr">
        <is>
          <t>instant:780 (100k);one_step:780 (100k);two_step:780 (100k);phoenix:1150 (20k);sprint:300 (100k) [TTP]</t>
        </is>
      </c>
    </row>
    <row r="3">
      <c r="A3" s="19" t="n">
        <v>2</v>
      </c>
      <c r="B3" s="19" t="inlineStr">
        <is>
          <t>A – Instant/Direct CFD</t>
        </is>
      </c>
      <c r="C3" s="19" t="inlineStr">
        <is>
          <t>IQ Capital</t>
        </is>
      </c>
      <c r="D3" s="19" t="inlineStr">
        <is>
          <t>CFD + Futures</t>
        </is>
      </c>
      <c r="E3" s="19" t="inlineStr">
        <is>
          <t>Instant-Direct</t>
        </is>
      </c>
      <c r="F3" s="22" t="n">
        <v>100000</v>
      </c>
      <c r="G3" s="22" t="n">
        <v>3495</v>
      </c>
      <c r="H3" s="19" t="n">
        <v>20</v>
      </c>
      <c r="I3" s="22" t="n">
        <v>2000000</v>
      </c>
      <c r="J3" s="22" t="n">
        <v>69900</v>
      </c>
      <c r="K3" s="19" t="n">
        <v>29</v>
      </c>
      <c r="L3" s="19" t="inlineStr">
        <is>
          <t>OUI</t>
        </is>
      </c>
      <c r="M3" s="28" t="n">
        <v>0.8</v>
      </c>
      <c r="N3" s="19" t="inlineStr">
        <is>
          <t>aucun (instant)</t>
        </is>
      </c>
      <c r="O3" s="19" t="n">
        <v>0</v>
      </c>
      <c r="P3" s="20" t="n">
        <v>46380</v>
      </c>
      <c r="Q3" s="20" t="n">
        <v>46380</v>
      </c>
      <c r="R3" s="20" t="n">
        <v>46408</v>
      </c>
      <c r="S3" s="19" t="inlineStr">
        <is>
          <t>core:999 (200k list, propfirmmap; official homepage core 100k = 475);rapid:1125 (100k);instant:3495 (100k);futures:299-699 (100k) [mixed official/propfirmmap]</t>
        </is>
      </c>
    </row>
    <row r="4">
      <c r="A4" s="13" t="n">
        <v>3</v>
      </c>
      <c r="B4" s="13" t="inlineStr">
        <is>
          <t>A – Instant/Direct CFD</t>
        </is>
      </c>
      <c r="C4" s="13" t="inlineStr">
        <is>
          <t>Instant Funding</t>
        </is>
      </c>
      <c r="D4" s="13" t="inlineStr">
        <is>
          <t>CFD + Futures</t>
        </is>
      </c>
      <c r="E4" s="13" t="inlineStr">
        <is>
          <t>Instant-Direct</t>
        </is>
      </c>
      <c r="F4" s="17" t="n">
        <v>120000</v>
      </c>
      <c r="G4" s="17" t="n">
        <v>5499</v>
      </c>
      <c r="H4" s="13" t="n">
        <v>8</v>
      </c>
      <c r="I4" s="17" t="n">
        <v>960000</v>
      </c>
      <c r="J4" s="17" t="n">
        <v>43992</v>
      </c>
      <c r="K4" s="13" t="n">
        <v>22</v>
      </c>
      <c r="L4" s="13" t="inlineStr">
        <is>
          <t>OUI</t>
        </is>
      </c>
      <c r="M4" s="27" t="n">
        <v>0.8</v>
      </c>
      <c r="N4" s="13" t="inlineStr">
        <is>
          <t>aucun (instant)</t>
        </is>
      </c>
      <c r="O4" s="13" t="n">
        <v>0</v>
      </c>
      <c r="P4" s="14" t="n">
        <v>46380</v>
      </c>
      <c r="Q4" s="14" t="n">
        <v>46408</v>
      </c>
      <c r="R4" s="14" t="n">
        <v>46408</v>
      </c>
      <c r="S4" s="13" t="inlineStr">
        <is>
          <t>instant:5499 (100k; 300k unlisted);one_phase:1798 (100k; 300k unlisted);two_phase:1078 (100k; 300k unlisted);if_micro:1659 (120k);if1:939 (80k) [fundedtrading review]</t>
        </is>
      </c>
    </row>
    <row r="5">
      <c r="A5" s="19" t="n">
        <v>4</v>
      </c>
      <c r="B5" s="19" t="inlineStr">
        <is>
          <t>A – Instant/Direct CFD</t>
        </is>
      </c>
      <c r="C5" s="19" t="inlineStr">
        <is>
          <t>Kickstart Trading</t>
        </is>
      </c>
      <c r="D5" s="19" t="inlineStr">
        <is>
          <t>CFD + Futures</t>
        </is>
      </c>
      <c r="E5" s="19" t="inlineStr">
        <is>
          <t>Instant-Direct</t>
        </is>
      </c>
      <c r="F5" s="22" t="n">
        <v>100000</v>
      </c>
      <c r="G5" s="22" t="n">
        <v>5000</v>
      </c>
      <c r="H5" s="19" t="n">
        <v>10</v>
      </c>
      <c r="I5" s="22" t="n">
        <v>1000000</v>
      </c>
      <c r="J5" s="22" t="n">
        <v>50000</v>
      </c>
      <c r="K5" s="19" t="n">
        <v>20</v>
      </c>
      <c r="L5" s="19" t="inlineStr">
        <is>
          <t>OUI</t>
        </is>
      </c>
      <c r="M5" s="28" t="n">
        <v>0.8</v>
      </c>
      <c r="N5" s="19" t="inlineStr">
        <is>
          <t>aucun (instant)</t>
        </is>
      </c>
      <c r="O5" s="19" t="n">
        <v>0</v>
      </c>
      <c r="P5" s="20" t="n">
        <v>46408</v>
      </c>
      <c r="Q5" s="20" t="n">
        <v>46408</v>
      </c>
      <c r="R5" s="20" t="n">
        <v>46436</v>
      </c>
      <c r="S5" s="19" t="inlineStr">
        <is>
          <t>instant:5000 (100k);one_step_fx:9800 (1M) / 4895 (500k);two_step_fx:2760 (500k);futures_funding:1735 (150k);one_step_futures:360/month (150k);equities:1400 (200k) [official]</t>
        </is>
      </c>
    </row>
    <row r="6">
      <c r="A6" s="13" t="n">
        <v>5</v>
      </c>
      <c r="B6" s="13" t="inlineStr">
        <is>
          <t>A – Instant/Direct CFD</t>
        </is>
      </c>
      <c r="C6" s="13" t="inlineStr">
        <is>
          <t>Audacity Capital</t>
        </is>
      </c>
      <c r="D6" s="13" t="inlineStr">
        <is>
          <t>CFD</t>
        </is>
      </c>
      <c r="E6" s="13" t="inlineStr">
        <is>
          <t>Instant-Direct</t>
        </is>
      </c>
      <c r="F6" s="17" t="n">
        <v>50000</v>
      </c>
      <c r="G6" s="17" t="n">
        <v>1299</v>
      </c>
      <c r="H6" s="13" t="n">
        <v>14</v>
      </c>
      <c r="I6" s="17" t="n">
        <v>700000</v>
      </c>
      <c r="J6" s="17" t="n">
        <v>18186</v>
      </c>
      <c r="K6" s="13" t="n">
        <v>38</v>
      </c>
      <c r="L6" s="13" t="inlineStr">
        <is>
          <t>OUI</t>
        </is>
      </c>
      <c r="M6" s="27" t="n">
        <v>0.9</v>
      </c>
      <c r="N6" s="13" t="inlineStr">
        <is>
          <t>aucun (instant)</t>
        </is>
      </c>
      <c r="O6" s="13" t="n">
        <v>0</v>
      </c>
      <c r="P6" s="14" t="n">
        <v>46380</v>
      </c>
      <c r="Q6" s="14" t="n">
        <v>46408</v>
      </c>
      <c r="R6" s="14" t="n">
        <v>46408</v>
      </c>
      <c r="S6" s="13" t="inlineStr">
        <is>
          <t>two_step:1049 (200k);one_step:1049 (200k);instant:1299 (50k, TTP)</t>
        </is>
      </c>
    </row>
    <row r="7">
      <c r="A7" s="19" t="n">
        <v>6</v>
      </c>
      <c r="B7" s="19" t="inlineStr">
        <is>
          <t>A – Instant/Direct CFD</t>
        </is>
      </c>
      <c r="C7" s="19" t="inlineStr">
        <is>
          <t>Fill88</t>
        </is>
      </c>
      <c r="D7" s="19" t="inlineStr">
        <is>
          <t>CFD</t>
        </is>
      </c>
      <c r="E7" s="19" t="inlineStr">
        <is>
          <t>Instant-Direct</t>
        </is>
      </c>
      <c r="F7" s="22" t="n">
        <v>100000</v>
      </c>
      <c r="G7" s="22" t="n">
        <v>3699</v>
      </c>
      <c r="H7" s="19" t="n">
        <v>6</v>
      </c>
      <c r="I7" s="22" t="n">
        <v>600000</v>
      </c>
      <c r="J7" s="22" t="n">
        <v>22194</v>
      </c>
      <c r="K7" s="19" t="n">
        <v>27</v>
      </c>
      <c r="L7" s="19" t="inlineStr">
        <is>
          <t>OUI</t>
        </is>
      </c>
      <c r="M7" s="28" t="n">
        <v>0.8</v>
      </c>
      <c r="N7" s="19" t="inlineStr">
        <is>
          <t>aucun (instant)</t>
        </is>
      </c>
      <c r="O7" s="19" t="n">
        <v>0</v>
      </c>
      <c r="P7" s="20" t="n">
        <v>46408</v>
      </c>
      <c r="Q7" s="20" t="n">
        <v>46408</v>
      </c>
      <c r="R7" s="20" t="n">
        <v>46436</v>
      </c>
      <c r="S7" s="19" t="inlineStr">
        <is>
          <t>instant:3699 (Spark 100k);one_step:399 (Launch 200k);two_step:1079 (Ascend 200k)/999 (Summit 200k) [review site TTP; official site lists sizes only to 120k]</t>
        </is>
      </c>
    </row>
    <row r="8">
      <c r="A8" s="13" t="n">
        <v>7</v>
      </c>
      <c r="B8" s="13" t="inlineStr">
        <is>
          <t>A – Instant/Direct CFD</t>
        </is>
      </c>
      <c r="C8" s="13" t="inlineStr">
        <is>
          <t>Finotive Funding</t>
        </is>
      </c>
      <c r="D8" s="13" t="inlineStr">
        <is>
          <t>CFD</t>
        </is>
      </c>
      <c r="E8" s="13" t="inlineStr">
        <is>
          <t>Instant-Direct</t>
        </is>
      </c>
      <c r="F8" s="17" t="n">
        <v>100000</v>
      </c>
      <c r="G8" s="17" t="n">
        <v>3549</v>
      </c>
      <c r="H8" s="13" t="n">
        <v>6</v>
      </c>
      <c r="I8" s="17" t="n">
        <v>600000</v>
      </c>
      <c r="J8" s="17" t="n">
        <v>21294</v>
      </c>
      <c r="K8" s="13" t="n">
        <v>28</v>
      </c>
      <c r="L8" s="13" t="inlineStr">
        <is>
          <t>OUI</t>
        </is>
      </c>
      <c r="M8" s="27" t="n">
        <v>0.75</v>
      </c>
      <c r="N8" s="13" t="inlineStr">
        <is>
          <t>aucun (instant)</t>
        </is>
      </c>
      <c r="O8" s="13" t="n">
        <v>0</v>
      </c>
      <c r="P8" s="14" t="n">
        <v>46408</v>
      </c>
      <c r="Q8" s="14" t="n">
        <v>46408</v>
      </c>
      <c r="R8" s="14" t="n">
        <v>46436</v>
      </c>
      <c r="S8" s="13" t="inlineStr">
        <is>
          <t>instant:3549 (100k);one_step:1349 (200k);two_step:1099 (200k);pro_two_step:1600 (200k) [review site TTP]</t>
        </is>
      </c>
    </row>
    <row r="9">
      <c r="A9" s="19" t="n">
        <v>8</v>
      </c>
      <c r="B9" s="19" t="inlineStr">
        <is>
          <t>A – Instant/Direct CFD</t>
        </is>
      </c>
      <c r="C9" s="19" t="inlineStr">
        <is>
          <t>FNC Funding</t>
        </is>
      </c>
      <c r="D9" s="19" t="inlineStr">
        <is>
          <t>CFD</t>
        </is>
      </c>
      <c r="E9" s="19" t="inlineStr">
        <is>
          <t>Instant-Direct</t>
        </is>
      </c>
      <c r="F9" s="22" t="n">
        <v>100000</v>
      </c>
      <c r="G9" s="22" t="n">
        <v>5000</v>
      </c>
      <c r="H9" s="19" t="n">
        <v>5</v>
      </c>
      <c r="I9" s="22" t="n">
        <v>500000</v>
      </c>
      <c r="J9" s="22" t="n">
        <v>25000</v>
      </c>
      <c r="K9" s="19" t="n">
        <v>20</v>
      </c>
      <c r="L9" s="19" t="inlineStr">
        <is>
          <t>OUI</t>
        </is>
      </c>
      <c r="M9" s="28" t="n">
        <v>0.75</v>
      </c>
      <c r="N9" s="19" t="inlineStr">
        <is>
          <t>aucun (instant)</t>
        </is>
      </c>
      <c r="O9" s="19" t="n">
        <v>0</v>
      </c>
      <c r="P9" s="20" t="n">
        <v>46408</v>
      </c>
      <c r="Q9" s="20" t="n">
        <v>46408</v>
      </c>
      <c r="R9" s="20" t="n">
        <v>46436</v>
      </c>
      <c r="S9" s="19" t="inlineStr">
        <is>
          <t>instant:5000 (100k);one_step:850 (100k);two_step:525 (100k) [review site propfirmmap]</t>
        </is>
      </c>
    </row>
    <row r="10">
      <c r="A10" s="13" t="n">
        <v>9</v>
      </c>
      <c r="B10" s="13" t="inlineStr">
        <is>
          <t>A – Instant/Direct CFD</t>
        </is>
      </c>
      <c r="C10" s="13" t="inlineStr">
        <is>
          <t>Funding Traders</t>
        </is>
      </c>
      <c r="D10" s="13" t="inlineStr">
        <is>
          <t>CFD</t>
        </is>
      </c>
      <c r="E10" s="13" t="inlineStr">
        <is>
          <t>Instant-Direct</t>
        </is>
      </c>
      <c r="F10" s="17" t="n">
        <v>400000</v>
      </c>
      <c r="G10" s="17" t="n">
        <v>2349</v>
      </c>
      <c r="H10" s="13" t="n">
        <v>1</v>
      </c>
      <c r="I10" s="17" t="n">
        <v>400000</v>
      </c>
      <c r="J10" s="17" t="n">
        <v>2349</v>
      </c>
      <c r="K10" s="13" t="n">
        <v>170</v>
      </c>
      <c r="L10" s="13" t="inlineStr">
        <is>
          <t>OUI</t>
        </is>
      </c>
      <c r="M10" s="27" t="n">
        <v>1</v>
      </c>
      <c r="N10" s="13" t="inlineStr">
        <is>
          <t>aucun (instant)</t>
        </is>
      </c>
      <c r="O10" s="13" t="n">
        <v>0</v>
      </c>
      <c r="P10" s="14" t="n">
        <v>46408</v>
      </c>
      <c r="Q10" s="14" t="n">
        <v>46408</v>
      </c>
      <c r="R10" s="14" t="n">
        <v>46436</v>
      </c>
      <c r="S10" s="13" t="inlineStr">
        <is>
          <t>instant:2349 (400k);one_step_pro:999 (200k);two_step_pro10:999 (200k);two_step_pro6:799 (200k) [official homepage]</t>
        </is>
      </c>
    </row>
    <row r="11">
      <c r="A11" s="19" t="n">
        <v>10</v>
      </c>
      <c r="B11" s="19" t="inlineStr">
        <is>
          <t>A – Instant/Direct CFD</t>
        </is>
      </c>
      <c r="C11" s="19" t="inlineStr">
        <is>
          <t>Ifunds</t>
        </is>
      </c>
      <c r="D11" s="19" t="inlineStr">
        <is>
          <t>CFD</t>
        </is>
      </c>
      <c r="E11" s="19" t="inlineStr">
        <is>
          <t>Instant-Direct</t>
        </is>
      </c>
      <c r="F11" s="22" t="n">
        <v>500000</v>
      </c>
      <c r="G11" s="22" t="n">
        <v>30000</v>
      </c>
      <c r="H11" s="19" t="n">
        <v>1</v>
      </c>
      <c r="I11" s="22" t="n">
        <v>500000</v>
      </c>
      <c r="J11" s="22" t="n">
        <v>30000</v>
      </c>
      <c r="K11" s="19" t="n">
        <v>17</v>
      </c>
      <c r="L11" s="19" t="inlineStr">
        <is>
          <t>OUI</t>
        </is>
      </c>
      <c r="M11" s="28" t="n">
        <v>0.8</v>
      </c>
      <c r="N11" s="19" t="inlineStr">
        <is>
          <t>aucun (instant)</t>
        </is>
      </c>
      <c r="O11" s="19" t="n">
        <v>0</v>
      </c>
      <c r="P11" s="20" t="n">
        <v>46408</v>
      </c>
      <c r="Q11" s="20" t="n">
        <v>46408</v>
      </c>
      <c r="R11" s="20" t="n">
        <v>46436</v>
      </c>
      <c r="S11" s="19" t="inlineStr">
        <is>
          <t>instant:30000 (500k 'New York') [TTP]</t>
        </is>
      </c>
    </row>
    <row r="12">
      <c r="A12" s="13" t="n">
        <v>11</v>
      </c>
      <c r="B12" s="13" t="inlineStr">
        <is>
          <t>A – Instant/Direct CFD</t>
        </is>
      </c>
      <c r="C12" s="13" t="inlineStr">
        <is>
          <t>Alpine Funded</t>
        </is>
      </c>
      <c r="D12" s="13" t="inlineStr">
        <is>
          <t>CFD</t>
        </is>
      </c>
      <c r="E12" s="13" t="inlineStr">
        <is>
          <t>Instant-Direct</t>
        </is>
      </c>
      <c r="F12" s="17" t="n">
        <v>200000</v>
      </c>
      <c r="G12" s="17" t="n">
        <v>1198</v>
      </c>
      <c r="H12" s="13" t="n">
        <v>2</v>
      </c>
      <c r="I12" s="17" t="n">
        <v>400000</v>
      </c>
      <c r="J12" s="17" t="n">
        <v>2396</v>
      </c>
      <c r="K12" s="13" t="n">
        <v>167</v>
      </c>
      <c r="L12" s="13" t="inlineStr">
        <is>
          <t>OUI</t>
        </is>
      </c>
      <c r="M12" s="27" t="n">
        <v>1</v>
      </c>
      <c r="N12" s="13" t="inlineStr">
        <is>
          <t>aucun (instant)</t>
        </is>
      </c>
      <c r="O12" s="13" t="n">
        <v>0</v>
      </c>
      <c r="P12" s="14" t="n">
        <v>46408</v>
      </c>
      <c r="Q12" s="14" t="n">
        <v>46408</v>
      </c>
      <c r="R12" s="14" t="n">
        <v>46436</v>
      </c>
      <c r="S12" s="13" t="inlineStr">
        <is>
          <t>instant:1198 (EUR1099 list, 200k);two_step:1089 (EUR999 list, 200k)</t>
        </is>
      </c>
    </row>
    <row r="13">
      <c r="A13" s="19" t="n">
        <v>12</v>
      </c>
      <c r="B13" s="19" t="inlineStr">
        <is>
          <t>A – Instant/Direct CFD</t>
        </is>
      </c>
      <c r="C13" s="19" t="inlineStr">
        <is>
          <t>AquaFunded</t>
        </is>
      </c>
      <c r="D13" s="19" t="inlineStr">
        <is>
          <t>CFD</t>
        </is>
      </c>
      <c r="E13" s="19" t="inlineStr">
        <is>
          <t>Instant-Direct</t>
        </is>
      </c>
      <c r="F13" s="22" t="n">
        <v>400000</v>
      </c>
      <c r="G13" s="22" t="n">
        <v>2699</v>
      </c>
      <c r="H13" s="19" t="n">
        <v>1</v>
      </c>
      <c r="I13" s="22" t="n">
        <v>400000</v>
      </c>
      <c r="J13" s="22" t="n">
        <v>2699</v>
      </c>
      <c r="K13" s="19" t="n">
        <v>148</v>
      </c>
      <c r="L13" s="19" t="inlineStr">
        <is>
          <t>OUI</t>
        </is>
      </c>
      <c r="M13" s="28" t="n">
        <v>0.9</v>
      </c>
      <c r="N13" s="19" t="inlineStr">
        <is>
          <t>aucun (instant)</t>
        </is>
      </c>
      <c r="O13" s="19" t="n">
        <v>0</v>
      </c>
      <c r="P13" s="20" t="n">
        <v>46408</v>
      </c>
      <c r="Q13" s="20" t="n">
        <v>46408</v>
      </c>
      <c r="R13" s="20" t="n">
        <v>46436</v>
      </c>
      <c r="S13" s="19" t="inlineStr">
        <is>
          <t>instant:2699 (400k);one_step:1250 (200k);two_step:1560 (200k);three_step:unknown [review site fundedtrading.com]</t>
        </is>
      </c>
    </row>
    <row r="14">
      <c r="A14" s="13" t="n">
        <v>13</v>
      </c>
      <c r="B14" s="13" t="inlineStr">
        <is>
          <t>A – Instant/Direct CFD</t>
        </is>
      </c>
      <c r="C14" s="13" t="inlineStr">
        <is>
          <t>Atlas Funded</t>
        </is>
      </c>
      <c r="D14" s="13" t="inlineStr">
        <is>
          <t>CFD</t>
        </is>
      </c>
      <c r="E14" s="13" t="inlineStr">
        <is>
          <t>Instant-Direct</t>
        </is>
      </c>
      <c r="F14" s="17" t="n">
        <v>300000</v>
      </c>
      <c r="G14" s="17" t="n">
        <v>1598</v>
      </c>
      <c r="H14" s="13" t="n">
        <v>1</v>
      </c>
      <c r="I14" s="17" t="n">
        <v>300000</v>
      </c>
      <c r="J14" s="17" t="n">
        <v>1598</v>
      </c>
      <c r="K14" s="13" t="n">
        <v>188</v>
      </c>
      <c r="L14" s="13" t="inlineStr">
        <is>
          <t>OUI</t>
        </is>
      </c>
      <c r="M14" s="27" t="n">
        <v>1</v>
      </c>
      <c r="N14" s="13" t="inlineStr">
        <is>
          <t>aucun (instant)</t>
        </is>
      </c>
      <c r="O14" s="13" t="n">
        <v>0</v>
      </c>
      <c r="P14" s="14" t="n">
        <v>46408</v>
      </c>
      <c r="Q14" s="14" t="n">
        <v>46408</v>
      </c>
      <c r="R14" s="14" t="n">
        <v>46436</v>
      </c>
      <c r="S14" s="13" t="inlineStr">
        <is>
          <t>instant:1598 (300k);one_step:867 (200k);two_step:816 (200k);three_step:591 (200k) [review site propfirmbridge; official checkout not readable]</t>
        </is>
      </c>
    </row>
    <row r="15">
      <c r="A15" s="19" t="n">
        <v>14</v>
      </c>
      <c r="B15" s="19" t="inlineStr">
        <is>
          <t>A – Instant/Direct CFD</t>
        </is>
      </c>
      <c r="C15" s="19" t="inlineStr">
        <is>
          <t>Atmos Funded</t>
        </is>
      </c>
      <c r="D15" s="19" t="inlineStr">
        <is>
          <t>CFD</t>
        </is>
      </c>
      <c r="E15" s="19" t="inlineStr">
        <is>
          <t>Instant-Direct</t>
        </is>
      </c>
      <c r="F15" s="22" t="n">
        <v>100000</v>
      </c>
      <c r="G15" s="22" t="n">
        <v>649</v>
      </c>
      <c r="H15" s="19" t="n">
        <v>4</v>
      </c>
      <c r="I15" s="22" t="n">
        <v>400000</v>
      </c>
      <c r="J15" s="22" t="n">
        <v>2596</v>
      </c>
      <c r="K15" s="19" t="n">
        <v>154</v>
      </c>
      <c r="L15" s="19" t="inlineStr">
        <is>
          <t>OUI</t>
        </is>
      </c>
      <c r="M15" s="28" t="n">
        <v>0.9</v>
      </c>
      <c r="N15" s="19" t="inlineStr">
        <is>
          <t>aucun (instant)</t>
        </is>
      </c>
      <c r="O15" s="19" t="n">
        <v>0</v>
      </c>
      <c r="P15" s="20" t="n">
        <v>46408</v>
      </c>
      <c r="Q15" s="20" t="n">
        <v>46408</v>
      </c>
      <c r="R15" s="20" t="n">
        <v>46436</v>
      </c>
      <c r="S15" s="19" t="inlineStr">
        <is>
          <t>instant:649 (100k);one_step:1020 (200k);two_step:989 (200k) [review site TTP]</t>
        </is>
      </c>
    </row>
    <row r="16">
      <c r="A16" s="13" t="n">
        <v>15</v>
      </c>
      <c r="B16" s="13" t="inlineStr">
        <is>
          <t>A – Instant/Direct CFD</t>
        </is>
      </c>
      <c r="C16" s="13" t="inlineStr">
        <is>
          <t>Blue Guardian</t>
        </is>
      </c>
      <c r="D16" s="13" t="inlineStr">
        <is>
          <t>CFD + Futures</t>
        </is>
      </c>
      <c r="E16" s="13" t="inlineStr">
        <is>
          <t>Instant-Direct</t>
        </is>
      </c>
      <c r="F16" s="17" t="n">
        <v>400000</v>
      </c>
      <c r="G16" s="17" t="n">
        <v>2200</v>
      </c>
      <c r="H16" s="13" t="n">
        <v>1</v>
      </c>
      <c r="I16" s="17" t="n">
        <v>400000</v>
      </c>
      <c r="J16" s="17" t="n">
        <v>2200</v>
      </c>
      <c r="K16" s="13" t="n">
        <v>182</v>
      </c>
      <c r="L16" s="13" t="inlineStr">
        <is>
          <t>OUI</t>
        </is>
      </c>
      <c r="M16" s="27" t="n">
        <v>0.8</v>
      </c>
      <c r="N16" s="13" t="inlineStr">
        <is>
          <t>aucun (instant)</t>
        </is>
      </c>
      <c r="O16" s="13" t="n">
        <v>0</v>
      </c>
      <c r="P16" s="14" t="n">
        <v>46408</v>
      </c>
      <c r="Q16" s="14" t="n">
        <v>46408</v>
      </c>
      <c r="R16" s="14" t="n">
        <v>46436</v>
      </c>
      <c r="S16" s="13" t="inlineStr">
        <is>
          <t>instant:2200 (400k);one_step:2200 (400k);two_step:2200 (400k)</t>
        </is>
      </c>
    </row>
    <row r="17">
      <c r="A17" s="19" t="n">
        <v>16</v>
      </c>
      <c r="B17" s="19" t="inlineStr">
        <is>
          <t>A – Instant/Direct CFD</t>
        </is>
      </c>
      <c r="C17" s="19" t="inlineStr">
        <is>
          <t>FundedElite</t>
        </is>
      </c>
      <c r="D17" s="19" t="inlineStr">
        <is>
          <t>CFD</t>
        </is>
      </c>
      <c r="E17" s="19" t="inlineStr">
        <is>
          <t>Instant-Direct</t>
        </is>
      </c>
      <c r="F17" s="22" t="n">
        <v>100000</v>
      </c>
      <c r="G17" s="22" t="n">
        <v>1489</v>
      </c>
      <c r="H17" s="19" t="n">
        <v>4</v>
      </c>
      <c r="I17" s="22" t="n">
        <v>400000</v>
      </c>
      <c r="J17" s="22" t="n">
        <v>5956</v>
      </c>
      <c r="K17" s="19" t="n">
        <v>67</v>
      </c>
      <c r="L17" s="19" t="inlineStr">
        <is>
          <t>OUI</t>
        </is>
      </c>
      <c r="M17" s="28" t="n">
        <v>0.95</v>
      </c>
      <c r="N17" s="19" t="inlineStr">
        <is>
          <t>aucun (instant)</t>
        </is>
      </c>
      <c r="O17" s="19" t="n">
        <v>0</v>
      </c>
      <c r="P17" s="20" t="n">
        <v>46408</v>
      </c>
      <c r="Q17" s="20" t="n">
        <v>46408</v>
      </c>
      <c r="R17" s="20" t="n">
        <v>46436</v>
      </c>
      <c r="S17" s="19" t="inlineStr">
        <is>
          <t>instant:1489 (100k);one_step:1599 (300k);two_step:1499 (300k);lite_two_step:899 (300k);lite_one_step:1099 (300k) [TTP review; official site shows no price table]</t>
        </is>
      </c>
    </row>
    <row r="18">
      <c r="A18" s="13" t="n">
        <v>17</v>
      </c>
      <c r="B18" s="13" t="inlineStr">
        <is>
          <t>A – Instant/Direct CFD</t>
        </is>
      </c>
      <c r="C18" s="13" t="inlineStr">
        <is>
          <t>Funding Pips</t>
        </is>
      </c>
      <c r="D18" s="13" t="inlineStr">
        <is>
          <t>CFD</t>
        </is>
      </c>
      <c r="E18" s="13" t="inlineStr">
        <is>
          <t>Instant-Direct</t>
        </is>
      </c>
      <c r="F18" s="17" t="n">
        <v>200000</v>
      </c>
      <c r="G18" s="17" t="n">
        <v>888</v>
      </c>
      <c r="H18" s="13" t="n">
        <v>2</v>
      </c>
      <c r="I18" s="17" t="n">
        <v>400000</v>
      </c>
      <c r="J18" s="17" t="n">
        <v>1776</v>
      </c>
      <c r="K18" s="13" t="n">
        <v>225</v>
      </c>
      <c r="L18" s="13" t="inlineStr">
        <is>
          <t>OUI</t>
        </is>
      </c>
      <c r="M18" s="27" t="n">
        <v>1</v>
      </c>
      <c r="N18" s="13" t="inlineStr">
        <is>
          <t>aucun (instant)</t>
        </is>
      </c>
      <c r="O18" s="13" t="n">
        <v>0</v>
      </c>
      <c r="P18" s="14" t="n">
        <v>46408</v>
      </c>
      <c r="Q18" s="14" t="n">
        <v>46408</v>
      </c>
      <c r="R18" s="14" t="n">
        <v>46436</v>
      </c>
      <c r="S18" s="13" t="inlineStr">
        <is>
          <t>one_step_flex:569 (100k);two_step_standard:544 (100k);two_step_flex:555 (100k);two_step_pro:844 (200k);zero_instant:888 (200k) [fundedtrading review]</t>
        </is>
      </c>
    </row>
    <row r="19">
      <c r="A19" s="19" t="n">
        <v>18</v>
      </c>
      <c r="B19" s="19" t="inlineStr">
        <is>
          <t>A – Instant/Direct CFD</t>
        </is>
      </c>
      <c r="C19" s="19" t="inlineStr">
        <is>
          <t>Global Forex Funds</t>
        </is>
      </c>
      <c r="D19" s="19" t="inlineStr">
        <is>
          <t>CFD</t>
        </is>
      </c>
      <c r="E19" s="19" t="inlineStr">
        <is>
          <t>Instant-Direct</t>
        </is>
      </c>
      <c r="F19" s="22" t="n">
        <v>100000</v>
      </c>
      <c r="G19" s="22" t="n">
        <v>2999</v>
      </c>
      <c r="H19" s="19" t="n">
        <v>1</v>
      </c>
      <c r="I19" s="22" t="n">
        <v>100000</v>
      </c>
      <c r="J19" s="22" t="n">
        <v>2999</v>
      </c>
      <c r="K19" s="19" t="n">
        <v>33</v>
      </c>
      <c r="L19" s="19" t="inlineStr">
        <is>
          <t>sous conditions / un seul compte</t>
        </is>
      </c>
      <c r="M19" s="28" t="n">
        <v>0.9</v>
      </c>
      <c r="N19" s="19" t="inlineStr">
        <is>
          <t>aucun (instant)</t>
        </is>
      </c>
      <c r="O19" s="19" t="n">
        <v>0</v>
      </c>
      <c r="P19" s="20" t="n">
        <v>46408</v>
      </c>
      <c r="Q19" s="20" t="n">
        <v>46408</v>
      </c>
      <c r="R19" s="20" t="n">
        <v>46436</v>
      </c>
      <c r="S19" s="19" t="inlineStr">
        <is>
          <t>standard_one_phase:1499 (400k, TTP; fundedtrading lists 979);two_phase:1350.60 (400k, TTP);gff_plus:2999 (200k);hft_plus:1799 (100k);instant:2999 (100k) [review sites; official shows standard 50k = 279]</t>
        </is>
      </c>
    </row>
    <row r="20">
      <c r="A20" s="13" t="n">
        <v>19</v>
      </c>
      <c r="B20" s="13" t="inlineStr">
        <is>
          <t>A – Instant/Direct CFD</t>
        </is>
      </c>
      <c r="C20" s="13" t="inlineStr">
        <is>
          <t>Goat Funded Trader</t>
        </is>
      </c>
      <c r="D20" s="13" t="inlineStr">
        <is>
          <t>CFD</t>
        </is>
      </c>
      <c r="E20" s="13" t="inlineStr">
        <is>
          <t>Instant-Direct</t>
        </is>
      </c>
      <c r="F20" s="17" t="n">
        <v>100000</v>
      </c>
      <c r="G20" s="17" t="n">
        <v>858</v>
      </c>
      <c r="H20" s="13" t="n">
        <v>4</v>
      </c>
      <c r="I20" s="17" t="n">
        <v>400000</v>
      </c>
      <c r="J20" s="17" t="n">
        <v>3432</v>
      </c>
      <c r="K20" s="13" t="n">
        <v>117</v>
      </c>
      <c r="L20" s="13" t="inlineStr">
        <is>
          <t>OUI</t>
        </is>
      </c>
      <c r="M20" s="27" t="n">
        <v>1</v>
      </c>
      <c r="N20" s="13" t="inlineStr">
        <is>
          <t>aucun (instant)</t>
        </is>
      </c>
      <c r="O20" s="13" t="n">
        <v>0</v>
      </c>
      <c r="P20" s="14" t="n">
        <v>46408</v>
      </c>
      <c r="Q20" s="14" t="n">
        <v>46408</v>
      </c>
      <c r="R20" s="14" t="n">
        <v>46436</v>
      </c>
      <c r="S20" s="13" t="inlineStr">
        <is>
          <t>one_step:1098 (200k);two_step_standard:1174 (200k);two_step_pro:1098 (200k);three_step:665 (200k);instant_goat:2398 (300k);instant_pro:858 (100k);blitz:617 (100k) [TTP; official sizes go to 400k but prices not shown]</t>
        </is>
      </c>
    </row>
    <row r="21">
      <c r="A21" s="19" t="n">
        <v>20</v>
      </c>
      <c r="B21" s="19" t="inlineStr">
        <is>
          <t>A – Instant/Direct CFD</t>
        </is>
      </c>
      <c r="C21" s="19" t="inlineStr">
        <is>
          <t>FundedVerse</t>
        </is>
      </c>
      <c r="D21" s="19" t="inlineStr">
        <is>
          <t>CFD</t>
        </is>
      </c>
      <c r="E21" s="19" t="inlineStr">
        <is>
          <t>Instant-Direct</t>
        </is>
      </c>
      <c r="F21" s="22" t="n">
        <v>50000</v>
      </c>
      <c r="G21" s="22" t="n">
        <v>699</v>
      </c>
      <c r="H21" s="19" t="n">
        <v>6</v>
      </c>
      <c r="I21" s="22" t="n">
        <v>300000</v>
      </c>
      <c r="J21" s="22" t="n">
        <v>4194</v>
      </c>
      <c r="K21" s="19" t="n">
        <v>72</v>
      </c>
      <c r="L21" s="19" t="inlineStr">
        <is>
          <t>OUI</t>
        </is>
      </c>
      <c r="M21" s="28" t="n">
        <v>0.8</v>
      </c>
      <c r="N21" s="19" t="inlineStr">
        <is>
          <t>aucun (instant)</t>
        </is>
      </c>
      <c r="O21" s="19" t="n">
        <v>0</v>
      </c>
      <c r="P21" s="20" t="n">
        <v>46408</v>
      </c>
      <c r="Q21" s="20" t="n">
        <v>46408</v>
      </c>
      <c r="R21" s="20" t="n">
        <v>46436</v>
      </c>
      <c r="S21" s="19" t="inlineStr">
        <is>
          <t>instant:699 (50k);one_step:537 (100k);sniper_one_step:577 (100k);ultra_two_step:1989 (300k);two_step_trailing:527 (100k);two_step_static:537 (100k) [official homepage]</t>
        </is>
      </c>
    </row>
    <row r="22">
      <c r="A22" s="13" t="n">
        <v>21</v>
      </c>
      <c r="B22" s="13" t="inlineStr">
        <is>
          <t>A – Instant/Direct CFD</t>
        </is>
      </c>
      <c r="C22" s="13" t="inlineStr">
        <is>
          <t>Lark Funding</t>
        </is>
      </c>
      <c r="D22" s="13" t="inlineStr">
        <is>
          <t>CFD</t>
        </is>
      </c>
      <c r="E22" s="13" t="inlineStr">
        <is>
          <t>Instant-Direct</t>
        </is>
      </c>
      <c r="F22" s="17" t="n">
        <v>100000</v>
      </c>
      <c r="G22" s="17" t="n">
        <v>4500</v>
      </c>
      <c r="H22" s="13" t="n">
        <v>3</v>
      </c>
      <c r="I22" s="17" t="n">
        <v>300000</v>
      </c>
      <c r="J22" s="17" t="n">
        <v>13500</v>
      </c>
      <c r="K22" s="13" t="n">
        <v>22</v>
      </c>
      <c r="L22" s="13" t="inlineStr">
        <is>
          <t>OUI</t>
        </is>
      </c>
      <c r="M22" s="27" t="n">
        <v>0.8</v>
      </c>
      <c r="N22" s="13" t="inlineStr">
        <is>
          <t>aucun (instant)</t>
        </is>
      </c>
      <c r="O22" s="13" t="n">
        <v>0</v>
      </c>
      <c r="P22" s="14" t="n">
        <v>46408</v>
      </c>
      <c r="Q22" s="14" t="n">
        <v>46408</v>
      </c>
      <c r="R22" s="14" t="n">
        <v>46436</v>
      </c>
      <c r="S22" s="13" t="inlineStr">
        <is>
          <t>one_step:1000 (200k);three_step:700 (200k);instant:4500 (100k) [TTP; fundedtrading lists instant 200k 4500]</t>
        </is>
      </c>
    </row>
    <row r="23">
      <c r="A23" s="19" t="n">
        <v>22</v>
      </c>
      <c r="B23" s="19" t="inlineStr">
        <is>
          <t>A – Instant/Direct CFD</t>
        </is>
      </c>
      <c r="C23" s="19" t="inlineStr">
        <is>
          <t>Mockapital</t>
        </is>
      </c>
      <c r="D23" s="19" t="inlineStr">
        <is>
          <t>CFD</t>
        </is>
      </c>
      <c r="E23" s="19" t="inlineStr">
        <is>
          <t>Instant-Direct</t>
        </is>
      </c>
      <c r="F23" s="22" t="n">
        <v>50000</v>
      </c>
      <c r="G23" s="22" t="n">
        <v>2250</v>
      </c>
      <c r="H23" s="19" t="n">
        <v>6</v>
      </c>
      <c r="I23" s="22" t="n">
        <v>300000</v>
      </c>
      <c r="J23" s="22" t="n">
        <v>13500</v>
      </c>
      <c r="K23" s="19" t="n">
        <v>22</v>
      </c>
      <c r="L23" s="19" t="inlineStr">
        <is>
          <t>OUI</t>
        </is>
      </c>
      <c r="M23" s="28" t="n">
        <v>0.8</v>
      </c>
      <c r="N23" s="19" t="inlineStr">
        <is>
          <t>aucun (instant)</t>
        </is>
      </c>
      <c r="O23" s="19" t="n">
        <v>0</v>
      </c>
      <c r="P23" s="20" t="n">
        <v>46408</v>
      </c>
      <c r="Q23" s="20" t="n">
        <v>46408</v>
      </c>
      <c r="R23" s="20" t="n">
        <v>46436</v>
      </c>
      <c r="S23" s="19" t="inlineStr">
        <is>
          <t>instant:2250 (50k);mocksprint_one_step:1050 (200k);mockrace_two_step:950 (200k);mockexpress_two_step:800 (100k) [official]</t>
        </is>
      </c>
    </row>
    <row r="24">
      <c r="A24" s="13" t="n">
        <v>23</v>
      </c>
      <c r="B24" s="13" t="inlineStr">
        <is>
          <t>A – Instant/Direct CFD</t>
        </is>
      </c>
      <c r="C24" s="13" t="inlineStr">
        <is>
          <t>Myfundedcapital</t>
        </is>
      </c>
      <c r="D24" s="13" t="inlineStr">
        <is>
          <t>CFD</t>
        </is>
      </c>
      <c r="E24" s="13" t="inlineStr">
        <is>
          <t>Instant-Direct</t>
        </is>
      </c>
      <c r="F24" s="17" t="n">
        <v>80000</v>
      </c>
      <c r="G24" s="17" t="n">
        <v>3470</v>
      </c>
      <c r="H24" s="13" t="n">
        <v>3</v>
      </c>
      <c r="I24" s="17" t="n">
        <v>240000</v>
      </c>
      <c r="J24" s="17" t="n">
        <v>10410</v>
      </c>
      <c r="K24" s="13" t="n">
        <v>23</v>
      </c>
      <c r="L24" s="13" t="inlineStr">
        <is>
          <t>OUI</t>
        </is>
      </c>
      <c r="M24" s="27" t="n">
        <v>0.8</v>
      </c>
      <c r="N24" s="13" t="inlineStr">
        <is>
          <t>aucun (instant)</t>
        </is>
      </c>
      <c r="O24" s="13" t="n">
        <v>0</v>
      </c>
      <c r="P24" s="14" t="n">
        <v>46408</v>
      </c>
      <c r="Q24" s="14" t="n">
        <v>46408</v>
      </c>
      <c r="R24" s="14" t="n">
        <v>46436</v>
      </c>
      <c r="S24" s="13" t="inlineStr">
        <is>
          <t>one_step:599 (100k);two_step:429 (100k);instant:3470 (80k) [TTP; official homepage shows promo flat prices]</t>
        </is>
      </c>
    </row>
    <row r="25">
      <c r="A25" s="19" t="n">
        <v>24</v>
      </c>
      <c r="B25" s="19" t="inlineStr">
        <is>
          <t>A – Instant/Direct CFD</t>
        </is>
      </c>
      <c r="C25" s="19" t="inlineStr">
        <is>
          <t>City Traders Imperium</t>
        </is>
      </c>
      <c r="D25" s="19" t="inlineStr">
        <is>
          <t>CFD</t>
        </is>
      </c>
      <c r="E25" s="19" t="inlineStr">
        <is>
          <t>Instant-Direct</t>
        </is>
      </c>
      <c r="F25" s="22" t="n">
        <v>80000</v>
      </c>
      <c r="G25" s="22" t="n">
        <v>1599</v>
      </c>
      <c r="H25" s="19" t="n">
        <v>2</v>
      </c>
      <c r="I25" s="22" t="n">
        <v>160000</v>
      </c>
      <c r="J25" s="22" t="n">
        <v>3198</v>
      </c>
      <c r="K25" s="19" t="n">
        <v>50</v>
      </c>
      <c r="L25" s="19" t="inlineStr">
        <is>
          <t>OUI</t>
        </is>
      </c>
      <c r="M25" s="28" t="n">
        <v>0.9</v>
      </c>
      <c r="N25" s="19" t="inlineStr">
        <is>
          <t>aucun (instant)</t>
        </is>
      </c>
      <c r="O25" s="19" t="n">
        <v>0</v>
      </c>
      <c r="P25" s="20" t="n">
        <v>46408</v>
      </c>
      <c r="Q25" s="20" t="n">
        <v>46408</v>
      </c>
      <c r="R25" s="20" t="n">
        <v>46436</v>
      </c>
      <c r="S25" s="19" t="inlineStr">
        <is>
          <t>one_step:449 (100k);two_step:549 (100k);instant:1599 (80k);direct:3999 (80k)</t>
        </is>
      </c>
    </row>
    <row r="26">
      <c r="A26" s="13" t="n">
        <v>25</v>
      </c>
      <c r="B26" s="13" t="inlineStr">
        <is>
          <t>A – Instant/Direct CFD</t>
        </is>
      </c>
      <c r="C26" s="13" t="inlineStr">
        <is>
          <t>Crypto Fund Trader</t>
        </is>
      </c>
      <c r="D26" s="13" t="inlineStr">
        <is>
          <t>CFD</t>
        </is>
      </c>
      <c r="E26" s="13" t="inlineStr">
        <is>
          <t>Instant-Direct</t>
        </is>
      </c>
      <c r="F26" s="17" t="n">
        <v>10000</v>
      </c>
      <c r="G26" s="17" t="n">
        <v>475</v>
      </c>
      <c r="H26" s="13" t="n">
        <v>1</v>
      </c>
      <c r="I26" s="17" t="n">
        <v>10000</v>
      </c>
      <c r="J26" s="17" t="n">
        <v>475</v>
      </c>
      <c r="K26" s="13" t="n">
        <v>21</v>
      </c>
      <c r="L26" s="13" t="inlineStr">
        <is>
          <t>sous conditions / un seul compte</t>
        </is>
      </c>
      <c r="M26" s="27" t="n">
        <v>0.8</v>
      </c>
      <c r="N26" s="13" t="inlineStr">
        <is>
          <t>aucun (instant)</t>
        </is>
      </c>
      <c r="O26" s="13" t="n">
        <v>0</v>
      </c>
      <c r="P26" s="14" t="n">
        <v>46380</v>
      </c>
      <c r="Q26" s="14" t="n">
        <v>46380</v>
      </c>
      <c r="R26" s="14" t="n">
        <v>46408</v>
      </c>
      <c r="S26" s="13" t="inlineStr">
        <is>
          <t>instant:475 (10k);one_step:1798 (200k);two_step:199 (100k)</t>
        </is>
      </c>
    </row>
    <row r="27">
      <c r="A27" s="19" t="n">
        <v>26</v>
      </c>
      <c r="B27" s="19" t="inlineStr">
        <is>
          <t>A – Instant/Direct CFD</t>
        </is>
      </c>
      <c r="C27" s="19" t="inlineStr">
        <is>
          <t>FTUK</t>
        </is>
      </c>
      <c r="D27" s="19" t="inlineStr">
        <is>
          <t>CFD</t>
        </is>
      </c>
      <c r="E27" s="19" t="inlineStr">
        <is>
          <t>Instant-Direct</t>
        </is>
      </c>
      <c r="F27" s="22" t="n">
        <v>100000</v>
      </c>
      <c r="G27" s="22" t="n">
        <v>1499</v>
      </c>
      <c r="H27" s="19" t="n">
        <v>1</v>
      </c>
      <c r="I27" s="22" t="n">
        <v>100000</v>
      </c>
      <c r="J27" s="22" t="n">
        <v>1499</v>
      </c>
      <c r="K27" s="19" t="n">
        <v>67</v>
      </c>
      <c r="L27" s="19" t="inlineStr">
        <is>
          <t>sous conditions / un seul compte</t>
        </is>
      </c>
      <c r="M27" s="28" t="n">
        <v>0.8</v>
      </c>
      <c r="N27" s="19" t="inlineStr">
        <is>
          <t>aucun (instant)</t>
        </is>
      </c>
      <c r="O27" s="19" t="n">
        <v>0</v>
      </c>
      <c r="P27" s="20" t="n">
        <v>46408</v>
      </c>
      <c r="Q27" s="20" t="n">
        <v>46408</v>
      </c>
      <c r="R27" s="20" t="n">
        <v>46436</v>
      </c>
      <c r="S27" s="19" t="inlineStr">
        <is>
          <t>instant:1499 (100k);one_step:649 (100k);two_step:499 (100k); 200k prices unknown [review site TTP]</t>
        </is>
      </c>
    </row>
    <row r="28">
      <c r="A28" s="13" t="n">
        <v>27</v>
      </c>
      <c r="B28" s="13" t="inlineStr">
        <is>
          <t>A – Instant/Direct CFD</t>
        </is>
      </c>
      <c r="C28" s="13" t="inlineStr">
        <is>
          <t>Funded Friday</t>
        </is>
      </c>
      <c r="D28" s="13" t="inlineStr">
        <is>
          <t>CFD</t>
        </is>
      </c>
      <c r="E28" s="13" t="inlineStr">
        <is>
          <t>Instant-Direct</t>
        </is>
      </c>
      <c r="F28" s="17" t="n">
        <v>200000</v>
      </c>
      <c r="G28" s="17" t="n">
        <v>3899</v>
      </c>
      <c r="H28" s="13" t="n">
        <v>1</v>
      </c>
      <c r="I28" s="17" t="n">
        <v>200000</v>
      </c>
      <c r="J28" s="17" t="n">
        <v>3899</v>
      </c>
      <c r="K28" s="13" t="n">
        <v>51</v>
      </c>
      <c r="L28" s="13" t="inlineStr">
        <is>
          <t>sous conditions / un seul compte</t>
        </is>
      </c>
      <c r="M28" s="27" t="n">
        <v>0.8</v>
      </c>
      <c r="N28" s="13" t="inlineStr">
        <is>
          <t>aucun (instant)</t>
        </is>
      </c>
      <c r="O28" s="13" t="n">
        <v>0</v>
      </c>
      <c r="P28" s="14" t="n">
        <v>46408</v>
      </c>
      <c r="Q28" s="14" t="n">
        <v>46408</v>
      </c>
      <c r="R28" s="14" t="n">
        <v>46436</v>
      </c>
      <c r="S28" s="13" t="inlineStr">
        <is>
          <t>two_step:779 (200k);instant:3899 (200k);one_step:unknown [review site fortraders]</t>
        </is>
      </c>
    </row>
    <row r="29">
      <c r="A29" s="19" t="n">
        <v>28</v>
      </c>
      <c r="B29" s="19" t="inlineStr">
        <is>
          <t>A – Instant/Direct CFD</t>
        </is>
      </c>
      <c r="C29" s="19" t="inlineStr">
        <is>
          <t>Funded Trading Plus</t>
        </is>
      </c>
      <c r="D29" s="19" t="inlineStr">
        <is>
          <t>CFD + Futures</t>
        </is>
      </c>
      <c r="E29" s="19" t="inlineStr">
        <is>
          <t>Instant-Direct</t>
        </is>
      </c>
      <c r="F29" s="22" t="n">
        <v>100000</v>
      </c>
      <c r="G29" s="22" t="n">
        <v>4499</v>
      </c>
      <c r="H29" s="19" t="n">
        <v>1</v>
      </c>
      <c r="I29" s="22" t="n">
        <v>100000</v>
      </c>
      <c r="J29" s="22" t="n">
        <v>4499</v>
      </c>
      <c r="K29" s="19" t="n">
        <v>22</v>
      </c>
      <c r="L29" s="19" t="inlineStr">
        <is>
          <t>sous conditions / un seul compte</t>
        </is>
      </c>
      <c r="M29" s="28" t="n">
        <v>0.8</v>
      </c>
      <c r="N29" s="19" t="inlineStr">
        <is>
          <t>aucun (instant)</t>
        </is>
      </c>
      <c r="O29" s="19" t="n">
        <v>0</v>
      </c>
      <c r="P29" s="20" t="n">
        <v>46408</v>
      </c>
      <c r="Q29" s="20" t="n">
        <v>46408</v>
      </c>
      <c r="R29" s="20" t="n">
        <v>46436</v>
      </c>
      <c r="S29" s="19" t="inlineStr">
        <is>
          <t>one_step:999 (200k);two_step:549 (100k);instant:4499 (100k) [review site TTP]</t>
        </is>
      </c>
    </row>
    <row r="30">
      <c r="A30" s="13" t="n">
        <v>29</v>
      </c>
      <c r="B30" s="13" t="inlineStr">
        <is>
          <t>A – Instant/Direct CFD</t>
        </is>
      </c>
      <c r="C30" s="13" t="inlineStr">
        <is>
          <t>Funding Dynasty</t>
        </is>
      </c>
      <c r="D30" s="13" t="inlineStr">
        <is>
          <t>CFD</t>
        </is>
      </c>
      <c r="E30" s="13" t="inlineStr">
        <is>
          <t>Instant-Direct</t>
        </is>
      </c>
      <c r="F30" s="17" t="n">
        <v>200000</v>
      </c>
      <c r="G30" s="17" t="n">
        <v>1656</v>
      </c>
      <c r="H30" s="13" t="n">
        <v>1</v>
      </c>
      <c r="I30" s="17" t="n">
        <v>200000</v>
      </c>
      <c r="J30" s="17" t="n">
        <v>1656</v>
      </c>
      <c r="K30" s="13" t="n">
        <v>121</v>
      </c>
      <c r="L30" s="13" t="inlineStr">
        <is>
          <t>sous conditions / un seul compte</t>
        </is>
      </c>
      <c r="M30" s="27" t="n">
        <v>0.8</v>
      </c>
      <c r="N30" s="13" t="inlineStr">
        <is>
          <t>aucun (instant)</t>
        </is>
      </c>
      <c r="O30" s="13" t="n">
        <v>0</v>
      </c>
      <c r="P30" s="14" t="n">
        <v>46408</v>
      </c>
      <c r="Q30" s="14" t="n">
        <v>46408</v>
      </c>
      <c r="R30" s="14" t="n">
        <v>46436</v>
      </c>
      <c r="S30" s="13" t="inlineStr">
        <is>
          <t>instant:1656 (200k);legacy_challenge:979 (200k);pay_after_pass:15 upfront + post-pass fee (unknown) [official homepage]</t>
        </is>
      </c>
    </row>
    <row r="31">
      <c r="A31" s="19" t="n">
        <v>30</v>
      </c>
      <c r="B31" s="19" t="inlineStr">
        <is>
          <t>A – Instant/Direct CFD</t>
        </is>
      </c>
      <c r="C31" s="19" t="inlineStr">
        <is>
          <t>Funding Frontier</t>
        </is>
      </c>
      <c r="D31" s="19" t="inlineStr">
        <is>
          <t>CFD</t>
        </is>
      </c>
      <c r="E31" s="19" t="inlineStr">
        <is>
          <t>Instant-Direct</t>
        </is>
      </c>
      <c r="F31" s="22" t="n">
        <v>50000</v>
      </c>
      <c r="G31" s="22" t="n">
        <v>749</v>
      </c>
      <c r="H31" s="19" t="n">
        <v>1</v>
      </c>
      <c r="I31" s="22" t="n">
        <v>50000</v>
      </c>
      <c r="J31" s="22" t="n">
        <v>749</v>
      </c>
      <c r="K31" s="19" t="n">
        <v>67</v>
      </c>
      <c r="L31" s="19" t="inlineStr">
        <is>
          <t>sous conditions / un seul compte</t>
        </is>
      </c>
      <c r="M31" s="28" t="n">
        <v>0.8</v>
      </c>
      <c r="N31" s="19" t="inlineStr">
        <is>
          <t>aucun (instant)</t>
        </is>
      </c>
      <c r="O31" s="19" t="n">
        <v>0</v>
      </c>
      <c r="P31" s="20" t="n">
        <v>46408</v>
      </c>
      <c r="Q31" s="20" t="n">
        <v>46408</v>
      </c>
      <c r="R31" s="20" t="n">
        <v>46436</v>
      </c>
      <c r="S31" s="19" t="inlineStr">
        <is>
          <t>instant:749 (50k);one_step:749 (50k);two_step:699 (100k);three_step:unknown [fundedtrading Sep 2026; TTP older table: two_step 100k 380]</t>
        </is>
      </c>
    </row>
    <row r="32">
      <c r="A32" s="13" t="n">
        <v>31</v>
      </c>
      <c r="B32" s="13" t="inlineStr">
        <is>
          <t>A – Instant/Direct CFD</t>
        </is>
      </c>
      <c r="C32" s="13" t="inlineStr">
        <is>
          <t>FundYourFX</t>
        </is>
      </c>
      <c r="D32" s="13" t="inlineStr">
        <is>
          <t>CFD</t>
        </is>
      </c>
      <c r="E32" s="13" t="inlineStr">
        <is>
          <t>Instant-Direct</t>
        </is>
      </c>
      <c r="F32" s="17" t="n">
        <v>200000</v>
      </c>
      <c r="G32" s="17" t="n">
        <v>1599</v>
      </c>
      <c r="H32" s="13" t="n">
        <v>1</v>
      </c>
      <c r="I32" s="17" t="n">
        <v>200000</v>
      </c>
      <c r="J32" s="17" t="n">
        <v>1599</v>
      </c>
      <c r="K32" s="13" t="n">
        <v>125</v>
      </c>
      <c r="L32" s="13" t="inlineStr">
        <is>
          <t>sous conditions / un seul compte</t>
        </is>
      </c>
      <c r="M32" s="27" t="n">
        <v>0.95</v>
      </c>
      <c r="N32" s="13" t="inlineStr">
        <is>
          <t>aucun (instant)</t>
        </is>
      </c>
      <c r="O32" s="13" t="n">
        <v>0</v>
      </c>
      <c r="P32" s="14" t="n">
        <v>46408</v>
      </c>
      <c r="Q32" s="14" t="n">
        <v>46408</v>
      </c>
      <c r="R32" s="14" t="n">
        <v>46436</v>
      </c>
      <c r="S32" s="13" t="inlineStr">
        <is>
          <t>instant_classic:1599 (200k);instant_pro:2499 (200k);one_step:1599 (200k);two_step:2499 (200k);pay_after_pass:250 (50k max) [fundedtrading Sep 2026; official regular 50k instant classic = 829]</t>
        </is>
      </c>
    </row>
    <row r="33">
      <c r="A33" s="19" t="n">
        <v>32</v>
      </c>
      <c r="B33" s="19" t="inlineStr">
        <is>
          <t>A – Instant/Direct CFD</t>
        </is>
      </c>
      <c r="C33" s="19" t="inlineStr">
        <is>
          <t>Hex Funded</t>
        </is>
      </c>
      <c r="D33" s="19" t="inlineStr">
        <is>
          <t>CFD</t>
        </is>
      </c>
      <c r="E33" s="19" t="inlineStr">
        <is>
          <t>Instant-Direct</t>
        </is>
      </c>
      <c r="F33" s="22" t="n">
        <v>100000</v>
      </c>
      <c r="G33" s="22" t="n">
        <v>596</v>
      </c>
      <c r="H33" s="19" t="n">
        <v>1</v>
      </c>
      <c r="I33" s="22" t="n">
        <v>100000</v>
      </c>
      <c r="J33" s="22" t="n">
        <v>596</v>
      </c>
      <c r="K33" s="19" t="n">
        <v>168</v>
      </c>
      <c r="L33" s="19" t="inlineStr">
        <is>
          <t>sous conditions / un seul compte</t>
        </is>
      </c>
      <c r="M33" s="28" t="n">
        <v>0.9</v>
      </c>
      <c r="N33" s="19" t="inlineStr">
        <is>
          <t>aucun (instant)</t>
        </is>
      </c>
      <c r="O33" s="19" t="n">
        <v>0</v>
      </c>
      <c r="P33" s="20" t="n">
        <v>46408</v>
      </c>
      <c r="Q33" s="20" t="n">
        <v>46408</v>
      </c>
      <c r="R33" s="20" t="n">
        <v>46436</v>
      </c>
      <c r="S33" s="19" t="inlineStr">
        <is>
          <t>instant:954 (200k);instant_pro:596 (100k);one_step_rapid:294 (50k);two_step_rapid:921 (200k) [official homepage regular prices]</t>
        </is>
      </c>
    </row>
    <row r="34">
      <c r="A34" s="13" t="n">
        <v>33</v>
      </c>
      <c r="B34" s="13" t="inlineStr">
        <is>
          <t>A – Instant/Direct CFD</t>
        </is>
      </c>
      <c r="C34" s="13" t="inlineStr">
        <is>
          <t>FundingRock</t>
        </is>
      </c>
      <c r="D34" s="13" t="inlineStr">
        <is>
          <t>CFD</t>
        </is>
      </c>
      <c r="E34" s="13" t="inlineStr">
        <is>
          <t>Instant-Direct</t>
        </is>
      </c>
      <c r="F34" s="17" t="n">
        <v>100000</v>
      </c>
      <c r="G34" s="17" t="n">
        <v>600</v>
      </c>
      <c r="H34" s="13" t="n">
        <v>1</v>
      </c>
      <c r="I34" s="17" t="n">
        <v>100000</v>
      </c>
      <c r="J34" s="17" t="n">
        <v>600</v>
      </c>
      <c r="K34" s="13" t="n">
        <v>167</v>
      </c>
      <c r="L34" s="13" t="inlineStr">
        <is>
          <t>sous conditions / un seul compte</t>
        </is>
      </c>
      <c r="M34" s="27" t="n">
        <v>0.8</v>
      </c>
      <c r="N34" s="13" t="inlineStr">
        <is>
          <t>aucun (instant)</t>
        </is>
      </c>
      <c r="O34" s="13" t="n">
        <v>0</v>
      </c>
      <c r="P34" s="14" t="n">
        <v>46408</v>
      </c>
      <c r="Q34" s="14" t="n">
        <v>46408</v>
      </c>
      <c r="R34" s="14" t="n">
        <v>46436</v>
      </c>
      <c r="S34" s="13" t="inlineStr">
        <is>
          <t>instant:600 (100k);one_step:450 (100k);two_step:350 (100k) [official homepage]</t>
        </is>
      </c>
    </row>
    <row r="35">
      <c r="A35" s="19" t="n">
        <v>34</v>
      </c>
      <c r="B35" s="19" t="inlineStr">
        <is>
          <t>A – Instant/Direct CFD</t>
        </is>
      </c>
      <c r="C35" s="19" t="inlineStr">
        <is>
          <t>LegionFunding</t>
        </is>
      </c>
      <c r="D35" s="19" t="inlineStr">
        <is>
          <t>CFD</t>
        </is>
      </c>
      <c r="E35" s="19" t="inlineStr">
        <is>
          <t>Instant-Direct</t>
        </is>
      </c>
      <c r="F35" s="22" t="n">
        <v>100000</v>
      </c>
      <c r="G35" s="22" t="n">
        <v>699</v>
      </c>
      <c r="H35" s="19" t="n">
        <v>1</v>
      </c>
      <c r="I35" s="22" t="n">
        <v>100000</v>
      </c>
      <c r="J35" s="22" t="n">
        <v>699</v>
      </c>
      <c r="K35" s="19" t="n">
        <v>143</v>
      </c>
      <c r="L35" s="19" t="inlineStr">
        <is>
          <t>sous conditions / un seul compte</t>
        </is>
      </c>
      <c r="M35" s="28" t="n">
        <v>0.8</v>
      </c>
      <c r="N35" s="19" t="inlineStr">
        <is>
          <t>aucun (instant)</t>
        </is>
      </c>
      <c r="O35" s="19" t="n">
        <v>0</v>
      </c>
      <c r="P35" s="20" t="n">
        <v>46408</v>
      </c>
      <c r="Q35" s="20" t="n">
        <v>46408</v>
      </c>
      <c r="R35" s="20" t="n">
        <v>46436</v>
      </c>
      <c r="S35" s="19" t="inlineStr">
        <is>
          <t>instant:699 (100k);one_step:599 (100k);two_step:529 (100k) [propfirmmap ranges; official shows 2-step 5k = 35]</t>
        </is>
      </c>
    </row>
    <row r="36">
      <c r="A36" s="13" t="n">
        <v>35</v>
      </c>
      <c r="B36" s="13" t="inlineStr">
        <is>
          <t>A – Instant/Direct CFD</t>
        </is>
      </c>
      <c r="C36" s="13" t="inlineStr">
        <is>
          <t>MasterFunders</t>
        </is>
      </c>
      <c r="D36" s="13" t="inlineStr">
        <is>
          <t>CFD</t>
        </is>
      </c>
      <c r="E36" s="13" t="inlineStr">
        <is>
          <t>Instant-Direct</t>
        </is>
      </c>
      <c r="F36" s="17" t="n">
        <v>100000</v>
      </c>
      <c r="G36" s="17" t="n">
        <v>4780</v>
      </c>
      <c r="H36" s="13" t="n">
        <v>1</v>
      </c>
      <c r="I36" s="17" t="n">
        <v>100000</v>
      </c>
      <c r="J36" s="17" t="n">
        <v>4780</v>
      </c>
      <c r="K36" s="13" t="n">
        <v>21</v>
      </c>
      <c r="L36" s="13" t="inlineStr">
        <is>
          <t>OUI</t>
        </is>
      </c>
      <c r="M36" s="27" t="n">
        <v>0.8</v>
      </c>
      <c r="N36" s="13" t="inlineStr">
        <is>
          <t>aucun (instant)</t>
        </is>
      </c>
      <c r="O36" s="13" t="n">
        <v>0</v>
      </c>
      <c r="P36" s="14" t="n">
        <v>46408</v>
      </c>
      <c r="Q36" s="14" t="n">
        <v>46408</v>
      </c>
      <c r="R36" s="14" t="n">
        <v>46436</v>
      </c>
      <c r="S36" s="13" t="inlineStr">
        <is>
          <t>core_two_step:549 (100k);lite_two_step:599 (100k);direct_access_pro_instant:4780 (100k);speed:unknown [official + fundedtrading]</t>
        </is>
      </c>
    </row>
    <row r="37">
      <c r="A37" s="19" t="n">
        <v>36</v>
      </c>
      <c r="B37" s="19" t="inlineStr">
        <is>
          <t>A – Instant/Direct CFD</t>
        </is>
      </c>
      <c r="C37" s="19" t="inlineStr">
        <is>
          <t>BloomFunded</t>
        </is>
      </c>
      <c r="D37" s="19" t="inlineStr">
        <is>
          <t>CFD</t>
        </is>
      </c>
      <c r="E37" s="19" t="inlineStr">
        <is>
          <t>Instant-Direct</t>
        </is>
      </c>
      <c r="F37" s="22" t="n">
        <v>50000</v>
      </c>
      <c r="G37" s="22" t="n">
        <v>680</v>
      </c>
      <c r="H37" s="19" t="n">
        <v>1</v>
      </c>
      <c r="I37" s="22" t="n">
        <v>50000</v>
      </c>
      <c r="J37" s="22" t="n">
        <v>680</v>
      </c>
      <c r="K37" s="19" t="n">
        <v>74</v>
      </c>
      <c r="L37" s="19" t="inlineStr">
        <is>
          <t>sous conditions / un seul compte</t>
        </is>
      </c>
      <c r="M37" s="28" t="n">
        <v>0.9</v>
      </c>
      <c r="N37" s="19" t="inlineStr">
        <is>
          <t>aucun (instant)</t>
        </is>
      </c>
      <c r="O37" s="19" t="n">
        <v>0</v>
      </c>
      <c r="P37" s="20" t="n">
        <v>46408</v>
      </c>
      <c r="Q37" s="20" t="n">
        <v>46408</v>
      </c>
      <c r="R37" s="20" t="n">
        <v>46436</v>
      </c>
      <c r="S37" s="19" t="inlineStr">
        <is>
          <t>instant:680 (50k);two_step:300 (25k);one_step:95 (10k);easy_5k:59</t>
        </is>
      </c>
    </row>
    <row r="38">
      <c r="A38" s="13" t="n">
        <v>37</v>
      </c>
      <c r="B38" s="13" t="inlineStr">
        <is>
          <t>B – À étapes</t>
        </is>
      </c>
      <c r="C38" s="13" t="inlineStr">
        <is>
          <t>BestProp4U</t>
        </is>
      </c>
      <c r="D38" s="13" t="inlineStr">
        <is>
          <t>CFD + Futures</t>
        </is>
      </c>
      <c r="E38" s="13" t="inlineStr">
        <is>
          <t>2 Step</t>
        </is>
      </c>
      <c r="F38" s="17" t="n">
        <v>400000</v>
      </c>
      <c r="G38" s="17" t="n">
        <v>2475</v>
      </c>
      <c r="H38" s="13" t="n">
        <v>2</v>
      </c>
      <c r="I38" s="17" t="n">
        <v>800000</v>
      </c>
      <c r="J38" s="17" t="n">
        <v>4950</v>
      </c>
      <c r="K38" s="13" t="n">
        <v>162</v>
      </c>
      <c r="L38" s="13" t="inlineStr">
        <is>
          <t>OUI</t>
        </is>
      </c>
      <c r="M38" s="27" t="n">
        <v>0.6</v>
      </c>
      <c r="N38" s="13" t="inlineStr">
        <is>
          <t>8% - 5%</t>
        </is>
      </c>
      <c r="O38" s="13" t="n">
        <v>1.5</v>
      </c>
      <c r="P38" s="14" t="n">
        <v>46408</v>
      </c>
      <c r="Q38" s="14" t="n">
        <v>46408</v>
      </c>
      <c r="R38" s="14" t="n">
        <v>46478</v>
      </c>
      <c r="S38" s="13" t="inlineStr">
        <is>
          <t>one_step:4050 (400k);two_step:2475 (400k);instant:unknown (190k cap);four_step_plus:unknown (1M futures) [review site TTP]</t>
        </is>
      </c>
    </row>
    <row r="39">
      <c r="A39" s="19" t="n">
        <v>38</v>
      </c>
      <c r="B39" s="19" t="inlineStr">
        <is>
          <t>B – À étapes</t>
        </is>
      </c>
      <c r="C39" s="19" t="inlineStr">
        <is>
          <t>Blink Funding</t>
        </is>
      </c>
      <c r="D39" s="19" t="inlineStr">
        <is>
          <t>CFD</t>
        </is>
      </c>
      <c r="E39" s="19" t="inlineStr">
        <is>
          <t>3 Step</t>
        </is>
      </c>
      <c r="F39" s="22" t="n">
        <v>500000</v>
      </c>
      <c r="G39" s="22" t="n">
        <v>1800</v>
      </c>
      <c r="H39" s="19" t="n">
        <v>2</v>
      </c>
      <c r="I39" s="22" t="n">
        <v>1000000</v>
      </c>
      <c r="J39" s="22" t="n">
        <v>3600</v>
      </c>
      <c r="K39" s="19" t="n">
        <v>278</v>
      </c>
      <c r="L39" s="19" t="inlineStr">
        <is>
          <t>OUI</t>
        </is>
      </c>
      <c r="M39" s="28" t="n">
        <v>0.75</v>
      </c>
      <c r="N39" s="19" t="inlineStr">
        <is>
          <t>5%-5%-5%</t>
        </is>
      </c>
      <c r="O39" s="19" t="n">
        <v>1.5</v>
      </c>
      <c r="P39" s="20" t="n">
        <v>46408</v>
      </c>
      <c r="Q39" s="20" t="n">
        <v>46408</v>
      </c>
      <c r="R39" s="20" t="n">
        <v>46478</v>
      </c>
      <c r="S39" s="19" t="inlineStr">
        <is>
          <t>one_step:4500 (500k);two_step:3000 (500k);three_step:1800 (500k); 1M price unknown</t>
        </is>
      </c>
    </row>
    <row r="40">
      <c r="A40" s="13" t="n">
        <v>39</v>
      </c>
      <c r="B40" s="13" t="inlineStr">
        <is>
          <t>B – À étapes</t>
        </is>
      </c>
      <c r="C40" s="13" t="inlineStr">
        <is>
          <t>Finotive Futures</t>
        </is>
      </c>
      <c r="D40" s="13" t="inlineStr">
        <is>
          <t>Futures</t>
        </is>
      </c>
      <c r="E40" s="13" t="inlineStr">
        <is>
          <t>1 Step</t>
        </is>
      </c>
      <c r="F40" s="17" t="n">
        <v>150000</v>
      </c>
      <c r="G40" s="17" t="n">
        <v>399</v>
      </c>
      <c r="H40" s="13" t="n">
        <v>6</v>
      </c>
      <c r="I40" s="17" t="n">
        <v>900000</v>
      </c>
      <c r="J40" s="17" t="n">
        <v>2394</v>
      </c>
      <c r="K40" s="13" t="n">
        <v>376</v>
      </c>
      <c r="L40" s="13" t="inlineStr">
        <is>
          <t>OUI</t>
        </is>
      </c>
      <c r="M40" s="27" t="n">
        <v>0.9</v>
      </c>
      <c r="N40" s="13" t="inlineStr">
        <is>
          <t>objectif par défaut (non renseigné)</t>
        </is>
      </c>
      <c r="O40" s="13" t="n">
        <v>1</v>
      </c>
      <c r="P40" s="14" t="n">
        <v>46408</v>
      </c>
      <c r="Q40" s="14" t="n">
        <v>46408</v>
      </c>
      <c r="R40" s="14" t="n">
        <v>46464</v>
      </c>
      <c r="S40" s="13" t="inlineStr">
        <is>
          <t>one_step:399 (150k); 100k=299</t>
        </is>
      </c>
    </row>
    <row r="41">
      <c r="A41" s="19" t="n">
        <v>40</v>
      </c>
      <c r="B41" s="19" t="inlineStr">
        <is>
          <t>B – À étapes</t>
        </is>
      </c>
      <c r="C41" s="19" t="inlineStr">
        <is>
          <t>Funded Trader Markets</t>
        </is>
      </c>
      <c r="D41" s="19" t="inlineStr">
        <is>
          <t>CFD</t>
        </is>
      </c>
      <c r="E41" s="19" t="inlineStr">
        <is>
          <t>1 Step</t>
        </is>
      </c>
      <c r="F41" s="22" t="n">
        <v>300000</v>
      </c>
      <c r="G41" s="22" t="n">
        <v>1622</v>
      </c>
      <c r="H41" s="19" t="n">
        <v>3</v>
      </c>
      <c r="I41" s="22" t="n">
        <v>900000</v>
      </c>
      <c r="J41" s="22" t="n">
        <v>4866</v>
      </c>
      <c r="K41" s="19" t="n">
        <v>185</v>
      </c>
      <c r="L41" s="19" t="inlineStr">
        <is>
          <t>OUI</t>
        </is>
      </c>
      <c r="M41" s="28" t="n">
        <v>0.9</v>
      </c>
      <c r="N41" s="19" t="inlineStr">
        <is>
          <t>6%</t>
        </is>
      </c>
      <c r="O41" s="19" t="n">
        <v>1</v>
      </c>
      <c r="P41" s="20" t="n">
        <v>46408</v>
      </c>
      <c r="Q41" s="20" t="n">
        <v>46408</v>
      </c>
      <c r="R41" s="20" t="n">
        <v>46464</v>
      </c>
      <c r="S41" s="19" t="inlineStr">
        <is>
          <t>one_step:1622 (Nitro 300k list);two_step:unknown (from 33);instant:unknown (from 47)</t>
        </is>
      </c>
    </row>
    <row r="42">
      <c r="A42" s="13" t="n">
        <v>41</v>
      </c>
      <c r="B42" s="13" t="inlineStr">
        <is>
          <t>B – À étapes</t>
        </is>
      </c>
      <c r="C42" s="13" t="inlineStr">
        <is>
          <t>Investiqa</t>
        </is>
      </c>
      <c r="D42" s="13" t="inlineStr">
        <is>
          <t>CFD</t>
        </is>
      </c>
      <c r="E42" s="13" t="inlineStr">
        <is>
          <t>2 Step</t>
        </is>
      </c>
      <c r="F42" s="17" t="n">
        <v>500000</v>
      </c>
      <c r="G42" s="17" t="n">
        <v>2520</v>
      </c>
      <c r="H42" s="13" t="n">
        <v>2</v>
      </c>
      <c r="I42" s="17" t="n">
        <v>1000000</v>
      </c>
      <c r="J42" s="17" t="n">
        <v>5040</v>
      </c>
      <c r="K42" s="13" t="n">
        <v>198</v>
      </c>
      <c r="L42" s="13" t="inlineStr">
        <is>
          <t>OUI</t>
        </is>
      </c>
      <c r="M42" s="27" t="n">
        <v>0.8</v>
      </c>
      <c r="N42" s="13" t="inlineStr">
        <is>
          <t>10% - 5%</t>
        </is>
      </c>
      <c r="O42" s="13" t="n">
        <v>1.5</v>
      </c>
      <c r="P42" s="14" t="n">
        <v>46408</v>
      </c>
      <c r="Q42" s="14" t="n">
        <v>46408</v>
      </c>
      <c r="R42" s="14" t="n">
        <v>46478</v>
      </c>
      <c r="S42" s="13" t="inlineStr">
        <is>
          <t>one_step:4463 (500k, TTP; official now lists max 400k);two_step:2520 (500k, TTP);instant/crypto/futures:unknown</t>
        </is>
      </c>
    </row>
    <row r="43">
      <c r="A43" s="19" t="n">
        <v>42</v>
      </c>
      <c r="B43" s="19" t="inlineStr">
        <is>
          <t>B – À étapes</t>
        </is>
      </c>
      <c r="C43" s="19" t="inlineStr">
        <is>
          <t>Kingdom Wealth Funding</t>
        </is>
      </c>
      <c r="D43" s="19" t="inlineStr">
        <is>
          <t>CFD</t>
        </is>
      </c>
      <c r="E43" s="19" t="inlineStr">
        <is>
          <t>1 Step</t>
        </is>
      </c>
      <c r="F43" s="22" t="n">
        <v>1000000</v>
      </c>
      <c r="G43" s="22" t="n">
        <v>8500</v>
      </c>
      <c r="H43" s="19" t="n">
        <v>1</v>
      </c>
      <c r="I43" s="22" t="n">
        <v>1000000</v>
      </c>
      <c r="J43" s="22" t="n">
        <v>8500</v>
      </c>
      <c r="K43" s="19" t="n">
        <v>118</v>
      </c>
      <c r="L43" s="19" t="inlineStr">
        <is>
          <t>OUI</t>
        </is>
      </c>
      <c r="M43" s="28" t="n">
        <v>0.8</v>
      </c>
      <c r="N43" s="19" t="inlineStr">
        <is>
          <t>10%</t>
        </is>
      </c>
      <c r="O43" s="19" t="n">
        <v>1</v>
      </c>
      <c r="P43" s="20" t="n">
        <v>46408</v>
      </c>
      <c r="Q43" s="20" t="n">
        <v>46408</v>
      </c>
      <c r="R43" s="20" t="n">
        <v>46464</v>
      </c>
      <c r="S43" s="19" t="inlineStr">
        <is>
          <t>one_step:8500 (1M) [official]</t>
        </is>
      </c>
    </row>
    <row r="44">
      <c r="A44" s="13" t="n">
        <v>43</v>
      </c>
      <c r="B44" s="13" t="inlineStr">
        <is>
          <t>B – À étapes</t>
        </is>
      </c>
      <c r="C44" s="13" t="inlineStr">
        <is>
          <t>Ment Funding</t>
        </is>
      </c>
      <c r="D44" s="13" t="inlineStr">
        <is>
          <t>CFD + Futures</t>
        </is>
      </c>
      <c r="E44" s="13" t="inlineStr">
        <is>
          <t>1 Step</t>
        </is>
      </c>
      <c r="F44" s="17" t="n">
        <v>1000000</v>
      </c>
      <c r="G44" s="17" t="n">
        <v>9750</v>
      </c>
      <c r="H44" s="13" t="n">
        <v>1</v>
      </c>
      <c r="I44" s="17" t="n">
        <v>1000000</v>
      </c>
      <c r="J44" s="17" t="n">
        <v>9750</v>
      </c>
      <c r="K44" s="13" t="n">
        <v>103</v>
      </c>
      <c r="L44" s="13" t="inlineStr">
        <is>
          <t>OUI</t>
        </is>
      </c>
      <c r="M44" s="27" t="n">
        <v>0.8</v>
      </c>
      <c r="N44" s="13" t="inlineStr">
        <is>
          <t>10%</t>
        </is>
      </c>
      <c r="O44" s="13" t="n">
        <v>1</v>
      </c>
      <c r="P44" s="14" t="n">
        <v>46408</v>
      </c>
      <c r="Q44" s="14" t="n">
        <v>46408</v>
      </c>
      <c r="R44" s="14" t="n">
        <v>46464</v>
      </c>
      <c r="S44" s="13" t="inlineStr">
        <is>
          <t>forex_one_step:9750 (1M, official homepage; TTP 10500, fundedtrading 8600); 400k: 3900 (TTP) / 3000 (fundedtrading); 2M: 17200 (fundedtrading)</t>
        </is>
      </c>
    </row>
    <row r="45">
      <c r="A45" s="19" t="n">
        <v>44</v>
      </c>
      <c r="B45" s="19" t="inlineStr">
        <is>
          <t>B – À étapes</t>
        </is>
      </c>
      <c r="C45" s="19" t="inlineStr">
        <is>
          <t>FXIFY</t>
        </is>
      </c>
      <c r="D45" s="19" t="inlineStr">
        <is>
          <t>CFD + Futures</t>
        </is>
      </c>
      <c r="E45" s="19" t="inlineStr">
        <is>
          <t>3 Step</t>
        </is>
      </c>
      <c r="F45" s="22" t="n">
        <v>400000</v>
      </c>
      <c r="G45" s="22" t="n">
        <v>1599</v>
      </c>
      <c r="H45" s="19" t="n">
        <v>2</v>
      </c>
      <c r="I45" s="22" t="n">
        <v>800000</v>
      </c>
      <c r="J45" s="22" t="n">
        <v>3198</v>
      </c>
      <c r="K45" s="19" t="n">
        <v>250</v>
      </c>
      <c r="L45" s="19" t="inlineStr">
        <is>
          <t>OUI</t>
        </is>
      </c>
      <c r="M45" s="28" t="n">
        <v>0.9</v>
      </c>
      <c r="N45" s="19" t="inlineStr">
        <is>
          <t>5%-5%-5%</t>
        </is>
      </c>
      <c r="O45" s="19" t="n">
        <v>1.5</v>
      </c>
      <c r="P45" s="20" t="n">
        <v>46408</v>
      </c>
      <c r="Q45" s="20" t="n">
        <v>46408</v>
      </c>
      <c r="R45" s="20" t="n">
        <v>46478</v>
      </c>
      <c r="S45" s="19" t="inlineStr">
        <is>
          <t>instant:4249 (100k);instant_lite:289 (25k);one_phase:2950 (400k per TTP / 200k per fundedtrading);two_phase:2950 (400k TTP);two_phase_pro:1350 (250k TTP);three_phase:1599 (400k TTP);lightning:399 (75-100k) [review sites; official pricing table not retrievable]</t>
        </is>
      </c>
    </row>
    <row r="46">
      <c r="A46" s="13" t="n">
        <v>45</v>
      </c>
      <c r="B46" s="13" t="inlineStr">
        <is>
          <t>B – À étapes</t>
        </is>
      </c>
      <c r="C46" s="13" t="inlineStr">
        <is>
          <t>Funded Squad</t>
        </is>
      </c>
      <c r="D46" s="13" t="inlineStr">
        <is>
          <t>CFD</t>
        </is>
      </c>
      <c r="E46" s="13" t="inlineStr">
        <is>
          <t>2 Step</t>
        </is>
      </c>
      <c r="F46" s="17" t="n">
        <v>200000</v>
      </c>
      <c r="G46" s="17" t="n">
        <v>1199</v>
      </c>
      <c r="H46" s="13" t="n">
        <v>4</v>
      </c>
      <c r="I46" s="17" t="n">
        <v>800000</v>
      </c>
      <c r="J46" s="17" t="n">
        <v>4796</v>
      </c>
      <c r="K46" s="13" t="n">
        <v>167</v>
      </c>
      <c r="L46" s="13" t="inlineStr">
        <is>
          <t>OUI</t>
        </is>
      </c>
      <c r="M46" s="27" t="n">
        <v>1</v>
      </c>
      <c r="N46" s="13" t="inlineStr">
        <is>
          <t>6% (+5 % par phase non renseignée)</t>
        </is>
      </c>
      <c r="O46" s="13" t="n">
        <v>1.5</v>
      </c>
      <c r="P46" s="14" t="n">
        <v>46408</v>
      </c>
      <c r="Q46" s="14" t="n">
        <v>46408</v>
      </c>
      <c r="R46" s="14" t="n">
        <v>46478</v>
      </c>
      <c r="S46" s="13" t="inlineStr">
        <is>
          <t>one_step:1219 (200k);two_step:1199 (200k);instant:unknown (max 50k per TTP) [review site TTP]</t>
        </is>
      </c>
    </row>
    <row r="47">
      <c r="A47" s="19" t="n">
        <v>46</v>
      </c>
      <c r="B47" s="19" t="inlineStr">
        <is>
          <t>B – À étapes</t>
        </is>
      </c>
      <c r="C47" s="19" t="inlineStr">
        <is>
          <t>Ment Funding Futures</t>
        </is>
      </c>
      <c r="D47" s="19" t="inlineStr">
        <is>
          <t>Futures</t>
        </is>
      </c>
      <c r="E47" s="19" t="inlineStr">
        <is>
          <t>1 Step</t>
        </is>
      </c>
      <c r="F47" s="22" t="n">
        <v>400000</v>
      </c>
      <c r="G47" s="22" t="n">
        <v>3900</v>
      </c>
      <c r="H47" s="19" t="n">
        <v>1</v>
      </c>
      <c r="I47" s="22" t="n">
        <v>400000</v>
      </c>
      <c r="J47" s="22" t="n">
        <v>3900</v>
      </c>
      <c r="K47" s="19" t="n">
        <v>103</v>
      </c>
      <c r="L47" s="19" t="inlineStr">
        <is>
          <t>OUI</t>
        </is>
      </c>
      <c r="M47" s="28" t="n">
        <v>0.8</v>
      </c>
      <c r="N47" s="19" t="inlineStr">
        <is>
          <t>objectif par défaut (non renseigné)</t>
        </is>
      </c>
      <c r="O47" s="19" t="n">
        <v>1</v>
      </c>
      <c r="P47" s="20" t="n">
        <v>46408</v>
      </c>
      <c r="Q47" s="20" t="n">
        <v>46408</v>
      </c>
      <c r="R47" s="20" t="n">
        <v>46464</v>
      </c>
      <c r="S47" s="19" t="inlineStr">
        <is>
          <t>futures_one_step:3900 (400k) [TTP; 200k 1800, 100k 900, 50k 540, 25k 300]</t>
        </is>
      </c>
    </row>
    <row r="48">
      <c r="A48" s="13" t="n">
        <v>47</v>
      </c>
      <c r="B48" s="13" t="inlineStr">
        <is>
          <t>B – À étapes</t>
        </is>
      </c>
      <c r="C48" s="13" t="inlineStr">
        <is>
          <t>10FOUR</t>
        </is>
      </c>
      <c r="D48" s="13" t="inlineStr">
        <is>
          <t>Futures</t>
        </is>
      </c>
      <c r="E48" s="13" t="inlineStr">
        <is>
          <t>1 Step</t>
        </is>
      </c>
      <c r="F48" s="17" t="n">
        <v>150000</v>
      </c>
      <c r="G48" s="17" t="n">
        <v>248.57</v>
      </c>
      <c r="H48" s="13" t="n">
        <v>5</v>
      </c>
      <c r="I48" s="17" t="n">
        <v>750000</v>
      </c>
      <c r="J48" s="17" t="n">
        <v>1243</v>
      </c>
      <c r="K48" s="13" t="n">
        <v>603</v>
      </c>
      <c r="L48" s="13" t="inlineStr">
        <is>
          <t>OUI</t>
        </is>
      </c>
      <c r="M48" s="27" t="n">
        <v>0.9</v>
      </c>
      <c r="N48" s="13" t="inlineStr">
        <is>
          <t>objectif par défaut (non renseigné)</t>
        </is>
      </c>
      <c r="O48" s="13" t="n">
        <v>1</v>
      </c>
      <c r="P48" s="14" t="n">
        <v>46408</v>
      </c>
      <c r="Q48" s="14" t="n">
        <v>46408</v>
      </c>
      <c r="R48" s="14" t="n">
        <v>46464</v>
      </c>
      <c r="S48" s="13" t="inlineStr">
        <is>
          <t>instant:590;one_step_daily_eval:258;one_step_1day_pass:248.57;static_eval_50k:349</t>
        </is>
      </c>
    </row>
    <row r="49">
      <c r="A49" s="19" t="n">
        <v>48</v>
      </c>
      <c r="B49" s="19" t="inlineStr">
        <is>
          <t>B – À étapes</t>
        </is>
      </c>
      <c r="C49" s="19" t="inlineStr">
        <is>
          <t>Blue Guardian Futures</t>
        </is>
      </c>
      <c r="D49" s="19" t="inlineStr">
        <is>
          <t>Futures</t>
        </is>
      </c>
      <c r="E49" s="19" t="inlineStr">
        <is>
          <t>1 Step</t>
        </is>
      </c>
      <c r="F49" s="22" t="n">
        <v>100000</v>
      </c>
      <c r="G49" s="22" t="n">
        <v>2200</v>
      </c>
      <c r="H49" s="19" t="n">
        <v>7</v>
      </c>
      <c r="I49" s="22" t="n">
        <v>700000</v>
      </c>
      <c r="J49" s="22" t="n">
        <v>15400</v>
      </c>
      <c r="K49" s="19" t="n">
        <v>45</v>
      </c>
      <c r="L49" s="19" t="inlineStr">
        <is>
          <t>OUI</t>
        </is>
      </c>
      <c r="M49" s="28" t="n">
        <v>0.9</v>
      </c>
      <c r="N49" s="19" t="inlineStr">
        <is>
          <t>objectif par défaut (non renseigné)</t>
        </is>
      </c>
      <c r="O49" s="19" t="n">
        <v>1</v>
      </c>
      <c r="P49" s="20" t="n">
        <v>46408</v>
      </c>
      <c r="Q49" s="20" t="n">
        <v>46408</v>
      </c>
      <c r="R49" s="20" t="n">
        <v>46464</v>
      </c>
      <c r="S49" s="19" t="inlineStr">
        <is>
          <t>instant:2200 (400k);one_step:2200 (std)/1712 (nano) (400k);two_step:2200 (std)/1712 (nano) (400k)</t>
        </is>
      </c>
    </row>
    <row r="50">
      <c r="A50" s="13" t="n">
        <v>49</v>
      </c>
      <c r="B50" s="13" t="inlineStr">
        <is>
          <t>B – À étapes</t>
        </is>
      </c>
      <c r="C50" s="13" t="inlineStr">
        <is>
          <t>FunderPro Futures</t>
        </is>
      </c>
      <c r="D50" s="13" t="inlineStr">
        <is>
          <t>Futures</t>
        </is>
      </c>
      <c r="E50" s="13" t="inlineStr">
        <is>
          <t>1 Step</t>
        </is>
      </c>
      <c r="F50" s="17" t="n">
        <v>150000</v>
      </c>
      <c r="G50" s="17" t="n">
        <v>219</v>
      </c>
      <c r="H50" s="13" t="n">
        <v>5</v>
      </c>
      <c r="I50" s="17" t="n">
        <v>750000</v>
      </c>
      <c r="J50" s="17" t="n">
        <v>1095</v>
      </c>
      <c r="K50" s="13" t="n">
        <v>685</v>
      </c>
      <c r="L50" s="13" t="inlineStr">
        <is>
          <t>OUI</t>
        </is>
      </c>
      <c r="M50" s="27" t="n">
        <v>0.6</v>
      </c>
      <c r="N50" s="13" t="inlineStr">
        <is>
          <t>objectif par défaut (non renseigné)</t>
        </is>
      </c>
      <c r="O50" s="13" t="n">
        <v>1</v>
      </c>
      <c r="P50" s="14" t="n">
        <v>46352</v>
      </c>
      <c r="Q50" s="14" t="n">
        <v>46408</v>
      </c>
      <c r="R50" s="14" t="n">
        <v>46408</v>
      </c>
      <c r="S50" s="13" t="inlineStr">
        <is>
          <t>(abonnement mensuel pendant l'évaluation) one_step:219/month (150k) [official]</t>
        </is>
      </c>
    </row>
    <row r="51">
      <c r="A51" s="19" t="n">
        <v>50</v>
      </c>
      <c r="B51" s="19" t="inlineStr">
        <is>
          <t>B – À étapes</t>
        </is>
      </c>
      <c r="C51" s="19" t="inlineStr">
        <is>
          <t>LifeUp Trading</t>
        </is>
      </c>
      <c r="D51" s="19" t="inlineStr">
        <is>
          <t>Futures</t>
        </is>
      </c>
      <c r="E51" s="19" t="inlineStr">
        <is>
          <t>1 Step</t>
        </is>
      </c>
      <c r="F51" s="22" t="n">
        <v>150000</v>
      </c>
      <c r="G51" s="22" t="n">
        <v>320000</v>
      </c>
      <c r="H51" s="19" t="n">
        <v>5</v>
      </c>
      <c r="I51" s="22" t="n">
        <v>750000</v>
      </c>
      <c r="J51" s="22" t="n">
        <v>1600000</v>
      </c>
      <c r="K51" s="19" t="n">
        <v>0</v>
      </c>
      <c r="L51" s="19" t="inlineStr">
        <is>
          <t>OUI</t>
        </is>
      </c>
      <c r="M51" s="28" t="n">
        <v>0.8</v>
      </c>
      <c r="N51" s="19" t="inlineStr">
        <is>
          <t>objectif par défaut (non renseigné)</t>
        </is>
      </c>
      <c r="O51" s="19" t="n">
        <v>1</v>
      </c>
      <c r="P51" s="20" t="n">
        <v>46436</v>
      </c>
      <c r="Q51" s="20" t="n">
        <v>46464</v>
      </c>
      <c r="R51" s="20" t="n">
        <v>46492</v>
      </c>
      <c r="S51" s="19" t="inlineStr">
        <is>
          <t>basic_one_step:320000 KRW (150k, ~230 USD);expert_one_step:740000 KRW (150k, ~530 USD) [official; KRW]</t>
        </is>
      </c>
    </row>
    <row r="52">
      <c r="A52" s="13" t="n">
        <v>51</v>
      </c>
      <c r="B52" s="13" t="inlineStr">
        <is>
          <t>B – À étapes</t>
        </is>
      </c>
      <c r="C52" s="13" t="inlineStr">
        <is>
          <t>Fintokei</t>
        </is>
      </c>
      <c r="D52" s="13" t="inlineStr">
        <is>
          <t>CFD</t>
        </is>
      </c>
      <c r="E52" s="13" t="inlineStr">
        <is>
          <t>3 Step</t>
        </is>
      </c>
      <c r="F52" s="17" t="n">
        <v>100000</v>
      </c>
      <c r="G52" s="17" t="n">
        <v>419</v>
      </c>
      <c r="H52" s="13" t="n">
        <v>7</v>
      </c>
      <c r="I52" s="17" t="n">
        <v>700000</v>
      </c>
      <c r="J52" s="17" t="n">
        <v>2933</v>
      </c>
      <c r="K52" s="13" t="n">
        <v>239</v>
      </c>
      <c r="L52" s="13" t="inlineStr">
        <is>
          <t>OUI</t>
        </is>
      </c>
      <c r="M52" s="27" t="n">
        <v>1</v>
      </c>
      <c r="N52" s="13" t="inlineStr">
        <is>
          <t>2%-3%-6%</t>
        </is>
      </c>
      <c r="O52" s="13" t="n">
        <v>1.5</v>
      </c>
      <c r="P52" s="14" t="n">
        <v>46408</v>
      </c>
      <c r="Q52" s="14" t="n">
        <v>46408</v>
      </c>
      <c r="R52" s="14" t="n">
        <v>46478</v>
      </c>
      <c r="S52" s="13" t="inlineStr">
        <is>
          <t>three_step:419 (StartTrader 100k, TTP);one_step:unknown (SwiftTrader 200k);two_step:2399 (ProTrader 400k, TTP)</t>
        </is>
      </c>
    </row>
    <row r="53">
      <c r="A53" s="19" t="n">
        <v>52</v>
      </c>
      <c r="B53" s="19" t="inlineStr">
        <is>
          <t>B – À étapes</t>
        </is>
      </c>
      <c r="C53" s="19" t="inlineStr">
        <is>
          <t>DNA Funded</t>
        </is>
      </c>
      <c r="D53" s="19" t="inlineStr">
        <is>
          <t>CFD</t>
        </is>
      </c>
      <c r="E53" s="19" t="inlineStr">
        <is>
          <t>2 Step</t>
        </is>
      </c>
      <c r="F53" s="22" t="n">
        <v>200000</v>
      </c>
      <c r="G53" s="22" t="n">
        <v>1079</v>
      </c>
      <c r="H53" s="19" t="n">
        <v>3</v>
      </c>
      <c r="I53" s="22" t="n">
        <v>600000</v>
      </c>
      <c r="J53" s="22" t="n">
        <v>3237</v>
      </c>
      <c r="K53" s="19" t="n">
        <v>185</v>
      </c>
      <c r="L53" s="19" t="inlineStr">
        <is>
          <t>OUI</t>
        </is>
      </c>
      <c r="M53" s="28" t="n">
        <v>0.9</v>
      </c>
      <c r="N53" s="19" t="inlineStr">
        <is>
          <t>8% - 5%</t>
        </is>
      </c>
      <c r="O53" s="19" t="n">
        <v>1.5</v>
      </c>
      <c r="P53" s="20" t="n">
        <v>46408</v>
      </c>
      <c r="Q53" s="20" t="n">
        <v>46408</v>
      </c>
      <c r="R53" s="20" t="n">
        <v>46478</v>
      </c>
      <c r="S53" s="19" t="inlineStr">
        <is>
          <t>instant:979 (100k);one_step:1209 (200k);two_step:1079 (200k);rapid:549 (100k) [review site TTP]</t>
        </is>
      </c>
    </row>
    <row r="54">
      <c r="A54" s="13" t="n">
        <v>53</v>
      </c>
      <c r="B54" s="13" t="inlineStr">
        <is>
          <t>B – À étapes</t>
        </is>
      </c>
      <c r="C54" s="13" t="inlineStr">
        <is>
          <t>Eightcap Challenges</t>
        </is>
      </c>
      <c r="D54" s="13" t="inlineStr">
        <is>
          <t>CFD</t>
        </is>
      </c>
      <c r="E54" s="13" t="inlineStr">
        <is>
          <t>2 Step</t>
        </is>
      </c>
      <c r="F54" s="17" t="n">
        <v>200000</v>
      </c>
      <c r="G54" s="17" t="n">
        <v>1199</v>
      </c>
      <c r="H54" s="13" t="n">
        <v>3</v>
      </c>
      <c r="I54" s="17" t="n">
        <v>600000</v>
      </c>
      <c r="J54" s="17" t="n">
        <v>3597</v>
      </c>
      <c r="K54" s="13" t="n">
        <v>167</v>
      </c>
      <c r="L54" s="13" t="inlineStr">
        <is>
          <t>OUI</t>
        </is>
      </c>
      <c r="M54" s="27" t="n">
        <v>0.8</v>
      </c>
      <c r="N54" s="13" t="inlineStr">
        <is>
          <t>10% (+5 % par phase non renseignée)</t>
        </is>
      </c>
      <c r="O54" s="13" t="n">
        <v>1.5</v>
      </c>
      <c r="P54" s="14" t="n">
        <v>46408</v>
      </c>
      <c r="Q54" s="14" t="n">
        <v>46408</v>
      </c>
      <c r="R54" s="14" t="n">
        <v>46478</v>
      </c>
      <c r="S54" s="13" t="inlineStr">
        <is>
          <t>one_step:1299 (200k);two_step:1199 (200k) [review site TTP]</t>
        </is>
      </c>
    </row>
    <row r="55">
      <c r="A55" s="19" t="n">
        <v>54</v>
      </c>
      <c r="B55" s="19" t="inlineStr">
        <is>
          <t>B – À étapes</t>
        </is>
      </c>
      <c r="C55" s="19" t="inlineStr">
        <is>
          <t>Capitalize</t>
        </is>
      </c>
      <c r="D55" s="19" t="inlineStr">
        <is>
          <t>CFD</t>
        </is>
      </c>
      <c r="E55" s="19" t="inlineStr">
        <is>
          <t>1 Step</t>
        </is>
      </c>
      <c r="F55" s="22" t="n">
        <v>500000</v>
      </c>
      <c r="G55" s="22" t="n">
        <v>4999</v>
      </c>
      <c r="H55" s="19" t="n">
        <v>1</v>
      </c>
      <c r="I55" s="22" t="n">
        <v>500000</v>
      </c>
      <c r="J55" s="22" t="n">
        <v>4999</v>
      </c>
      <c r="K55" s="19" t="n">
        <v>100</v>
      </c>
      <c r="L55" s="19" t="inlineStr">
        <is>
          <t>sous conditions / un seul compte</t>
        </is>
      </c>
      <c r="M55" s="28" t="n">
        <v>0.8</v>
      </c>
      <c r="N55" s="19" t="inlineStr">
        <is>
          <t>10%</t>
        </is>
      </c>
      <c r="O55" s="19" t="n">
        <v>1</v>
      </c>
      <c r="P55" s="20" t="n">
        <v>46408</v>
      </c>
      <c r="Q55" s="20" t="n">
        <v>46408</v>
      </c>
      <c r="R55" s="20" t="n">
        <v>46464</v>
      </c>
      <c r="S55" s="19" t="inlineStr">
        <is>
          <t>one_step:4999 (500k) [review site TTP]</t>
        </is>
      </c>
    </row>
    <row r="56">
      <c r="A56" s="13" t="n">
        <v>55</v>
      </c>
      <c r="B56" s="13" t="inlineStr">
        <is>
          <t>B – À étapes</t>
        </is>
      </c>
      <c r="C56" s="13" t="inlineStr">
        <is>
          <t>E8 Markets</t>
        </is>
      </c>
      <c r="D56" s="13" t="inlineStr">
        <is>
          <t>CFD</t>
        </is>
      </c>
      <c r="E56" s="13" t="inlineStr">
        <is>
          <t>2 Step</t>
        </is>
      </c>
      <c r="F56" s="17" t="n">
        <v>150000</v>
      </c>
      <c r="G56" s="17" t="n">
        <v>390</v>
      </c>
      <c r="H56" s="13" t="n">
        <v>3</v>
      </c>
      <c r="I56" s="17" t="n">
        <v>450000</v>
      </c>
      <c r="J56" s="17" t="n">
        <v>1170</v>
      </c>
      <c r="K56" s="13" t="n">
        <v>385</v>
      </c>
      <c r="L56" s="13" t="inlineStr">
        <is>
          <t>OUI</t>
        </is>
      </c>
      <c r="M56" s="27" t="n">
        <v>0.8</v>
      </c>
      <c r="N56" s="13" t="inlineStr">
        <is>
          <t>6% (+5 % par phase non renseignée)</t>
        </is>
      </c>
      <c r="O56" s="13" t="n">
        <v>1.5</v>
      </c>
      <c r="P56" s="14" t="n">
        <v>46408</v>
      </c>
      <c r="Q56" s="14" t="n">
        <v>46408</v>
      </c>
      <c r="R56" s="14" t="n">
        <v>46478</v>
      </c>
      <c r="S56" s="13" t="inlineStr">
        <is>
          <t>one_step:1998 (E8 One 500k list);two_step:390 (Signature 150k, TTP)</t>
        </is>
      </c>
    </row>
    <row r="57">
      <c r="A57" s="19" t="n">
        <v>56</v>
      </c>
      <c r="B57" s="19" t="inlineStr">
        <is>
          <t>B – À étapes</t>
        </is>
      </c>
      <c r="C57" s="19" t="inlineStr">
        <is>
          <t>Hola Prime</t>
        </is>
      </c>
      <c r="D57" s="19" t="inlineStr">
        <is>
          <t>CFD + Futures</t>
        </is>
      </c>
      <c r="E57" s="19" t="inlineStr">
        <is>
          <t>1 Step</t>
        </is>
      </c>
      <c r="F57" s="22" t="n">
        <v>150000</v>
      </c>
      <c r="G57" s="22" t="n">
        <v>359</v>
      </c>
      <c r="H57" s="19" t="n">
        <v>3</v>
      </c>
      <c r="I57" s="22" t="n">
        <v>450000</v>
      </c>
      <c r="J57" s="22" t="n">
        <v>1077</v>
      </c>
      <c r="K57" s="19" t="n">
        <v>418</v>
      </c>
      <c r="L57" s="19" t="inlineStr">
        <is>
          <t>OUI</t>
        </is>
      </c>
      <c r="M57" s="28" t="n">
        <v>0.8</v>
      </c>
      <c r="N57" s="19" t="inlineStr">
        <is>
          <t>6%</t>
        </is>
      </c>
      <c r="O57" s="19" t="n">
        <v>1</v>
      </c>
      <c r="P57" s="20" t="n">
        <v>46408</v>
      </c>
      <c r="Q57" s="20" t="n">
        <v>46408</v>
      </c>
      <c r="R57" s="20" t="n">
        <v>46464</v>
      </c>
      <c r="S57" s="19" t="inlineStr">
        <is>
          <t>direct_instant:2399 (300k, fundedtrading, discounted);one_step_prime:1599 (300k);two_step_prime:1079 (300k);two_step_pro:unknown (300k);futures_one_step:359 (150k, TTP) [review sites; official plans page dynamic]</t>
        </is>
      </c>
    </row>
    <row r="58">
      <c r="A58" s="13" t="n">
        <v>57</v>
      </c>
      <c r="B58" s="13" t="inlineStr">
        <is>
          <t>B – À étapes</t>
        </is>
      </c>
      <c r="C58" s="13" t="inlineStr">
        <is>
          <t>IC Funded</t>
        </is>
      </c>
      <c r="D58" s="13" t="inlineStr">
        <is>
          <t>CFD</t>
        </is>
      </c>
      <c r="E58" s="13" t="inlineStr">
        <is>
          <t>2 Step</t>
        </is>
      </c>
      <c r="F58" s="17" t="n">
        <v>500000</v>
      </c>
      <c r="G58" s="17" t="n">
        <v>2999</v>
      </c>
      <c r="H58" s="13" t="n">
        <v>1</v>
      </c>
      <c r="I58" s="17" t="n">
        <v>500000</v>
      </c>
      <c r="J58" s="17" t="n">
        <v>2999</v>
      </c>
      <c r="K58" s="13" t="n">
        <v>167</v>
      </c>
      <c r="L58" s="13" t="inlineStr">
        <is>
          <t>sous conditions / un seul compte</t>
        </is>
      </c>
      <c r="M58" s="27" t="n">
        <v>0.9</v>
      </c>
      <c r="N58" s="13" t="inlineStr">
        <is>
          <t>10%-5%</t>
        </is>
      </c>
      <c r="O58" s="13" t="n">
        <v>1.5</v>
      </c>
      <c r="P58" s="14" t="n">
        <v>46408</v>
      </c>
      <c r="Q58" s="14" t="n">
        <v>46408</v>
      </c>
      <c r="R58" s="14" t="n">
        <v>46478</v>
      </c>
      <c r="S58" s="13" t="inlineStr">
        <is>
          <t>two_step:2999 (500k);one_step:809 (100k);instant:coming soon [fundedtrading]</t>
        </is>
      </c>
    </row>
    <row r="59">
      <c r="A59" s="19" t="n">
        <v>58</v>
      </c>
      <c r="B59" s="19" t="inlineStr">
        <is>
          <t>B – À étapes</t>
        </is>
      </c>
      <c r="C59" s="19" t="inlineStr">
        <is>
          <t>Blueberry Futures</t>
        </is>
      </c>
      <c r="D59" s="19" t="inlineStr">
        <is>
          <t>Futures</t>
        </is>
      </c>
      <c r="E59" s="19" t="inlineStr">
        <is>
          <t>1 Step</t>
        </is>
      </c>
      <c r="F59" s="22" t="n">
        <v>150000</v>
      </c>
      <c r="G59" s="22" t="n">
        <v>454</v>
      </c>
      <c r="H59" s="19" t="n">
        <v>3</v>
      </c>
      <c r="I59" s="22" t="n">
        <v>450000</v>
      </c>
      <c r="J59" s="22" t="n">
        <v>1362</v>
      </c>
      <c r="K59" s="19" t="n">
        <v>330</v>
      </c>
      <c r="L59" s="19" t="inlineStr">
        <is>
          <t>OUI</t>
        </is>
      </c>
      <c r="M59" s="28" t="n">
        <v>0.9</v>
      </c>
      <c r="N59" s="19" t="inlineStr">
        <is>
          <t>6% – 6.7%</t>
        </is>
      </c>
      <c r="O59" s="19" t="n">
        <v>1.5</v>
      </c>
      <c r="P59" s="20" t="n">
        <v>46408</v>
      </c>
      <c r="Q59" s="20" t="n">
        <v>46408</v>
      </c>
      <c r="R59" s="20" t="n">
        <v>46478</v>
      </c>
      <c r="S59" s="19" t="inlineStr">
        <is>
          <t>(abonnement mensuel pendant l'évaluation) one_step_ascent:607/month (150k list);one_step_accelerated:454/month (150k list) [propfirmmatch fallback]</t>
        </is>
      </c>
    </row>
    <row r="60">
      <c r="A60" s="13" t="n">
        <v>59</v>
      </c>
      <c r="B60" s="13" t="inlineStr">
        <is>
          <t>B – À étapes</t>
        </is>
      </c>
      <c r="C60" s="13" t="inlineStr">
        <is>
          <t>FTMO Futures</t>
        </is>
      </c>
      <c r="D60" s="13" t="inlineStr">
        <is>
          <t>Futures</t>
        </is>
      </c>
      <c r="E60" s="13" t="inlineStr">
        <is>
          <t>1 Step</t>
        </is>
      </c>
      <c r="F60" s="17" t="n">
        <v>150000</v>
      </c>
      <c r="G60" s="17" t="n">
        <v>229</v>
      </c>
      <c r="H60" s="13" t="n">
        <v>3</v>
      </c>
      <c r="I60" s="17" t="n">
        <v>450000</v>
      </c>
      <c r="J60" s="17" t="n">
        <v>687</v>
      </c>
      <c r="K60" s="13" t="n">
        <v>655</v>
      </c>
      <c r="L60" s="13" t="inlineStr">
        <is>
          <t>OUI</t>
        </is>
      </c>
      <c r="M60" s="27" t="n">
        <v>0.9</v>
      </c>
      <c r="N60" s="13" t="inlineStr">
        <is>
          <t>6%</t>
        </is>
      </c>
      <c r="O60" s="13" t="n">
        <v>1</v>
      </c>
      <c r="P60" s="14" t="n">
        <v>46408</v>
      </c>
      <c r="Q60" s="14" t="n">
        <v>46408</v>
      </c>
      <c r="R60" s="14" t="n">
        <v>46464</v>
      </c>
      <c r="S60" s="13" t="inlineStr">
        <is>
          <t>(abonnement mensuel pendant l'évaluation) one_step:229/month (Growth 150k)</t>
        </is>
      </c>
    </row>
    <row r="61">
      <c r="A61" s="19" t="n">
        <v>60</v>
      </c>
      <c r="B61" s="19" t="inlineStr">
        <is>
          <t>B – À étapes</t>
        </is>
      </c>
      <c r="C61" s="19" t="inlineStr">
        <is>
          <t>Halcyon Trader Funding</t>
        </is>
      </c>
      <c r="D61" s="19" t="inlineStr">
        <is>
          <t>CFD + Futures</t>
        </is>
      </c>
      <c r="E61" s="19" t="inlineStr">
        <is>
          <t>1 Step</t>
        </is>
      </c>
      <c r="F61" s="22" t="n">
        <v>150000</v>
      </c>
      <c r="G61" s="22" t="n">
        <v>157</v>
      </c>
      <c r="H61" s="19" t="n">
        <v>3</v>
      </c>
      <c r="I61" s="22" t="n">
        <v>450000</v>
      </c>
      <c r="J61" s="22" t="n">
        <v>471</v>
      </c>
      <c r="K61" s="19" t="n">
        <v>955</v>
      </c>
      <c r="L61" s="19" t="inlineStr">
        <is>
          <t>OUI</t>
        </is>
      </c>
      <c r="M61" s="28" t="n">
        <v>0.9</v>
      </c>
      <c r="N61" s="19" t="inlineStr">
        <is>
          <t>6%</t>
        </is>
      </c>
      <c r="O61" s="19" t="n">
        <v>1</v>
      </c>
      <c r="P61" s="20" t="n">
        <v>46408</v>
      </c>
      <c r="Q61" s="20" t="n">
        <v>46408</v>
      </c>
      <c r="R61" s="20" t="n">
        <v>46464</v>
      </c>
      <c r="S61" s="19" t="inlineStr">
        <is>
          <t>prime_one_step:177 (150k);lite_one_step:157 (150k) [TTP; propfirmmap: 83 eval + 163 activation]</t>
        </is>
      </c>
    </row>
    <row r="62">
      <c r="A62" s="13" t="n">
        <v>61</v>
      </c>
      <c r="B62" s="13" t="inlineStr">
        <is>
          <t>B – À étapes</t>
        </is>
      </c>
      <c r="C62" s="13" t="inlineStr">
        <is>
          <t>Astrofund</t>
        </is>
      </c>
      <c r="D62" s="13" t="inlineStr">
        <is>
          <t>Futures</t>
        </is>
      </c>
      <c r="E62" s="13" t="inlineStr">
        <is>
          <t>1 Step</t>
        </is>
      </c>
      <c r="F62" s="17" t="n">
        <v>100000</v>
      </c>
      <c r="G62" s="17" t="n">
        <v>239</v>
      </c>
      <c r="H62" s="13" t="n">
        <v>4</v>
      </c>
      <c r="I62" s="17" t="n">
        <v>400000</v>
      </c>
      <c r="J62" s="17" t="n">
        <v>956</v>
      </c>
      <c r="K62" s="13" t="n">
        <v>418</v>
      </c>
      <c r="L62" s="13" t="inlineStr">
        <is>
          <t>OUI</t>
        </is>
      </c>
      <c r="M62" s="27" t="n">
        <v>0.9</v>
      </c>
      <c r="N62" s="13" t="inlineStr">
        <is>
          <t>objectif par défaut (non renseigné)</t>
        </is>
      </c>
      <c r="O62" s="13" t="n">
        <v>1</v>
      </c>
      <c r="P62" s="14" t="n">
        <v>46408</v>
      </c>
      <c r="Q62" s="14" t="n">
        <v>46408</v>
      </c>
      <c r="R62" s="14" t="n">
        <v>46464</v>
      </c>
      <c r="S62" s="13" t="inlineStr">
        <is>
          <t>one_step:239 (100k list);instant:449 (direct 100k, range 187-449)</t>
        </is>
      </c>
    </row>
    <row r="63">
      <c r="A63" s="19" t="n">
        <v>62</v>
      </c>
      <c r="B63" s="19" t="inlineStr">
        <is>
          <t>B – À étapes</t>
        </is>
      </c>
      <c r="C63" s="19" t="inlineStr">
        <is>
          <t>BrightFunded</t>
        </is>
      </c>
      <c r="D63" s="19" t="inlineStr">
        <is>
          <t>CFD</t>
        </is>
      </c>
      <c r="E63" s="19" t="inlineStr">
        <is>
          <t>1 Step</t>
        </is>
      </c>
      <c r="F63" s="22" t="n">
        <v>200000</v>
      </c>
      <c r="G63" s="22" t="n">
        <v>1032</v>
      </c>
      <c r="H63" s="19" t="n">
        <v>2</v>
      </c>
      <c r="I63" s="22" t="n">
        <v>400000</v>
      </c>
      <c r="J63" s="22" t="n">
        <v>2064</v>
      </c>
      <c r="K63" s="19" t="n">
        <v>194</v>
      </c>
      <c r="L63" s="19" t="inlineStr">
        <is>
          <t>OUI</t>
        </is>
      </c>
      <c r="M63" s="28" t="n">
        <v>1</v>
      </c>
      <c r="N63" s="19" t="inlineStr">
        <is>
          <t>10%</t>
        </is>
      </c>
      <c r="O63" s="19" t="n">
        <v>1</v>
      </c>
      <c r="P63" s="20" t="n">
        <v>46408</v>
      </c>
      <c r="Q63" s="20" t="n">
        <v>46408</v>
      </c>
      <c r="R63" s="20" t="n">
        <v>46464</v>
      </c>
      <c r="S63" s="19" t="inlineStr">
        <is>
          <t>one_step:1032 (EUR947 list, 200k);two_step:1032 (EUR947 list, 200k)</t>
        </is>
      </c>
    </row>
    <row r="64">
      <c r="A64" s="13" t="n">
        <v>63</v>
      </c>
      <c r="B64" s="13" t="inlineStr">
        <is>
          <t>B – À étapes</t>
        </is>
      </c>
      <c r="C64" s="13" t="inlineStr">
        <is>
          <t>Direct Funded Trader</t>
        </is>
      </c>
      <c r="D64" s="13" t="inlineStr">
        <is>
          <t>CFD</t>
        </is>
      </c>
      <c r="E64" s="13" t="inlineStr">
        <is>
          <t>2 Step</t>
        </is>
      </c>
      <c r="F64" s="17" t="n">
        <v>200000</v>
      </c>
      <c r="G64" s="17" t="n">
        <v>979</v>
      </c>
      <c r="H64" s="13" t="n">
        <v>2</v>
      </c>
      <c r="I64" s="17" t="n">
        <v>400000</v>
      </c>
      <c r="J64" s="17" t="n">
        <v>1958</v>
      </c>
      <c r="K64" s="13" t="n">
        <v>204</v>
      </c>
      <c r="L64" s="13" t="inlineStr">
        <is>
          <t>OUI</t>
        </is>
      </c>
      <c r="M64" s="27" t="n">
        <v>0.8</v>
      </c>
      <c r="N64" s="13" t="inlineStr">
        <is>
          <t>8%-5%</t>
        </is>
      </c>
      <c r="O64" s="13" t="n">
        <v>1.5</v>
      </c>
      <c r="P64" s="14" t="n">
        <v>46408</v>
      </c>
      <c r="Q64" s="14" t="n">
        <v>46408</v>
      </c>
      <c r="R64" s="14" t="n">
        <v>46478</v>
      </c>
      <c r="S64" s="13" t="inlineStr">
        <is>
          <t>two_step:979 (Evaluation 200k, TTP list);one_step:590 (Fast Funding 100k);instant:unknown</t>
        </is>
      </c>
    </row>
    <row r="65">
      <c r="A65" s="19" t="n">
        <v>64</v>
      </c>
      <c r="B65" s="19" t="inlineStr">
        <is>
          <t>B – À étapes</t>
        </is>
      </c>
      <c r="C65" s="19" t="inlineStr">
        <is>
          <t>FTMO</t>
        </is>
      </c>
      <c r="D65" s="19" t="inlineStr">
        <is>
          <t>CFD + Futures</t>
        </is>
      </c>
      <c r="E65" s="19" t="inlineStr">
        <is>
          <t>1 Step</t>
        </is>
      </c>
      <c r="F65" s="22" t="n">
        <v>200000</v>
      </c>
      <c r="G65" s="22" t="n">
        <v>1177</v>
      </c>
      <c r="H65" s="19" t="n">
        <v>2</v>
      </c>
      <c r="I65" s="22" t="n">
        <v>400000</v>
      </c>
      <c r="J65" s="22" t="n">
        <v>2354</v>
      </c>
      <c r="K65" s="19" t="n">
        <v>170</v>
      </c>
      <c r="L65" s="19" t="inlineStr">
        <is>
          <t>OUI</t>
        </is>
      </c>
      <c r="M65" s="28" t="n">
        <v>0.8</v>
      </c>
      <c r="N65" s="19" t="inlineStr">
        <is>
          <t>10%</t>
        </is>
      </c>
      <c r="O65" s="19" t="n">
        <v>1</v>
      </c>
      <c r="P65" s="20" t="n">
        <v>46408</v>
      </c>
      <c r="Q65" s="20" t="n">
        <v>46408</v>
      </c>
      <c r="R65" s="20" t="n">
        <v>46464</v>
      </c>
      <c r="S65" s="19" t="inlineStr">
        <is>
          <t>one_step:1177 (EUR1080, 200k);two_step:1177 (EUR1080, 200k)</t>
        </is>
      </c>
    </row>
    <row r="66">
      <c r="A66" s="13" t="n">
        <v>65</v>
      </c>
      <c r="B66" s="13" t="inlineStr">
        <is>
          <t>B – À étapes</t>
        </is>
      </c>
      <c r="C66" s="13" t="inlineStr">
        <is>
          <t>Funded X</t>
        </is>
      </c>
      <c r="D66" s="13" t="inlineStr">
        <is>
          <t>CFD</t>
        </is>
      </c>
      <c r="E66" s="13" t="inlineStr">
        <is>
          <t>1 Step</t>
        </is>
      </c>
      <c r="F66" s="17" t="n">
        <v>200000</v>
      </c>
      <c r="G66" s="17" t="n">
        <v>989</v>
      </c>
      <c r="H66" s="13" t="n">
        <v>2</v>
      </c>
      <c r="I66" s="17" t="n">
        <v>400000</v>
      </c>
      <c r="J66" s="17" t="n">
        <v>1978</v>
      </c>
      <c r="K66" s="13" t="n">
        <v>202</v>
      </c>
      <c r="L66" s="13" t="inlineStr">
        <is>
          <t>OUI</t>
        </is>
      </c>
      <c r="M66" s="27" t="n">
        <v>1</v>
      </c>
      <c r="N66" s="13" t="inlineStr">
        <is>
          <t>10%</t>
        </is>
      </c>
      <c r="O66" s="13" t="n">
        <v>1</v>
      </c>
      <c r="P66" s="14" t="n">
        <v>46408</v>
      </c>
      <c r="Q66" s="14" t="n">
        <v>46408</v>
      </c>
      <c r="R66" s="14" t="n">
        <v>46464</v>
      </c>
      <c r="S66" s="13" t="inlineStr">
        <is>
          <t>one_step:989 (200k);two_step:989 (200k);instant:unknown [review site TTP]</t>
        </is>
      </c>
    </row>
    <row r="67">
      <c r="A67" s="19" t="n">
        <v>66</v>
      </c>
      <c r="B67" s="19" t="inlineStr">
        <is>
          <t>B – À étapes</t>
        </is>
      </c>
      <c r="C67" s="19" t="inlineStr">
        <is>
          <t>Fundora</t>
        </is>
      </c>
      <c r="D67" s="19" t="inlineStr">
        <is>
          <t>CFD</t>
        </is>
      </c>
      <c r="E67" s="19" t="inlineStr">
        <is>
          <t>2 Step</t>
        </is>
      </c>
      <c r="F67" s="22" t="n">
        <v>400000</v>
      </c>
      <c r="G67" s="22" t="n">
        <v>2133</v>
      </c>
      <c r="H67" s="19" t="n">
        <v>1</v>
      </c>
      <c r="I67" s="22" t="n">
        <v>400000</v>
      </c>
      <c r="J67" s="22" t="n">
        <v>2133</v>
      </c>
      <c r="K67" s="19" t="n">
        <v>188</v>
      </c>
      <c r="L67" s="19" t="inlineStr">
        <is>
          <t>sous conditions / un seul compte</t>
        </is>
      </c>
      <c r="M67" s="28" t="n">
        <v>0.8</v>
      </c>
      <c r="N67" s="19" t="inlineStr">
        <is>
          <t>objectif par défaut (non renseigné)</t>
        </is>
      </c>
      <c r="O67" s="19" t="n">
        <v>1.5</v>
      </c>
      <c r="P67" s="20" t="n">
        <v>46436</v>
      </c>
      <c r="Q67" s="20" t="n">
        <v>46436</v>
      </c>
      <c r="R67" s="20" t="n">
        <v>46506</v>
      </c>
      <c r="S67" s="19" t="inlineStr">
        <is>
          <t>two_step:2133 (400k Master) [official]</t>
        </is>
      </c>
    </row>
    <row r="68">
      <c r="A68" s="13" t="n">
        <v>67</v>
      </c>
      <c r="B68" s="13" t="inlineStr">
        <is>
          <t>B – À étapes</t>
        </is>
      </c>
      <c r="C68" s="13" t="inlineStr">
        <is>
          <t>Get Crypto Funded</t>
        </is>
      </c>
      <c r="D68" s="13" t="inlineStr">
        <is>
          <t>CFD</t>
        </is>
      </c>
      <c r="E68" s="13" t="inlineStr">
        <is>
          <t>3 Step</t>
        </is>
      </c>
      <c r="F68" s="17" t="n">
        <v>200000</v>
      </c>
      <c r="G68" s="17" t="n">
        <v>899</v>
      </c>
      <c r="H68" s="13" t="n">
        <v>2</v>
      </c>
      <c r="I68" s="17" t="n">
        <v>400000</v>
      </c>
      <c r="J68" s="17" t="n">
        <v>1798</v>
      </c>
      <c r="K68" s="13" t="n">
        <v>222</v>
      </c>
      <c r="L68" s="13" t="inlineStr">
        <is>
          <t>OUI</t>
        </is>
      </c>
      <c r="M68" s="27" t="n">
        <v>0.8</v>
      </c>
      <c r="N68" s="13" t="inlineStr">
        <is>
          <t>6%-6%-6%</t>
        </is>
      </c>
      <c r="O68" s="13" t="n">
        <v>2</v>
      </c>
      <c r="P68" s="14" t="n">
        <v>46436</v>
      </c>
      <c r="Q68" s="14" t="n">
        <v>46436</v>
      </c>
      <c r="R68" s="14" t="n">
        <v>46520</v>
      </c>
      <c r="S68" s="13" t="inlineStr">
        <is>
          <t>one_step:1119 (200k);two_step:1019 (200k);three_step:899 (200k) [TTP]</t>
        </is>
      </c>
    </row>
    <row r="69">
      <c r="A69" s="19" t="n">
        <v>68</v>
      </c>
      <c r="B69" s="19" t="inlineStr">
        <is>
          <t>B – À étapes</t>
        </is>
      </c>
      <c r="C69" s="19" t="inlineStr">
        <is>
          <t>Get Funded Now</t>
        </is>
      </c>
      <c r="D69" s="19" t="inlineStr">
        <is>
          <t>CFD</t>
        </is>
      </c>
      <c r="E69" s="19" t="inlineStr">
        <is>
          <t>1 Step</t>
        </is>
      </c>
      <c r="F69" s="22" t="n">
        <v>200000</v>
      </c>
      <c r="G69" s="22" t="n">
        <v>1345</v>
      </c>
      <c r="H69" s="19" t="n">
        <v>2</v>
      </c>
      <c r="I69" s="22" t="n">
        <v>400000</v>
      </c>
      <c r="J69" s="22" t="n">
        <v>2690</v>
      </c>
      <c r="K69" s="19" t="n">
        <v>149</v>
      </c>
      <c r="L69" s="19" t="inlineStr">
        <is>
          <t>OUI</t>
        </is>
      </c>
      <c r="M69" s="28" t="n">
        <v>0.8</v>
      </c>
      <c r="N69" s="19" t="inlineStr">
        <is>
          <t>10%</t>
        </is>
      </c>
      <c r="O69" s="19" t="n">
        <v>1</v>
      </c>
      <c r="P69" s="20" t="n">
        <v>46436</v>
      </c>
      <c r="Q69" s="20" t="n">
        <v>46436</v>
      </c>
      <c r="R69" s="20" t="n">
        <v>46492</v>
      </c>
      <c r="S69" s="19" t="inlineStr">
        <is>
          <t>one_step:1345 (200k regular, official homepage);two_step:unknown;instant:unknown</t>
        </is>
      </c>
    </row>
    <row r="70">
      <c r="A70" s="13" t="n">
        <v>69</v>
      </c>
      <c r="B70" s="13" t="inlineStr">
        <is>
          <t>B – À étapes</t>
        </is>
      </c>
      <c r="C70" s="13" t="inlineStr">
        <is>
          <t>Hantec Trader</t>
        </is>
      </c>
      <c r="D70" s="13" t="inlineStr">
        <is>
          <t>CFD</t>
        </is>
      </c>
      <c r="E70" s="13" t="inlineStr">
        <is>
          <t>3 Step</t>
        </is>
      </c>
      <c r="F70" s="17" t="n">
        <v>200000</v>
      </c>
      <c r="G70" s="17" t="n">
        <v>499</v>
      </c>
      <c r="H70" s="13" t="n">
        <v>2</v>
      </c>
      <c r="I70" s="17" t="n">
        <v>400000</v>
      </c>
      <c r="J70" s="17" t="n">
        <v>998</v>
      </c>
      <c r="K70" s="13" t="n">
        <v>401</v>
      </c>
      <c r="L70" s="13" t="inlineStr">
        <is>
          <t>OUI</t>
        </is>
      </c>
      <c r="M70" s="27" t="n">
        <v>0.95</v>
      </c>
      <c r="N70" s="13" t="inlineStr">
        <is>
          <t>6% (+5 % par phase non renseignée)</t>
        </is>
      </c>
      <c r="O70" s="13" t="n">
        <v>2</v>
      </c>
      <c r="P70" s="14" t="n">
        <v>46408</v>
      </c>
      <c r="Q70" s="14" t="n">
        <v>46436</v>
      </c>
      <c r="R70" s="14" t="n">
        <v>46492</v>
      </c>
      <c r="S70" s="13" t="inlineStr">
        <is>
          <t>express_one_step:999 (200k);enhanced_two_step:1169 (200k);enhancedx:1169 (200k);endurance_three_step:499 (200k);instant:2139 (50k);instant_lite:699 (100k);instant24:299 (100k) [fundedtrading review; official htrader.hmarkets.com shows only instant tiers]</t>
        </is>
      </c>
    </row>
    <row r="71">
      <c r="A71" s="19" t="n">
        <v>70</v>
      </c>
      <c r="B71" s="19" t="inlineStr">
        <is>
          <t>B – À étapes</t>
        </is>
      </c>
      <c r="C71" s="19" t="inlineStr">
        <is>
          <t>Lion Heart Funding</t>
        </is>
      </c>
      <c r="D71" s="19" t="inlineStr">
        <is>
          <t>CFD</t>
        </is>
      </c>
      <c r="E71" s="19" t="inlineStr">
        <is>
          <t>2 Step</t>
        </is>
      </c>
      <c r="F71" s="22" t="n">
        <v>400000</v>
      </c>
      <c r="G71" s="22" t="n">
        <v>1959</v>
      </c>
      <c r="H71" s="19" t="n">
        <v>1</v>
      </c>
      <c r="I71" s="22" t="n">
        <v>400000</v>
      </c>
      <c r="J71" s="22" t="n">
        <v>1959</v>
      </c>
      <c r="K71" s="19" t="n">
        <v>204</v>
      </c>
      <c r="L71" s="19" t="inlineStr">
        <is>
          <t>sous conditions / un seul compte</t>
        </is>
      </c>
      <c r="M71" s="28" t="n">
        <v>0.8</v>
      </c>
      <c r="N71" s="19" t="inlineStr">
        <is>
          <t>8%-5%</t>
        </is>
      </c>
      <c r="O71" s="19" t="n">
        <v>1.5</v>
      </c>
      <c r="P71" s="20" t="n">
        <v>46436</v>
      </c>
      <c r="Q71" s="20" t="n">
        <v>46436</v>
      </c>
      <c r="R71" s="20" t="n">
        <v>46506</v>
      </c>
      <c r="S71" s="19" t="inlineStr">
        <is>
          <t>alpha_two_step:1959 (400k);roar_two_step:1959 (400k);pride_one_step:1959 (400k);guardian_three_step:1959 (400k) [tradingfinder; firm inactive]</t>
        </is>
      </c>
    </row>
    <row r="72">
      <c r="A72" s="13" t="n">
        <v>71</v>
      </c>
      <c r="B72" s="13" t="inlineStr">
        <is>
          <t>B – À étapes</t>
        </is>
      </c>
      <c r="C72" s="13" t="inlineStr">
        <is>
          <t>FX2 Funding</t>
        </is>
      </c>
      <c r="D72" s="13" t="inlineStr">
        <is>
          <t>CFD + Futures</t>
        </is>
      </c>
      <c r="E72" s="13" t="inlineStr">
        <is>
          <t>2 Step</t>
        </is>
      </c>
      <c r="F72" s="17" t="n">
        <v>100000</v>
      </c>
      <c r="G72" s="17" t="n">
        <v>550</v>
      </c>
      <c r="H72" s="13" t="n">
        <v>3</v>
      </c>
      <c r="I72" s="17" t="n">
        <v>300000</v>
      </c>
      <c r="J72" s="17" t="n">
        <v>1650</v>
      </c>
      <c r="K72" s="13" t="n">
        <v>182</v>
      </c>
      <c r="L72" s="13" t="inlineStr">
        <is>
          <t>OUI</t>
        </is>
      </c>
      <c r="M72" s="27" t="n">
        <v>0.8</v>
      </c>
      <c r="N72" s="13" t="inlineStr">
        <is>
          <t>8% - 5%</t>
        </is>
      </c>
      <c r="O72" s="13" t="n">
        <v>1.5</v>
      </c>
      <c r="P72" s="14" t="n">
        <v>46436</v>
      </c>
      <c r="Q72" s="14" t="n">
        <v>46436</v>
      </c>
      <c r="R72" s="14" t="n">
        <v>46506</v>
      </c>
      <c r="S72" s="13" t="inlineStr">
        <is>
          <t>one_step:925 (200k);one_step_pro:600 (100k);two_step:550 (100k);instant:unknown (100k) [TTP; official configurator shows 2-step 50k = 465]</t>
        </is>
      </c>
    </row>
    <row r="73">
      <c r="A73" s="19" t="n">
        <v>72</v>
      </c>
      <c r="B73" s="19" t="inlineStr">
        <is>
          <t>B – À étapes</t>
        </is>
      </c>
      <c r="C73" s="19" t="inlineStr">
        <is>
          <t>FOREXIVE</t>
        </is>
      </c>
      <c r="D73" s="19" t="inlineStr">
        <is>
          <t>CFD</t>
        </is>
      </c>
      <c r="E73" s="19" t="inlineStr">
        <is>
          <t>2 Step</t>
        </is>
      </c>
      <c r="F73" s="22" t="n">
        <v>200000</v>
      </c>
      <c r="G73" s="22" t="n">
        <v>999</v>
      </c>
      <c r="H73" s="19" t="n">
        <v>1</v>
      </c>
      <c r="I73" s="22" t="n">
        <v>200000</v>
      </c>
      <c r="J73" s="22" t="n">
        <v>999</v>
      </c>
      <c r="K73" s="19" t="n">
        <v>200</v>
      </c>
      <c r="L73" s="19" t="inlineStr">
        <is>
          <t>OUI</t>
        </is>
      </c>
      <c r="M73" s="28" t="n">
        <v>0.8</v>
      </c>
      <c r="N73" s="19" t="inlineStr">
        <is>
          <t>4% (+5 % par phase non renseignée)</t>
        </is>
      </c>
      <c r="O73" s="19" t="n">
        <v>1</v>
      </c>
      <c r="P73" s="20" t="n">
        <v>46436</v>
      </c>
      <c r="Q73" s="20" t="n">
        <v>46436</v>
      </c>
      <c r="R73" s="20" t="n">
        <v>46492</v>
      </c>
      <c r="S73" s="19" t="inlineStr">
        <is>
          <t>one_step:1099 (200k);two_step:999 (200k);instant:unknown (max 10k) [review site TTP]</t>
        </is>
      </c>
    </row>
    <row r="74">
      <c r="A74" s="13" t="n">
        <v>73</v>
      </c>
      <c r="B74" s="13" t="inlineStr">
        <is>
          <t>B – À étapes</t>
        </is>
      </c>
      <c r="C74" s="13" t="inlineStr">
        <is>
          <t>AIFO</t>
        </is>
      </c>
      <c r="D74" s="13" t="inlineStr">
        <is>
          <t>CFD</t>
        </is>
      </c>
      <c r="E74" s="13" t="inlineStr">
        <is>
          <t>2 Step</t>
        </is>
      </c>
      <c r="F74" s="17" t="n">
        <v>200000</v>
      </c>
      <c r="G74" s="17" t="n">
        <v>849</v>
      </c>
      <c r="H74" s="13" t="n">
        <v>1</v>
      </c>
      <c r="I74" s="17" t="n">
        <v>200000</v>
      </c>
      <c r="J74" s="17" t="n">
        <v>849</v>
      </c>
      <c r="K74" s="13" t="n">
        <v>236</v>
      </c>
      <c r="L74" s="13" t="inlineStr">
        <is>
          <t>sous conditions / un seul compte</t>
        </is>
      </c>
      <c r="M74" s="27" t="n">
        <v>0.95</v>
      </c>
      <c r="N74" s="13" t="inlineStr">
        <is>
          <t>objectif par défaut (non renseigné)</t>
        </is>
      </c>
      <c r="O74" s="13" t="n">
        <v>1.5</v>
      </c>
      <c r="P74" s="14" t="n">
        <v>46436</v>
      </c>
      <c r="Q74" s="14" t="n">
        <v>46436</v>
      </c>
      <c r="R74" s="14" t="n">
        <v>46506</v>
      </c>
      <c r="S74" s="13" t="inlineStr">
        <is>
          <t>two_step:849 (200k);instant:unknown;one_step:unknown;three_step:unknown</t>
        </is>
      </c>
    </row>
    <row r="75">
      <c r="A75" s="19" t="n">
        <v>74</v>
      </c>
      <c r="B75" s="19" t="inlineStr">
        <is>
          <t>B – À étapes</t>
        </is>
      </c>
      <c r="C75" s="19" t="inlineStr">
        <is>
          <t>BEM Funding</t>
        </is>
      </c>
      <c r="D75" s="19" t="inlineStr">
        <is>
          <t>CFD</t>
        </is>
      </c>
      <c r="E75" s="19" t="inlineStr">
        <is>
          <t>2 Step</t>
        </is>
      </c>
      <c r="F75" s="22" t="n">
        <v>100000</v>
      </c>
      <c r="G75" s="22" t="n">
        <v>519</v>
      </c>
      <c r="H75" s="19" t="n">
        <v>1</v>
      </c>
      <c r="I75" s="22" t="n">
        <v>100000</v>
      </c>
      <c r="J75" s="22" t="n">
        <v>519</v>
      </c>
      <c r="K75" s="19" t="n">
        <v>193</v>
      </c>
      <c r="L75" s="19" t="inlineStr">
        <is>
          <t>sous conditions / un seul compte</t>
        </is>
      </c>
      <c r="M75" s="28" t="n">
        <v>0.8</v>
      </c>
      <c r="N75" s="19" t="inlineStr">
        <is>
          <t>9%-4.5%</t>
        </is>
      </c>
      <c r="O75" s="19" t="n">
        <v>1.5</v>
      </c>
      <c r="P75" s="20" t="n">
        <v>46436</v>
      </c>
      <c r="Q75" s="20" t="n">
        <v>46436</v>
      </c>
      <c r="R75" s="20" t="n">
        <v>46506</v>
      </c>
      <c r="S75" s="19" t="inlineStr">
        <is>
          <t>one_step:unknown (200k; 100k=520 TTP);two_step:519 (100k Normal, TTP)</t>
        </is>
      </c>
    </row>
    <row r="76">
      <c r="A76" s="13" t="n">
        <v>75</v>
      </c>
      <c r="B76" s="13" t="inlineStr">
        <is>
          <t>B – À étapes</t>
        </is>
      </c>
      <c r="C76" s="13" t="inlineStr">
        <is>
          <t>Breakout</t>
        </is>
      </c>
      <c r="D76" s="13" t="inlineStr">
        <is>
          <t>CFD</t>
        </is>
      </c>
      <c r="E76" s="13" t="inlineStr">
        <is>
          <t>1 Step</t>
        </is>
      </c>
      <c r="F76" s="17" t="n">
        <v>200000</v>
      </c>
      <c r="G76" s="17" t="n">
        <v>1090</v>
      </c>
      <c r="H76" s="13" t="n">
        <v>1</v>
      </c>
      <c r="I76" s="17" t="n">
        <v>200000</v>
      </c>
      <c r="J76" s="17" t="n">
        <v>1090</v>
      </c>
      <c r="K76" s="13" t="n">
        <v>183</v>
      </c>
      <c r="L76" s="13" t="inlineStr">
        <is>
          <t>OUI</t>
        </is>
      </c>
      <c r="M76" s="27" t="n">
        <v>0.8</v>
      </c>
      <c r="N76" s="13" t="inlineStr">
        <is>
          <t>objectif par défaut (non renseigné)</t>
        </is>
      </c>
      <c r="O76" s="13" t="n">
        <v>1</v>
      </c>
      <c r="P76" s="14" t="n">
        <v>46436</v>
      </c>
      <c r="Q76" s="14" t="n">
        <v>46436</v>
      </c>
      <c r="R76" s="14" t="n">
        <v>46492</v>
      </c>
      <c r="S76" s="13" t="inlineStr">
        <is>
          <t>one_step:1090 (Elite Pro 200k);two_step:899 (100k) [review site TTP]</t>
        </is>
      </c>
    </row>
    <row r="77">
      <c r="A77" s="19" t="n">
        <v>76</v>
      </c>
      <c r="B77" s="19" t="inlineStr">
        <is>
          <t>B – À étapes</t>
        </is>
      </c>
      <c r="C77" s="19" t="inlineStr">
        <is>
          <t>BullRush</t>
        </is>
      </c>
      <c r="D77" s="19" t="inlineStr">
        <is>
          <t>CFD</t>
        </is>
      </c>
      <c r="E77" s="19" t="inlineStr">
        <is>
          <t>2 Step</t>
        </is>
      </c>
      <c r="F77" s="22" t="n">
        <v>200000</v>
      </c>
      <c r="G77" s="22" t="n">
        <v>800</v>
      </c>
      <c r="H77" s="19" t="n">
        <v>1</v>
      </c>
      <c r="I77" s="22" t="n">
        <v>200000</v>
      </c>
      <c r="J77" s="22" t="n">
        <v>800</v>
      </c>
      <c r="K77" s="19" t="n">
        <v>250</v>
      </c>
      <c r="L77" s="19" t="inlineStr">
        <is>
          <t>sous conditions / un seul compte</t>
        </is>
      </c>
      <c r="M77" s="28" t="n">
        <v>0.75</v>
      </c>
      <c r="N77" s="19" t="inlineStr">
        <is>
          <t>10%-5%</t>
        </is>
      </c>
      <c r="O77" s="19" t="n">
        <v>1.5</v>
      </c>
      <c r="P77" s="20" t="n">
        <v>46436</v>
      </c>
      <c r="Q77" s="20" t="n">
        <v>46436</v>
      </c>
      <c r="R77" s="20" t="n">
        <v>46506</v>
      </c>
      <c r="S77" s="19" t="inlineStr">
        <is>
          <t>two_step:800 (200k) [review site TTP]</t>
        </is>
      </c>
    </row>
    <row r="78">
      <c r="A78" s="13" t="n">
        <v>77</v>
      </c>
      <c r="B78" s="13" t="inlineStr">
        <is>
          <t>B – À étapes</t>
        </is>
      </c>
      <c r="C78" s="13" t="inlineStr">
        <is>
          <t>Exclusive Funded Programme</t>
        </is>
      </c>
      <c r="D78" s="13" t="inlineStr">
        <is>
          <t>CFD</t>
        </is>
      </c>
      <c r="E78" s="13" t="inlineStr">
        <is>
          <t>2 Step</t>
        </is>
      </c>
      <c r="F78" s="17" t="n">
        <v>200000</v>
      </c>
      <c r="G78" s="17" t="n">
        <v>999</v>
      </c>
      <c r="H78" s="13" t="n">
        <v>1</v>
      </c>
      <c r="I78" s="17" t="n">
        <v>200000</v>
      </c>
      <c r="J78" s="17" t="n">
        <v>999</v>
      </c>
      <c r="K78" s="13" t="n">
        <v>200</v>
      </c>
      <c r="L78" s="13" t="inlineStr">
        <is>
          <t>OUI</t>
        </is>
      </c>
      <c r="M78" s="27" t="n">
        <v>0.8</v>
      </c>
      <c r="N78" s="13" t="inlineStr">
        <is>
          <t>7%-5%</t>
        </is>
      </c>
      <c r="O78" s="13" t="n">
        <v>1.5</v>
      </c>
      <c r="P78" s="14" t="n">
        <v>46436</v>
      </c>
      <c r="Q78" s="14" t="n">
        <v>46436</v>
      </c>
      <c r="R78" s="14" t="n">
        <v>46506</v>
      </c>
      <c r="S78" s="13" t="inlineStr">
        <is>
          <t>one_step:1199 (Elite 200k);two_step:999 (Pro 200k) [review site TTP]</t>
        </is>
      </c>
    </row>
    <row r="79">
      <c r="A79" s="19" t="n">
        <v>78</v>
      </c>
      <c r="B79" s="19" t="inlineStr">
        <is>
          <t>B – À étapes</t>
        </is>
      </c>
      <c r="C79" s="19" t="inlineStr">
        <is>
          <t>FunderPro</t>
        </is>
      </c>
      <c r="D79" s="19" t="inlineStr">
        <is>
          <t>CFD</t>
        </is>
      </c>
      <c r="E79" s="19" t="inlineStr">
        <is>
          <t>1 Step</t>
        </is>
      </c>
      <c r="F79" s="22" t="n">
        <v>200000</v>
      </c>
      <c r="G79" s="22" t="n">
        <v>989</v>
      </c>
      <c r="H79" s="19" t="n">
        <v>1</v>
      </c>
      <c r="I79" s="22" t="n">
        <v>200000</v>
      </c>
      <c r="J79" s="22" t="n">
        <v>989</v>
      </c>
      <c r="K79" s="19" t="n">
        <v>202</v>
      </c>
      <c r="L79" s="19" t="inlineStr">
        <is>
          <t>OUI</t>
        </is>
      </c>
      <c r="M79" s="28" t="n">
        <v>0.8</v>
      </c>
      <c r="N79" s="19" t="inlineStr">
        <is>
          <t>14%</t>
        </is>
      </c>
      <c r="O79" s="19" t="n">
        <v>1.5</v>
      </c>
      <c r="P79" s="20" t="n">
        <v>46436</v>
      </c>
      <c r="Q79" s="20" t="n">
        <v>46436</v>
      </c>
      <c r="R79" s="20" t="n">
        <v>46506</v>
      </c>
      <c r="S79" s="19" t="inlineStr">
        <is>
          <t>one_step:989 (200k);two_step_classic:989 (200k; official homepage shows 539 'processed with 1st reward');two_step_pro:1319 (200k);instant:unknown (100k, from 79) [TTP/fundedtrading]</t>
        </is>
      </c>
    </row>
    <row r="80">
      <c r="A80" s="13" t="n">
        <v>79</v>
      </c>
      <c r="B80" s="13" t="inlineStr">
        <is>
          <t>B – À étapes</t>
        </is>
      </c>
      <c r="C80" s="13" t="inlineStr">
        <is>
          <t>Funding Your Trades</t>
        </is>
      </c>
      <c r="D80" s="13" t="inlineStr">
        <is>
          <t>CFD</t>
        </is>
      </c>
      <c r="E80" s="13" t="inlineStr">
        <is>
          <t>2 Step</t>
        </is>
      </c>
      <c r="F80" s="17" t="n">
        <v>100000</v>
      </c>
      <c r="G80" s="17" t="n">
        <v>459</v>
      </c>
      <c r="H80" s="13" t="n">
        <v>1</v>
      </c>
      <c r="I80" s="17" t="n">
        <v>100000</v>
      </c>
      <c r="J80" s="17" t="n">
        <v>459</v>
      </c>
      <c r="K80" s="13" t="n">
        <v>218</v>
      </c>
      <c r="L80" s="13" t="inlineStr">
        <is>
          <t>sous conditions / un seul compte</t>
        </is>
      </c>
      <c r="M80" s="27" t="n">
        <v>1</v>
      </c>
      <c r="N80" s="13" t="inlineStr">
        <is>
          <t>10% (+5 % par phase non renseignée)</t>
        </is>
      </c>
      <c r="O80" s="13" t="n">
        <v>1.5</v>
      </c>
      <c r="P80" s="14" t="n">
        <v>46436</v>
      </c>
      <c r="Q80" s="14" t="n">
        <v>46436</v>
      </c>
      <c r="R80" s="14" t="n">
        <v>46506</v>
      </c>
      <c r="S80" s="13" t="inlineStr">
        <is>
          <t>two_step_prime:459 (100k, official configurator);instant:unknown;one_step:unknown;200k prices not retrieved</t>
        </is>
      </c>
    </row>
    <row r="81">
      <c r="A81" s="19" t="n">
        <v>80</v>
      </c>
      <c r="B81" s="19" t="inlineStr">
        <is>
          <t>B – À étapes</t>
        </is>
      </c>
      <c r="C81" s="19" t="inlineStr">
        <is>
          <t>HyroTrader</t>
        </is>
      </c>
      <c r="D81" s="19" t="inlineStr">
        <is>
          <t>CFD</t>
        </is>
      </c>
      <c r="E81" s="19" t="inlineStr">
        <is>
          <t>1 Step</t>
        </is>
      </c>
      <c r="F81" s="22" t="n">
        <v>200000</v>
      </c>
      <c r="G81" s="22" t="n">
        <v>969</v>
      </c>
      <c r="H81" s="19" t="n">
        <v>1</v>
      </c>
      <c r="I81" s="22" t="n">
        <v>200000</v>
      </c>
      <c r="J81" s="22" t="n">
        <v>969</v>
      </c>
      <c r="K81" s="19" t="n">
        <v>206</v>
      </c>
      <c r="L81" s="19" t="inlineStr">
        <is>
          <t>OUI</t>
        </is>
      </c>
      <c r="M81" s="28" t="n">
        <v>0.8</v>
      </c>
      <c r="N81" s="19" t="inlineStr">
        <is>
          <t>10%</t>
        </is>
      </c>
      <c r="O81" s="19" t="n">
        <v>1</v>
      </c>
      <c r="P81" s="20" t="n">
        <v>46436</v>
      </c>
      <c r="Q81" s="20" t="n">
        <v>46436</v>
      </c>
      <c r="R81" s="20" t="n">
        <v>46492</v>
      </c>
      <c r="S81" s="19" t="inlineStr">
        <is>
          <t>one_step:969 (200k);two_step:969 (200k) [official homepage]</t>
        </is>
      </c>
    </row>
    <row r="82">
      <c r="A82" s="13" t="n">
        <v>81</v>
      </c>
      <c r="B82" s="13" t="inlineStr">
        <is>
          <t>B – À étapes</t>
        </is>
      </c>
      <c r="C82" s="13" t="inlineStr">
        <is>
          <t>Mubite</t>
        </is>
      </c>
      <c r="D82" s="13" t="inlineStr">
        <is>
          <t>crypto</t>
        </is>
      </c>
      <c r="E82" s="13" t="inlineStr">
        <is>
          <t>2 Step</t>
        </is>
      </c>
      <c r="F82" s="17" t="n">
        <v>200000</v>
      </c>
      <c r="G82" s="17" t="n">
        <v>1099</v>
      </c>
      <c r="H82" s="13" t="n">
        <v>1</v>
      </c>
      <c r="I82" s="17" t="n">
        <v>200000</v>
      </c>
      <c r="J82" s="17" t="n">
        <v>1099</v>
      </c>
      <c r="K82" s="13" t="n">
        <v>182</v>
      </c>
      <c r="L82" s="13" t="inlineStr">
        <is>
          <t>sous conditions / un seul compte</t>
        </is>
      </c>
      <c r="M82" s="27" t="n">
        <v>0.8</v>
      </c>
      <c r="N82" s="13" t="inlineStr">
        <is>
          <t>10%-5%</t>
        </is>
      </c>
      <c r="O82" s="13" t="n">
        <v>1.5</v>
      </c>
      <c r="P82" s="14" t="n">
        <v>46436</v>
      </c>
      <c r="Q82" s="14" t="n">
        <v>46436</v>
      </c>
      <c r="R82" s="14" t="n">
        <v>46506</v>
      </c>
      <c r="S82" s="13" t="inlineStr">
        <is>
          <t>two_step:1099 (200k, official challenge-prices);one_step:1199 (200k, TTP);instant:4999 (100k, TTP)</t>
        </is>
      </c>
    </row>
    <row r="83">
      <c r="A83" s="19" t="n">
        <v>82</v>
      </c>
      <c r="B83" s="19" t="inlineStr">
        <is>
          <t>B – À étapes</t>
        </is>
      </c>
      <c r="C83" s="19" t="inlineStr">
        <is>
          <t>Tradersyard</t>
        </is>
      </c>
      <c r="D83" s="19" t="inlineStr">
        <is>
          <t>CFD + Futures</t>
        </is>
      </c>
      <c r="E83" s="19" t="inlineStr">
        <is>
          <t>1 Step</t>
        </is>
      </c>
      <c r="F83" s="22" t="n">
        <v>150000</v>
      </c>
      <c r="G83" s="22" t="n">
        <v>339</v>
      </c>
      <c r="H83" s="19" t="n">
        <v>1</v>
      </c>
      <c r="I83" s="22" t="n">
        <v>150000</v>
      </c>
      <c r="J83" s="22" t="n">
        <v>339</v>
      </c>
      <c r="K83" s="19" t="n">
        <v>442</v>
      </c>
      <c r="L83" s="19" t="inlineStr">
        <is>
          <t>sous conditions / un seul compte</t>
        </is>
      </c>
      <c r="M83" s="28" t="n">
        <v>1</v>
      </c>
      <c r="N83" s="19" t="inlineStr">
        <is>
          <t>objectif par défaut (non renseigné)</t>
        </is>
      </c>
      <c r="O83" s="19" t="n">
        <v>1</v>
      </c>
      <c r="P83" s="20" t="n">
        <v>46436</v>
      </c>
      <c r="Q83" s="20" t="n">
        <v>46436</v>
      </c>
      <c r="R83" s="20" t="n">
        <v>46492</v>
      </c>
      <c r="S83" s="19" t="inlineStr">
        <is>
          <t>150k:339 one-time (official homepage, type not specified)</t>
        </is>
      </c>
    </row>
    <row r="84">
      <c r="A84" s="13" t="n">
        <v>83</v>
      </c>
      <c r="B84" s="13" t="inlineStr">
        <is>
          <t>B – À étapes</t>
        </is>
      </c>
      <c r="C84" s="13" t="inlineStr">
        <is>
          <t>MFunded (MarketsVox)</t>
        </is>
      </c>
      <c r="D84" s="13" t="inlineStr">
        <is>
          <t>CFD</t>
        </is>
      </c>
      <c r="E84" s="13" t="inlineStr">
        <is>
          <t>2 Step</t>
        </is>
      </c>
      <c r="F84" s="17" t="n">
        <v>100000</v>
      </c>
      <c r="G84" s="17" t="n">
        <v>399</v>
      </c>
      <c r="H84" s="13" t="n">
        <v>1</v>
      </c>
      <c r="I84" s="17" t="n">
        <v>100000</v>
      </c>
      <c r="J84" s="17" t="n">
        <v>399</v>
      </c>
      <c r="K84" s="13" t="n">
        <v>251</v>
      </c>
      <c r="L84" s="13" t="inlineStr">
        <is>
          <t>sous conditions / un seul compte</t>
        </is>
      </c>
      <c r="M84" s="27" t="n">
        <v>0.8</v>
      </c>
      <c r="N84" s="13" t="inlineStr">
        <is>
          <t>objectif par défaut (non renseigné)</t>
        </is>
      </c>
      <c r="O84" s="13" t="n">
        <v>1.5</v>
      </c>
      <c r="P84" s="14" t="n">
        <v>46464</v>
      </c>
      <c r="Q84" s="14" t="n">
        <v>46464</v>
      </c>
      <c r="R84" s="14" t="n">
        <v>46534</v>
      </c>
      <c r="S84" s="13" t="inlineStr">
        <is>
          <t>two_step:399 (100k) [official]</t>
        </is>
      </c>
    </row>
    <row r="85">
      <c r="A85" s="19" t="n">
        <v>84</v>
      </c>
      <c r="B85" s="19" t="inlineStr">
        <is>
          <t>B – À étapes</t>
        </is>
      </c>
      <c r="C85" s="19" t="inlineStr">
        <is>
          <t>Monevis</t>
        </is>
      </c>
      <c r="D85" s="19" t="inlineStr">
        <is>
          <t>CFD</t>
        </is>
      </c>
      <c r="E85" s="19" t="inlineStr">
        <is>
          <t>3 Step</t>
        </is>
      </c>
      <c r="F85" s="22" t="n">
        <v>100000</v>
      </c>
      <c r="G85" s="22" t="n">
        <v>385</v>
      </c>
      <c r="H85" s="19" t="n">
        <v>1</v>
      </c>
      <c r="I85" s="22" t="n">
        <v>100000</v>
      </c>
      <c r="J85" s="22" t="n">
        <v>385</v>
      </c>
      <c r="K85" s="19" t="n">
        <v>260</v>
      </c>
      <c r="L85" s="19" t="inlineStr">
        <is>
          <t>OUI</t>
        </is>
      </c>
      <c r="M85" s="28" t="n">
        <v>0.8</v>
      </c>
      <c r="N85" s="19" t="inlineStr">
        <is>
          <t>4% (+5 % par phase non renseignée)</t>
        </is>
      </c>
      <c r="O85" s="19" t="n">
        <v>1.5</v>
      </c>
      <c r="P85" s="20" t="n">
        <v>46464</v>
      </c>
      <c r="Q85" s="20" t="n">
        <v>46464</v>
      </c>
      <c r="R85" s="20" t="n">
        <v>46534</v>
      </c>
      <c r="S85" s="19" t="inlineStr">
        <is>
          <t>instant:499 (50k, official regular);one_step:565 (100k, TTP);three_step:385 (100k, TTP);two_step:unknown</t>
        </is>
      </c>
    </row>
  </sheetData>
  <autoFilter ref="A1:S8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8" customWidth="1" min="1" max="1"/>
    <col width="22" customWidth="1" min="2" max="2"/>
    <col width="10" customWidth="1" min="3" max="3"/>
    <col width="14" customWidth="1" min="4" max="4"/>
    <col width="16" customWidth="1" min="5" max="5"/>
    <col width="16" customWidth="1" min="6" max="6"/>
    <col width="18" customWidth="1" min="7" max="7"/>
    <col width="12" customWidth="1" min="8" max="8"/>
    <col width="12" customWidth="1" min="9" max="9"/>
    <col width="14" customWidth="1" min="10" max="10"/>
  </cols>
  <sheetData>
    <row r="1" ht="40" customHeight="1">
      <c r="A1" s="12" t="inlineStr">
        <is>
          <t>Prop firm</t>
        </is>
      </c>
      <c r="B1" s="12" t="inlineStr">
        <is>
          <t>Groupe</t>
        </is>
      </c>
      <c r="C1" s="12" t="inlineStr">
        <is>
          <t>Challenges achetés</t>
        </is>
      </c>
      <c r="D1" s="12" t="inlineStr">
        <is>
          <t>Frais engagés ($)</t>
        </is>
      </c>
      <c r="E1" s="12" t="inlineStr">
        <is>
          <t>Capital financé ($)</t>
        </is>
      </c>
      <c r="F1" s="12" t="inlineStr">
        <is>
          <t>Payout mensuel en croisière ($)</t>
        </is>
      </c>
      <c r="G1" s="12" t="inlineStr">
        <is>
          <t>Payouts encaissés sur la simulation ($)</t>
        </is>
      </c>
      <c r="H1" s="12" t="inlineStr">
        <is>
          <t>Date du 1er achat</t>
        </is>
      </c>
      <c r="I1" s="12" t="inlineStr">
        <is>
          <t>Date du 1er payout</t>
        </is>
      </c>
      <c r="J1" s="12" t="inlineStr">
        <is>
          <t>Retour sur frais (payouts / frais)</t>
        </is>
      </c>
    </row>
    <row r="2">
      <c r="A2" s="13" t="inlineStr">
        <is>
          <t>Moneta Funded</t>
        </is>
      </c>
      <c r="B2" s="13" t="inlineStr">
        <is>
          <t>A – Instant/Direct CFD</t>
        </is>
      </c>
      <c r="C2" s="13" t="n">
        <v>23</v>
      </c>
      <c r="D2" s="17" t="n">
        <v>17940</v>
      </c>
      <c r="E2" s="17" t="n">
        <v>2300000</v>
      </c>
      <c r="F2" s="17" t="n">
        <v>184000</v>
      </c>
      <c r="G2" s="17" t="n">
        <v>1760000</v>
      </c>
      <c r="H2" s="14" t="n">
        <v>46324</v>
      </c>
      <c r="I2" s="14" t="n">
        <v>46352</v>
      </c>
      <c r="J2" s="18">
        <f>IF(D2&gt;0,G2/D2,"")</f>
        <v/>
      </c>
    </row>
    <row r="3">
      <c r="A3" s="19" t="inlineStr">
        <is>
          <t>IQ Capital</t>
        </is>
      </c>
      <c r="B3" s="19" t="inlineStr">
        <is>
          <t>A – Instant/Direct CFD</t>
        </is>
      </c>
      <c r="C3" s="19" t="n">
        <v>20</v>
      </c>
      <c r="D3" s="22" t="n">
        <v>69900</v>
      </c>
      <c r="E3" s="22" t="n">
        <v>2000000</v>
      </c>
      <c r="F3" s="22" t="n">
        <v>160000</v>
      </c>
      <c r="G3" s="22" t="n">
        <v>1440000</v>
      </c>
      <c r="H3" s="20" t="n">
        <v>46380</v>
      </c>
      <c r="I3" s="20" t="n">
        <v>46408</v>
      </c>
      <c r="J3" s="23">
        <f>IF(D3&gt;0,G3/D3,"")</f>
        <v/>
      </c>
    </row>
    <row r="4">
      <c r="A4" s="13" t="inlineStr">
        <is>
          <t>Kickstart Trading</t>
        </is>
      </c>
      <c r="B4" s="13" t="inlineStr">
        <is>
          <t>A – Instant/Direct CFD</t>
        </is>
      </c>
      <c r="C4" s="13" t="n">
        <v>10</v>
      </c>
      <c r="D4" s="17" t="n">
        <v>50000</v>
      </c>
      <c r="E4" s="17" t="n">
        <v>1000000</v>
      </c>
      <c r="F4" s="17" t="n">
        <v>80000</v>
      </c>
      <c r="G4" s="17" t="n">
        <v>640000</v>
      </c>
      <c r="H4" s="14" t="n">
        <v>46408</v>
      </c>
      <c r="I4" s="14" t="n">
        <v>46436</v>
      </c>
      <c r="J4" s="18">
        <f>IF(D4&gt;0,G4/D4,"")</f>
        <v/>
      </c>
    </row>
    <row r="5">
      <c r="A5" s="19" t="inlineStr">
        <is>
          <t>Blink Funding</t>
        </is>
      </c>
      <c r="B5" s="19" t="inlineStr">
        <is>
          <t>B – À étapes</t>
        </is>
      </c>
      <c r="C5" s="19" t="n">
        <v>2</v>
      </c>
      <c r="D5" s="22" t="n">
        <v>3600</v>
      </c>
      <c r="E5" s="22" t="n">
        <v>1000000</v>
      </c>
      <c r="F5" s="22" t="n">
        <v>75000</v>
      </c>
      <c r="G5" s="22" t="n">
        <v>450000</v>
      </c>
      <c r="H5" s="20" t="n">
        <v>46408</v>
      </c>
      <c r="I5" s="20" t="n">
        <v>46478</v>
      </c>
      <c r="J5" s="23">
        <f>IF(D5&gt;0,G5/D5,"")</f>
        <v/>
      </c>
    </row>
    <row r="6">
      <c r="A6" s="13" t="inlineStr">
        <is>
          <t>Investiqa</t>
        </is>
      </c>
      <c r="B6" s="13" t="inlineStr">
        <is>
          <t>B – À étapes</t>
        </is>
      </c>
      <c r="C6" s="13" t="n">
        <v>2</v>
      </c>
      <c r="D6" s="17" t="n">
        <v>5040</v>
      </c>
      <c r="E6" s="17" t="n">
        <v>1000000</v>
      </c>
      <c r="F6" s="17" t="n">
        <v>80000</v>
      </c>
      <c r="G6" s="17" t="n">
        <v>480000</v>
      </c>
      <c r="H6" s="14" t="n">
        <v>46408</v>
      </c>
      <c r="I6" s="14" t="n">
        <v>46478</v>
      </c>
      <c r="J6" s="18">
        <f>IF(D6&gt;0,G6/D6,"")</f>
        <v/>
      </c>
    </row>
    <row r="7">
      <c r="A7" s="19" t="inlineStr">
        <is>
          <t>Kingdom Wealth Funding</t>
        </is>
      </c>
      <c r="B7" s="19" t="inlineStr">
        <is>
          <t>B – À étapes</t>
        </is>
      </c>
      <c r="C7" s="19" t="n">
        <v>1</v>
      </c>
      <c r="D7" s="22" t="n">
        <v>8500</v>
      </c>
      <c r="E7" s="22" t="n">
        <v>1000000</v>
      </c>
      <c r="F7" s="22" t="n">
        <v>80000</v>
      </c>
      <c r="G7" s="22" t="n">
        <v>560000</v>
      </c>
      <c r="H7" s="20" t="n">
        <v>46408</v>
      </c>
      <c r="I7" s="20" t="n">
        <v>46464</v>
      </c>
      <c r="J7" s="23">
        <f>IF(D7&gt;0,G7/D7,"")</f>
        <v/>
      </c>
    </row>
    <row r="8">
      <c r="A8" s="13" t="inlineStr">
        <is>
          <t>Ment Funding</t>
        </is>
      </c>
      <c r="B8" s="13" t="inlineStr">
        <is>
          <t>B – À étapes</t>
        </is>
      </c>
      <c r="C8" s="13" t="n">
        <v>1</v>
      </c>
      <c r="D8" s="17" t="n">
        <v>9750</v>
      </c>
      <c r="E8" s="17" t="n">
        <v>1000000</v>
      </c>
      <c r="F8" s="17" t="n">
        <v>80000</v>
      </c>
      <c r="G8" s="17" t="n">
        <v>560000</v>
      </c>
      <c r="H8" s="14" t="n">
        <v>46408</v>
      </c>
      <c r="I8" s="14" t="n">
        <v>46464</v>
      </c>
      <c r="J8" s="18">
        <f>IF(D8&gt;0,G8/D8,"")</f>
        <v/>
      </c>
    </row>
    <row r="9">
      <c r="A9" s="19" t="inlineStr">
        <is>
          <t>Instant Funding</t>
        </is>
      </c>
      <c r="B9" s="19" t="inlineStr">
        <is>
          <t>A – Instant/Direct CFD</t>
        </is>
      </c>
      <c r="C9" s="19" t="n">
        <v>8</v>
      </c>
      <c r="D9" s="22" t="n">
        <v>43992</v>
      </c>
      <c r="E9" s="22" t="n">
        <v>960000</v>
      </c>
      <c r="F9" s="22" t="n">
        <v>76800</v>
      </c>
      <c r="G9" s="22" t="n">
        <v>643200</v>
      </c>
      <c r="H9" s="20" t="n">
        <v>46380</v>
      </c>
      <c r="I9" s="20" t="n">
        <v>46408</v>
      </c>
      <c r="J9" s="23">
        <f>IF(D9&gt;0,G9/D9,"")</f>
        <v/>
      </c>
    </row>
    <row r="10">
      <c r="A10" s="13" t="inlineStr">
        <is>
          <t>Finotive Futures</t>
        </is>
      </c>
      <c r="B10" s="13" t="inlineStr">
        <is>
          <t>B – À étapes</t>
        </is>
      </c>
      <c r="C10" s="13" t="n">
        <v>6</v>
      </c>
      <c r="D10" s="17" t="n">
        <v>2394</v>
      </c>
      <c r="E10" s="17" t="n">
        <v>900000</v>
      </c>
      <c r="F10" s="17" t="n">
        <v>81000</v>
      </c>
      <c r="G10" s="17" t="n">
        <v>567000</v>
      </c>
      <c r="H10" s="14" t="n">
        <v>46408</v>
      </c>
      <c r="I10" s="14" t="n">
        <v>46464</v>
      </c>
      <c r="J10" s="18">
        <f>IF(D10&gt;0,G10/D10,"")</f>
        <v/>
      </c>
    </row>
    <row r="11">
      <c r="A11" s="19" t="inlineStr">
        <is>
          <t>Funded Trader Markets</t>
        </is>
      </c>
      <c r="B11" s="19" t="inlineStr">
        <is>
          <t>B – À étapes</t>
        </is>
      </c>
      <c r="C11" s="19" t="n">
        <v>3</v>
      </c>
      <c r="D11" s="22" t="n">
        <v>4866</v>
      </c>
      <c r="E11" s="22" t="n">
        <v>900000</v>
      </c>
      <c r="F11" s="22" t="n">
        <v>81000</v>
      </c>
      <c r="G11" s="22" t="n">
        <v>567000</v>
      </c>
      <c r="H11" s="20" t="n">
        <v>46408</v>
      </c>
      <c r="I11" s="20" t="n">
        <v>46464</v>
      </c>
      <c r="J11" s="23">
        <f>IF(D11&gt;0,G11/D11,"")</f>
        <v/>
      </c>
    </row>
    <row r="12">
      <c r="A12" s="13" t="inlineStr">
        <is>
          <t>BestProp4U</t>
        </is>
      </c>
      <c r="B12" s="13" t="inlineStr">
        <is>
          <t>B – À étapes</t>
        </is>
      </c>
      <c r="C12" s="13" t="n">
        <v>2</v>
      </c>
      <c r="D12" s="17" t="n">
        <v>4950</v>
      </c>
      <c r="E12" s="17" t="n">
        <v>800000</v>
      </c>
      <c r="F12" s="17" t="n">
        <v>48000</v>
      </c>
      <c r="G12" s="17" t="n">
        <v>288000</v>
      </c>
      <c r="H12" s="14" t="n">
        <v>46408</v>
      </c>
      <c r="I12" s="14" t="n">
        <v>46478</v>
      </c>
      <c r="J12" s="18">
        <f>IF(D12&gt;0,G12/D12,"")</f>
        <v/>
      </c>
    </row>
    <row r="13">
      <c r="A13" s="19" t="inlineStr">
        <is>
          <t>FXIFY</t>
        </is>
      </c>
      <c r="B13" s="19" t="inlineStr">
        <is>
          <t>B – À étapes</t>
        </is>
      </c>
      <c r="C13" s="19" t="n">
        <v>2</v>
      </c>
      <c r="D13" s="22" t="n">
        <v>3198</v>
      </c>
      <c r="E13" s="22" t="n">
        <v>800000</v>
      </c>
      <c r="F13" s="22" t="n">
        <v>72000</v>
      </c>
      <c r="G13" s="22" t="n">
        <v>432000</v>
      </c>
      <c r="H13" s="20" t="n">
        <v>46408</v>
      </c>
      <c r="I13" s="20" t="n">
        <v>46478</v>
      </c>
      <c r="J13" s="23">
        <f>IF(D13&gt;0,G13/D13,"")</f>
        <v/>
      </c>
    </row>
    <row r="14">
      <c r="A14" s="13" t="inlineStr">
        <is>
          <t>Funded Squad</t>
        </is>
      </c>
      <c r="B14" s="13" t="inlineStr">
        <is>
          <t>B – À étapes</t>
        </is>
      </c>
      <c r="C14" s="13" t="n">
        <v>4</v>
      </c>
      <c r="D14" s="17" t="n">
        <v>4796</v>
      </c>
      <c r="E14" s="17" t="n">
        <v>800000</v>
      </c>
      <c r="F14" s="17" t="n">
        <v>80000</v>
      </c>
      <c r="G14" s="17" t="n">
        <v>480000</v>
      </c>
      <c r="H14" s="14" t="n">
        <v>46408</v>
      </c>
      <c r="I14" s="14" t="n">
        <v>46478</v>
      </c>
      <c r="J14" s="18">
        <f>IF(D14&gt;0,G14/D14,"")</f>
        <v/>
      </c>
    </row>
    <row r="15">
      <c r="A15" s="19" t="inlineStr">
        <is>
          <t>FunderPro Futures</t>
        </is>
      </c>
      <c r="B15" s="19" t="inlineStr">
        <is>
          <t>B – À étapes</t>
        </is>
      </c>
      <c r="C15" s="19" t="n">
        <v>5</v>
      </c>
      <c r="D15" s="22" t="n">
        <v>1095</v>
      </c>
      <c r="E15" s="22" t="n">
        <v>750000</v>
      </c>
      <c r="F15" s="22" t="n">
        <v>45000</v>
      </c>
      <c r="G15" s="22" t="n">
        <v>333000</v>
      </c>
      <c r="H15" s="20" t="n">
        <v>46352</v>
      </c>
      <c r="I15" s="20" t="n">
        <v>46408</v>
      </c>
      <c r="J15" s="23">
        <f>IF(D15&gt;0,G15/D15,"")</f>
        <v/>
      </c>
    </row>
    <row r="16">
      <c r="A16" s="13" t="inlineStr">
        <is>
          <t>10FOUR</t>
        </is>
      </c>
      <c r="B16" s="13" t="inlineStr">
        <is>
          <t>B – À étapes</t>
        </is>
      </c>
      <c r="C16" s="13" t="n">
        <v>5</v>
      </c>
      <c r="D16" s="17" t="n">
        <v>1243</v>
      </c>
      <c r="E16" s="17" t="n">
        <v>750000</v>
      </c>
      <c r="F16" s="17" t="n">
        <v>67500</v>
      </c>
      <c r="G16" s="17" t="n">
        <v>472500</v>
      </c>
      <c r="H16" s="14" t="n">
        <v>46408</v>
      </c>
      <c r="I16" s="14" t="n">
        <v>46464</v>
      </c>
      <c r="J16" s="18">
        <f>IF(D16&gt;0,G16/D16,"")</f>
        <v/>
      </c>
    </row>
    <row r="17">
      <c r="A17" s="19" t="inlineStr">
        <is>
          <t>LifeUp Trading</t>
        </is>
      </c>
      <c r="B17" s="19" t="inlineStr">
        <is>
          <t>B – À étapes</t>
        </is>
      </c>
      <c r="C17" s="19" t="n">
        <v>5</v>
      </c>
      <c r="D17" s="22" t="n">
        <v>1600000</v>
      </c>
      <c r="E17" s="22" t="n">
        <v>750000</v>
      </c>
      <c r="F17" s="22" t="n">
        <v>60000</v>
      </c>
      <c r="G17" s="22" t="n">
        <v>348000</v>
      </c>
      <c r="H17" s="20" t="n">
        <v>46436</v>
      </c>
      <c r="I17" s="20" t="n">
        <v>46492</v>
      </c>
      <c r="J17" s="23">
        <f>IF(D17&gt;0,G17/D17,"")</f>
        <v/>
      </c>
    </row>
    <row r="18">
      <c r="A18" s="13" t="inlineStr">
        <is>
          <t>Audacity Capital</t>
        </is>
      </c>
      <c r="B18" s="13" t="inlineStr">
        <is>
          <t>A – Instant/Direct CFD</t>
        </is>
      </c>
      <c r="C18" s="13" t="n">
        <v>14</v>
      </c>
      <c r="D18" s="17" t="n">
        <v>18186</v>
      </c>
      <c r="E18" s="17" t="n">
        <v>700000</v>
      </c>
      <c r="F18" s="17" t="n">
        <v>63000</v>
      </c>
      <c r="G18" s="17" t="n">
        <v>508500</v>
      </c>
      <c r="H18" s="14" t="n">
        <v>46380</v>
      </c>
      <c r="I18" s="14" t="n">
        <v>46408</v>
      </c>
      <c r="J18" s="18">
        <f>IF(D18&gt;0,G18/D18,"")</f>
        <v/>
      </c>
    </row>
    <row r="19">
      <c r="A19" s="19" t="inlineStr">
        <is>
          <t>Blue Guardian Futures</t>
        </is>
      </c>
      <c r="B19" s="19" t="inlineStr">
        <is>
          <t>B – À étapes</t>
        </is>
      </c>
      <c r="C19" s="19" t="n">
        <v>7</v>
      </c>
      <c r="D19" s="22" t="n">
        <v>15400</v>
      </c>
      <c r="E19" s="22" t="n">
        <v>700000</v>
      </c>
      <c r="F19" s="22" t="n">
        <v>63000</v>
      </c>
      <c r="G19" s="22" t="n">
        <v>441000</v>
      </c>
      <c r="H19" s="20" t="n">
        <v>46408</v>
      </c>
      <c r="I19" s="20" t="n">
        <v>46464</v>
      </c>
      <c r="J19" s="23">
        <f>IF(D19&gt;0,G19/D19,"")</f>
        <v/>
      </c>
    </row>
    <row r="20">
      <c r="A20" s="13" t="inlineStr">
        <is>
          <t>Fintokei</t>
        </is>
      </c>
      <c r="B20" s="13" t="inlineStr">
        <is>
          <t>B – À étapes</t>
        </is>
      </c>
      <c r="C20" s="13" t="n">
        <v>7</v>
      </c>
      <c r="D20" s="17" t="n">
        <v>2933</v>
      </c>
      <c r="E20" s="17" t="n">
        <v>700000</v>
      </c>
      <c r="F20" s="17" t="n">
        <v>70000</v>
      </c>
      <c r="G20" s="17" t="n">
        <v>420000</v>
      </c>
      <c r="H20" s="14" t="n">
        <v>46408</v>
      </c>
      <c r="I20" s="14" t="n">
        <v>46478</v>
      </c>
      <c r="J20" s="18">
        <f>IF(D20&gt;0,G20/D20,"")</f>
        <v/>
      </c>
    </row>
    <row r="21">
      <c r="A21" s="19" t="inlineStr">
        <is>
          <t>Fill88</t>
        </is>
      </c>
      <c r="B21" s="19" t="inlineStr">
        <is>
          <t>A – Instant/Direct CFD</t>
        </is>
      </c>
      <c r="C21" s="19" t="n">
        <v>6</v>
      </c>
      <c r="D21" s="22" t="n">
        <v>22194</v>
      </c>
      <c r="E21" s="22" t="n">
        <v>600000</v>
      </c>
      <c r="F21" s="22" t="n">
        <v>48000</v>
      </c>
      <c r="G21" s="22" t="n">
        <v>384000</v>
      </c>
      <c r="H21" s="20" t="n">
        <v>46408</v>
      </c>
      <c r="I21" s="20" t="n">
        <v>46436</v>
      </c>
      <c r="J21" s="23">
        <f>IF(D21&gt;0,G21/D21,"")</f>
        <v/>
      </c>
    </row>
    <row r="22">
      <c r="A22" s="13" t="inlineStr">
        <is>
          <t>Finotive Funding</t>
        </is>
      </c>
      <c r="B22" s="13" t="inlineStr">
        <is>
          <t>A – Instant/Direct CFD</t>
        </is>
      </c>
      <c r="C22" s="13" t="n">
        <v>6</v>
      </c>
      <c r="D22" s="17" t="n">
        <v>21294</v>
      </c>
      <c r="E22" s="17" t="n">
        <v>600000</v>
      </c>
      <c r="F22" s="17" t="n">
        <v>45000</v>
      </c>
      <c r="G22" s="17" t="n">
        <v>360000</v>
      </c>
      <c r="H22" s="14" t="n">
        <v>46408</v>
      </c>
      <c r="I22" s="14" t="n">
        <v>46436</v>
      </c>
      <c r="J22" s="18">
        <f>IF(D22&gt;0,G22/D22,"")</f>
        <v/>
      </c>
    </row>
    <row r="23">
      <c r="A23" s="19" t="inlineStr">
        <is>
          <t>DNA Funded</t>
        </is>
      </c>
      <c r="B23" s="19" t="inlineStr">
        <is>
          <t>B – À étapes</t>
        </is>
      </c>
      <c r="C23" s="19" t="n">
        <v>3</v>
      </c>
      <c r="D23" s="22" t="n">
        <v>3237</v>
      </c>
      <c r="E23" s="22" t="n">
        <v>600000</v>
      </c>
      <c r="F23" s="22" t="n">
        <v>54000</v>
      </c>
      <c r="G23" s="22" t="n">
        <v>324000</v>
      </c>
      <c r="H23" s="20" t="n">
        <v>46408</v>
      </c>
      <c r="I23" s="20" t="n">
        <v>46478</v>
      </c>
      <c r="J23" s="23">
        <f>IF(D23&gt;0,G23/D23,"")</f>
        <v/>
      </c>
    </row>
    <row r="24">
      <c r="A24" s="13" t="inlineStr">
        <is>
          <t>Eightcap Challenges</t>
        </is>
      </c>
      <c r="B24" s="13" t="inlineStr">
        <is>
          <t>B – À étapes</t>
        </is>
      </c>
      <c r="C24" s="13" t="n">
        <v>3</v>
      </c>
      <c r="D24" s="17" t="n">
        <v>3597</v>
      </c>
      <c r="E24" s="17" t="n">
        <v>600000</v>
      </c>
      <c r="F24" s="17" t="n">
        <v>48000</v>
      </c>
      <c r="G24" s="17" t="n">
        <v>288000</v>
      </c>
      <c r="H24" s="14" t="n">
        <v>46408</v>
      </c>
      <c r="I24" s="14" t="n">
        <v>46478</v>
      </c>
      <c r="J24" s="18">
        <f>IF(D24&gt;0,G24/D24,"")</f>
        <v/>
      </c>
    </row>
    <row r="25">
      <c r="A25" s="19" t="inlineStr">
        <is>
          <t>FNC Funding</t>
        </is>
      </c>
      <c r="B25" s="19" t="inlineStr">
        <is>
          <t>A – Instant/Direct CFD</t>
        </is>
      </c>
      <c r="C25" s="19" t="n">
        <v>5</v>
      </c>
      <c r="D25" s="22" t="n">
        <v>25000</v>
      </c>
      <c r="E25" s="22" t="n">
        <v>500000</v>
      </c>
      <c r="F25" s="22" t="n">
        <v>37500</v>
      </c>
      <c r="G25" s="22" t="n">
        <v>300000</v>
      </c>
      <c r="H25" s="20" t="n">
        <v>46408</v>
      </c>
      <c r="I25" s="20" t="n">
        <v>46436</v>
      </c>
      <c r="J25" s="23">
        <f>IF(D25&gt;0,G25/D25,"")</f>
        <v/>
      </c>
    </row>
    <row r="26">
      <c r="A26" s="13" t="inlineStr">
        <is>
          <t>Ifunds</t>
        </is>
      </c>
      <c r="B26" s="13" t="inlineStr">
        <is>
          <t>A – Instant/Direct CFD</t>
        </is>
      </c>
      <c r="C26" s="13" t="n">
        <v>1</v>
      </c>
      <c r="D26" s="17" t="n">
        <v>30000</v>
      </c>
      <c r="E26" s="17" t="n">
        <v>500000</v>
      </c>
      <c r="F26" s="17" t="n">
        <v>40000</v>
      </c>
      <c r="G26" s="17" t="n">
        <v>320000</v>
      </c>
      <c r="H26" s="14" t="n">
        <v>46408</v>
      </c>
      <c r="I26" s="14" t="n">
        <v>46436</v>
      </c>
      <c r="J26" s="18">
        <f>IF(D26&gt;0,G26/D26,"")</f>
        <v/>
      </c>
    </row>
    <row r="27">
      <c r="A27" s="19" t="inlineStr">
        <is>
          <t>Capitalize</t>
        </is>
      </c>
      <c r="B27" s="19" t="inlineStr">
        <is>
          <t>B – À étapes</t>
        </is>
      </c>
      <c r="C27" s="19" t="n">
        <v>1</v>
      </c>
      <c r="D27" s="22" t="n">
        <v>4999</v>
      </c>
      <c r="E27" s="22" t="n">
        <v>500000</v>
      </c>
      <c r="F27" s="22" t="n">
        <v>40000</v>
      </c>
      <c r="G27" s="22" t="n">
        <v>280000</v>
      </c>
      <c r="H27" s="20" t="n">
        <v>46408</v>
      </c>
      <c r="I27" s="20" t="n">
        <v>46464</v>
      </c>
      <c r="J27" s="23">
        <f>IF(D27&gt;0,G27/D27,"")</f>
        <v/>
      </c>
    </row>
    <row r="28">
      <c r="A28" s="13" t="inlineStr">
        <is>
          <t>IC Funded</t>
        </is>
      </c>
      <c r="B28" s="13" t="inlineStr">
        <is>
          <t>B – À étapes</t>
        </is>
      </c>
      <c r="C28" s="13" t="n">
        <v>1</v>
      </c>
      <c r="D28" s="17" t="n">
        <v>2999</v>
      </c>
      <c r="E28" s="17" t="n">
        <v>500000</v>
      </c>
      <c r="F28" s="17" t="n">
        <v>45000</v>
      </c>
      <c r="G28" s="17" t="n">
        <v>270000</v>
      </c>
      <c r="H28" s="14" t="n">
        <v>46408</v>
      </c>
      <c r="I28" s="14" t="n">
        <v>46478</v>
      </c>
      <c r="J28" s="18">
        <f>IF(D28&gt;0,G28/D28,"")</f>
        <v/>
      </c>
    </row>
    <row r="29">
      <c r="A29" s="19" t="inlineStr">
        <is>
          <t>E8 Markets</t>
        </is>
      </c>
      <c r="B29" s="19" t="inlineStr">
        <is>
          <t>B – À étapes</t>
        </is>
      </c>
      <c r="C29" s="19" t="n">
        <v>3</v>
      </c>
      <c r="D29" s="22" t="n">
        <v>1170</v>
      </c>
      <c r="E29" s="22" t="n">
        <v>450000</v>
      </c>
      <c r="F29" s="22" t="n">
        <v>36000</v>
      </c>
      <c r="G29" s="22" t="n">
        <v>216000</v>
      </c>
      <c r="H29" s="20" t="n">
        <v>46408</v>
      </c>
      <c r="I29" s="20" t="n">
        <v>46478</v>
      </c>
      <c r="J29" s="23">
        <f>IF(D29&gt;0,G29/D29,"")</f>
        <v/>
      </c>
    </row>
    <row r="30">
      <c r="A30" s="13" t="inlineStr">
        <is>
          <t>Hola Prime</t>
        </is>
      </c>
      <c r="B30" s="13" t="inlineStr">
        <is>
          <t>B – À étapes</t>
        </is>
      </c>
      <c r="C30" s="13" t="n">
        <v>3</v>
      </c>
      <c r="D30" s="17" t="n">
        <v>1077</v>
      </c>
      <c r="E30" s="17" t="n">
        <v>450000</v>
      </c>
      <c r="F30" s="17" t="n">
        <v>36000</v>
      </c>
      <c r="G30" s="17" t="n">
        <v>252000</v>
      </c>
      <c r="H30" s="14" t="n">
        <v>46408</v>
      </c>
      <c r="I30" s="14" t="n">
        <v>46464</v>
      </c>
      <c r="J30" s="18">
        <f>IF(D30&gt;0,G30/D30,"")</f>
        <v/>
      </c>
    </row>
    <row r="31">
      <c r="A31" s="19" t="inlineStr">
        <is>
          <t>Blueberry Futures</t>
        </is>
      </c>
      <c r="B31" s="19" t="inlineStr">
        <is>
          <t>B – À étapes</t>
        </is>
      </c>
      <c r="C31" s="19" t="n">
        <v>3</v>
      </c>
      <c r="D31" s="22" t="n">
        <v>1362</v>
      </c>
      <c r="E31" s="22" t="n">
        <v>450000</v>
      </c>
      <c r="F31" s="22" t="n">
        <v>40500</v>
      </c>
      <c r="G31" s="22" t="n">
        <v>243000</v>
      </c>
      <c r="H31" s="20" t="n">
        <v>46408</v>
      </c>
      <c r="I31" s="20" t="n">
        <v>46478</v>
      </c>
      <c r="J31" s="23">
        <f>IF(D31&gt;0,G31/D31,"")</f>
        <v/>
      </c>
    </row>
    <row r="32">
      <c r="A32" s="13" t="inlineStr">
        <is>
          <t>FTMO Futures</t>
        </is>
      </c>
      <c r="B32" s="13" t="inlineStr">
        <is>
          <t>B – À étapes</t>
        </is>
      </c>
      <c r="C32" s="13" t="n">
        <v>3</v>
      </c>
      <c r="D32" s="17" t="n">
        <v>687</v>
      </c>
      <c r="E32" s="17" t="n">
        <v>450000</v>
      </c>
      <c r="F32" s="17" t="n">
        <v>40500</v>
      </c>
      <c r="G32" s="17" t="n">
        <v>283500</v>
      </c>
      <c r="H32" s="14" t="n">
        <v>46408</v>
      </c>
      <c r="I32" s="14" t="n">
        <v>46464</v>
      </c>
      <c r="J32" s="18">
        <f>IF(D32&gt;0,G32/D32,"")</f>
        <v/>
      </c>
    </row>
    <row r="33">
      <c r="A33" s="19" t="inlineStr">
        <is>
          <t>Halcyon Trader Funding</t>
        </is>
      </c>
      <c r="B33" s="19" t="inlineStr">
        <is>
          <t>B – À étapes</t>
        </is>
      </c>
      <c r="C33" s="19" t="n">
        <v>3</v>
      </c>
      <c r="D33" s="22" t="n">
        <v>471</v>
      </c>
      <c r="E33" s="22" t="n">
        <v>450000</v>
      </c>
      <c r="F33" s="22" t="n">
        <v>40500</v>
      </c>
      <c r="G33" s="22" t="n">
        <v>283500</v>
      </c>
      <c r="H33" s="20" t="n">
        <v>46408</v>
      </c>
      <c r="I33" s="20" t="n">
        <v>46464</v>
      </c>
      <c r="J33" s="23">
        <f>IF(D33&gt;0,G33/D33,"")</f>
        <v/>
      </c>
    </row>
    <row r="34">
      <c r="A34" s="13" t="inlineStr">
        <is>
          <t>Funding Traders</t>
        </is>
      </c>
      <c r="B34" s="13" t="inlineStr">
        <is>
          <t>A – Instant/Direct CFD</t>
        </is>
      </c>
      <c r="C34" s="13" t="n">
        <v>1</v>
      </c>
      <c r="D34" s="17" t="n">
        <v>2349</v>
      </c>
      <c r="E34" s="17" t="n">
        <v>400000</v>
      </c>
      <c r="F34" s="17" t="n">
        <v>40000</v>
      </c>
      <c r="G34" s="17" t="n">
        <v>320000</v>
      </c>
      <c r="H34" s="14" t="n">
        <v>46408</v>
      </c>
      <c r="I34" s="14" t="n">
        <v>46436</v>
      </c>
      <c r="J34" s="18">
        <f>IF(D34&gt;0,G34/D34,"")</f>
        <v/>
      </c>
    </row>
    <row r="35">
      <c r="A35" s="19" t="inlineStr">
        <is>
          <t>Alpine Funded</t>
        </is>
      </c>
      <c r="B35" s="19" t="inlineStr">
        <is>
          <t>A – Instant/Direct CFD</t>
        </is>
      </c>
      <c r="C35" s="19" t="n">
        <v>2</v>
      </c>
      <c r="D35" s="22" t="n">
        <v>2396</v>
      </c>
      <c r="E35" s="22" t="n">
        <v>400000</v>
      </c>
      <c r="F35" s="22" t="n">
        <v>40000</v>
      </c>
      <c r="G35" s="22" t="n">
        <v>320000</v>
      </c>
      <c r="H35" s="20" t="n">
        <v>46408</v>
      </c>
      <c r="I35" s="20" t="n">
        <v>46436</v>
      </c>
      <c r="J35" s="23">
        <f>IF(D35&gt;0,G35/D35,"")</f>
        <v/>
      </c>
    </row>
    <row r="36">
      <c r="A36" s="13" t="inlineStr">
        <is>
          <t>AquaFunded</t>
        </is>
      </c>
      <c r="B36" s="13" t="inlineStr">
        <is>
          <t>A – Instant/Direct CFD</t>
        </is>
      </c>
      <c r="C36" s="13" t="n">
        <v>1</v>
      </c>
      <c r="D36" s="17" t="n">
        <v>2699</v>
      </c>
      <c r="E36" s="17" t="n">
        <v>400000</v>
      </c>
      <c r="F36" s="17" t="n">
        <v>36000</v>
      </c>
      <c r="G36" s="17" t="n">
        <v>288000</v>
      </c>
      <c r="H36" s="14" t="n">
        <v>46408</v>
      </c>
      <c r="I36" s="14" t="n">
        <v>46436</v>
      </c>
      <c r="J36" s="18">
        <f>IF(D36&gt;0,G36/D36,"")</f>
        <v/>
      </c>
    </row>
    <row r="37">
      <c r="A37" s="19" t="inlineStr">
        <is>
          <t>Atmos Funded</t>
        </is>
      </c>
      <c r="B37" s="19" t="inlineStr">
        <is>
          <t>A – Instant/Direct CFD</t>
        </is>
      </c>
      <c r="C37" s="19" t="n">
        <v>4</v>
      </c>
      <c r="D37" s="22" t="n">
        <v>2596</v>
      </c>
      <c r="E37" s="22" t="n">
        <v>400000</v>
      </c>
      <c r="F37" s="22" t="n">
        <v>36000</v>
      </c>
      <c r="G37" s="22" t="n">
        <v>288000</v>
      </c>
      <c r="H37" s="20" t="n">
        <v>46408</v>
      </c>
      <c r="I37" s="20" t="n">
        <v>46436</v>
      </c>
      <c r="J37" s="23">
        <f>IF(D37&gt;0,G37/D37,"")</f>
        <v/>
      </c>
    </row>
    <row r="38">
      <c r="A38" s="13" t="inlineStr">
        <is>
          <t>Blue Guardian</t>
        </is>
      </c>
      <c r="B38" s="13" t="inlineStr">
        <is>
          <t>A – Instant/Direct CFD</t>
        </is>
      </c>
      <c r="C38" s="13" t="n">
        <v>1</v>
      </c>
      <c r="D38" s="17" t="n">
        <v>2200</v>
      </c>
      <c r="E38" s="17" t="n">
        <v>400000</v>
      </c>
      <c r="F38" s="17" t="n">
        <v>32000</v>
      </c>
      <c r="G38" s="17" t="n">
        <v>256000</v>
      </c>
      <c r="H38" s="14" t="n">
        <v>46408</v>
      </c>
      <c r="I38" s="14" t="n">
        <v>46436</v>
      </c>
      <c r="J38" s="18">
        <f>IF(D38&gt;0,G38/D38,"")</f>
        <v/>
      </c>
    </row>
    <row r="39">
      <c r="A39" s="19" t="inlineStr">
        <is>
          <t>FundedElite</t>
        </is>
      </c>
      <c r="B39" s="19" t="inlineStr">
        <is>
          <t>A – Instant/Direct CFD</t>
        </is>
      </c>
      <c r="C39" s="19" t="n">
        <v>4</v>
      </c>
      <c r="D39" s="22" t="n">
        <v>5956</v>
      </c>
      <c r="E39" s="22" t="n">
        <v>400000</v>
      </c>
      <c r="F39" s="22" t="n">
        <v>38000</v>
      </c>
      <c r="G39" s="22" t="n">
        <v>304000</v>
      </c>
      <c r="H39" s="20" t="n">
        <v>46408</v>
      </c>
      <c r="I39" s="20" t="n">
        <v>46436</v>
      </c>
      <c r="J39" s="23">
        <f>IF(D39&gt;0,G39/D39,"")</f>
        <v/>
      </c>
    </row>
    <row r="40">
      <c r="A40" s="13" t="inlineStr">
        <is>
          <t>Funding Pips</t>
        </is>
      </c>
      <c r="B40" s="13" t="inlineStr">
        <is>
          <t>A – Instant/Direct CFD</t>
        </is>
      </c>
      <c r="C40" s="13" t="n">
        <v>2</v>
      </c>
      <c r="D40" s="17" t="n">
        <v>1776</v>
      </c>
      <c r="E40" s="17" t="n">
        <v>400000</v>
      </c>
      <c r="F40" s="17" t="n">
        <v>40000</v>
      </c>
      <c r="G40" s="17" t="n">
        <v>320000</v>
      </c>
      <c r="H40" s="14" t="n">
        <v>46408</v>
      </c>
      <c r="I40" s="14" t="n">
        <v>46436</v>
      </c>
      <c r="J40" s="18">
        <f>IF(D40&gt;0,G40/D40,"")</f>
        <v/>
      </c>
    </row>
    <row r="41">
      <c r="A41" s="19" t="inlineStr">
        <is>
          <t>Goat Funded Trader</t>
        </is>
      </c>
      <c r="B41" s="19" t="inlineStr">
        <is>
          <t>A – Instant/Direct CFD</t>
        </is>
      </c>
      <c r="C41" s="19" t="n">
        <v>4</v>
      </c>
      <c r="D41" s="22" t="n">
        <v>3432</v>
      </c>
      <c r="E41" s="22" t="n">
        <v>400000</v>
      </c>
      <c r="F41" s="22" t="n">
        <v>40000</v>
      </c>
      <c r="G41" s="22" t="n">
        <v>320000</v>
      </c>
      <c r="H41" s="20" t="n">
        <v>46408</v>
      </c>
      <c r="I41" s="20" t="n">
        <v>46436</v>
      </c>
      <c r="J41" s="23">
        <f>IF(D41&gt;0,G41/D41,"")</f>
        <v/>
      </c>
    </row>
    <row r="42">
      <c r="A42" s="13" t="inlineStr">
        <is>
          <t>Ment Funding Futures</t>
        </is>
      </c>
      <c r="B42" s="13" t="inlineStr">
        <is>
          <t>B – À étapes</t>
        </is>
      </c>
      <c r="C42" s="13" t="n">
        <v>1</v>
      </c>
      <c r="D42" s="17" t="n">
        <v>3900</v>
      </c>
      <c r="E42" s="17" t="n">
        <v>400000</v>
      </c>
      <c r="F42" s="17" t="n">
        <v>32000</v>
      </c>
      <c r="G42" s="17" t="n">
        <v>224000</v>
      </c>
      <c r="H42" s="14" t="n">
        <v>46408</v>
      </c>
      <c r="I42" s="14" t="n">
        <v>46464</v>
      </c>
      <c r="J42" s="18">
        <f>IF(D42&gt;0,G42/D42,"")</f>
        <v/>
      </c>
    </row>
    <row r="43">
      <c r="A43" s="19" t="inlineStr">
        <is>
          <t>Astrofund</t>
        </is>
      </c>
      <c r="B43" s="19" t="inlineStr">
        <is>
          <t>B – À étapes</t>
        </is>
      </c>
      <c r="C43" s="19" t="n">
        <v>4</v>
      </c>
      <c r="D43" s="22" t="n">
        <v>956</v>
      </c>
      <c r="E43" s="22" t="n">
        <v>400000</v>
      </c>
      <c r="F43" s="22" t="n">
        <v>36000</v>
      </c>
      <c r="G43" s="22" t="n">
        <v>252000</v>
      </c>
      <c r="H43" s="20" t="n">
        <v>46408</v>
      </c>
      <c r="I43" s="20" t="n">
        <v>46464</v>
      </c>
      <c r="J43" s="23">
        <f>IF(D43&gt;0,G43/D43,"")</f>
        <v/>
      </c>
    </row>
    <row r="44">
      <c r="A44" s="13" t="inlineStr">
        <is>
          <t>BrightFunded</t>
        </is>
      </c>
      <c r="B44" s="13" t="inlineStr">
        <is>
          <t>B – À étapes</t>
        </is>
      </c>
      <c r="C44" s="13" t="n">
        <v>2</v>
      </c>
      <c r="D44" s="17" t="n">
        <v>2064</v>
      </c>
      <c r="E44" s="17" t="n">
        <v>400000</v>
      </c>
      <c r="F44" s="17" t="n">
        <v>40000</v>
      </c>
      <c r="G44" s="17" t="n">
        <v>280000</v>
      </c>
      <c r="H44" s="14" t="n">
        <v>46408</v>
      </c>
      <c r="I44" s="14" t="n">
        <v>46464</v>
      </c>
      <c r="J44" s="18">
        <f>IF(D44&gt;0,G44/D44,"")</f>
        <v/>
      </c>
    </row>
    <row r="45">
      <c r="A45" s="19" t="inlineStr">
        <is>
          <t>Direct Funded Trader</t>
        </is>
      </c>
      <c r="B45" s="19" t="inlineStr">
        <is>
          <t>B – À étapes</t>
        </is>
      </c>
      <c r="C45" s="19" t="n">
        <v>2</v>
      </c>
      <c r="D45" s="22" t="n">
        <v>1958</v>
      </c>
      <c r="E45" s="22" t="n">
        <v>400000</v>
      </c>
      <c r="F45" s="22" t="n">
        <v>32000</v>
      </c>
      <c r="G45" s="22" t="n">
        <v>192000</v>
      </c>
      <c r="H45" s="20" t="n">
        <v>46408</v>
      </c>
      <c r="I45" s="20" t="n">
        <v>46478</v>
      </c>
      <c r="J45" s="23">
        <f>IF(D45&gt;0,G45/D45,"")</f>
        <v/>
      </c>
    </row>
    <row r="46">
      <c r="A46" s="13" t="inlineStr">
        <is>
          <t>FTMO</t>
        </is>
      </c>
      <c r="B46" s="13" t="inlineStr">
        <is>
          <t>B – À étapes</t>
        </is>
      </c>
      <c r="C46" s="13" t="n">
        <v>2</v>
      </c>
      <c r="D46" s="17" t="n">
        <v>2354</v>
      </c>
      <c r="E46" s="17" t="n">
        <v>400000</v>
      </c>
      <c r="F46" s="17" t="n">
        <v>32000</v>
      </c>
      <c r="G46" s="17" t="n">
        <v>224000</v>
      </c>
      <c r="H46" s="14" t="n">
        <v>46408</v>
      </c>
      <c r="I46" s="14" t="n">
        <v>46464</v>
      </c>
      <c r="J46" s="18">
        <f>IF(D46&gt;0,G46/D46,"")</f>
        <v/>
      </c>
    </row>
    <row r="47">
      <c r="A47" s="19" t="inlineStr">
        <is>
          <t>Funded X</t>
        </is>
      </c>
      <c r="B47" s="19" t="inlineStr">
        <is>
          <t>B – À étapes</t>
        </is>
      </c>
      <c r="C47" s="19" t="n">
        <v>2</v>
      </c>
      <c r="D47" s="22" t="n">
        <v>1978</v>
      </c>
      <c r="E47" s="22" t="n">
        <v>400000</v>
      </c>
      <c r="F47" s="22" t="n">
        <v>40000</v>
      </c>
      <c r="G47" s="22" t="n">
        <v>280000</v>
      </c>
      <c r="H47" s="20" t="n">
        <v>46408</v>
      </c>
      <c r="I47" s="20" t="n">
        <v>46464</v>
      </c>
      <c r="J47" s="23">
        <f>IF(D47&gt;0,G47/D47,"")</f>
        <v/>
      </c>
    </row>
    <row r="48">
      <c r="A48" s="13" t="inlineStr">
        <is>
          <t>Hantec Trader</t>
        </is>
      </c>
      <c r="B48" s="13" t="inlineStr">
        <is>
          <t>B – À étapes</t>
        </is>
      </c>
      <c r="C48" s="13" t="n">
        <v>2</v>
      </c>
      <c r="D48" s="17" t="n">
        <v>998</v>
      </c>
      <c r="E48" s="17" t="n">
        <v>400000</v>
      </c>
      <c r="F48" s="17" t="n">
        <v>38000</v>
      </c>
      <c r="G48" s="17" t="n">
        <v>209000</v>
      </c>
      <c r="H48" s="14" t="n">
        <v>46408</v>
      </c>
      <c r="I48" s="14" t="n">
        <v>46492</v>
      </c>
      <c r="J48" s="18">
        <f>IF(D48&gt;0,G48/D48,"")</f>
        <v/>
      </c>
    </row>
    <row r="49">
      <c r="A49" s="19" t="inlineStr">
        <is>
          <t>Fundora</t>
        </is>
      </c>
      <c r="B49" s="19" t="inlineStr">
        <is>
          <t>B – À étapes</t>
        </is>
      </c>
      <c r="C49" s="19" t="n">
        <v>1</v>
      </c>
      <c r="D49" s="22" t="n">
        <v>2133</v>
      </c>
      <c r="E49" s="22" t="n">
        <v>400000</v>
      </c>
      <c r="F49" s="22" t="n">
        <v>32000</v>
      </c>
      <c r="G49" s="22" t="n">
        <v>160000</v>
      </c>
      <c r="H49" s="20" t="n">
        <v>46436</v>
      </c>
      <c r="I49" s="20" t="n">
        <v>46506</v>
      </c>
      <c r="J49" s="23">
        <f>IF(D49&gt;0,G49/D49,"")</f>
        <v/>
      </c>
    </row>
    <row r="50">
      <c r="A50" s="13" t="inlineStr">
        <is>
          <t>Get Crypto Funded</t>
        </is>
      </c>
      <c r="B50" s="13" t="inlineStr">
        <is>
          <t>B – À étapes</t>
        </is>
      </c>
      <c r="C50" s="13" t="n">
        <v>2</v>
      </c>
      <c r="D50" s="17" t="n">
        <v>1798</v>
      </c>
      <c r="E50" s="17" t="n">
        <v>400000</v>
      </c>
      <c r="F50" s="17" t="n">
        <v>32000</v>
      </c>
      <c r="G50" s="17" t="n">
        <v>160000</v>
      </c>
      <c r="H50" s="14" t="n">
        <v>46436</v>
      </c>
      <c r="I50" s="14" t="n">
        <v>46520</v>
      </c>
      <c r="J50" s="18">
        <f>IF(D50&gt;0,G50/D50,"")</f>
        <v/>
      </c>
    </row>
    <row r="51">
      <c r="A51" s="19" t="inlineStr">
        <is>
          <t>Get Funded Now</t>
        </is>
      </c>
      <c r="B51" s="19" t="inlineStr">
        <is>
          <t>B – À étapes</t>
        </is>
      </c>
      <c r="C51" s="19" t="n">
        <v>2</v>
      </c>
      <c r="D51" s="22" t="n">
        <v>2690</v>
      </c>
      <c r="E51" s="22" t="n">
        <v>400000</v>
      </c>
      <c r="F51" s="22" t="n">
        <v>32000</v>
      </c>
      <c r="G51" s="22" t="n">
        <v>192000</v>
      </c>
      <c r="H51" s="20" t="n">
        <v>46436</v>
      </c>
      <c r="I51" s="20" t="n">
        <v>46492</v>
      </c>
      <c r="J51" s="23">
        <f>IF(D51&gt;0,G51/D51,"")</f>
        <v/>
      </c>
    </row>
    <row r="52">
      <c r="A52" s="13" t="inlineStr">
        <is>
          <t>Lion Heart Funding</t>
        </is>
      </c>
      <c r="B52" s="13" t="inlineStr">
        <is>
          <t>B – À étapes</t>
        </is>
      </c>
      <c r="C52" s="13" t="n">
        <v>1</v>
      </c>
      <c r="D52" s="17" t="n">
        <v>1959</v>
      </c>
      <c r="E52" s="17" t="n">
        <v>400000</v>
      </c>
      <c r="F52" s="17" t="n">
        <v>32000</v>
      </c>
      <c r="G52" s="17" t="n">
        <v>160000</v>
      </c>
      <c r="H52" s="14" t="n">
        <v>46436</v>
      </c>
      <c r="I52" s="14" t="n">
        <v>46506</v>
      </c>
      <c r="J52" s="18">
        <f>IF(D52&gt;0,G52/D52,"")</f>
        <v/>
      </c>
    </row>
    <row r="53">
      <c r="A53" s="19" t="inlineStr">
        <is>
          <t>Atlas Funded</t>
        </is>
      </c>
      <c r="B53" s="19" t="inlineStr">
        <is>
          <t>A – Instant/Direct CFD</t>
        </is>
      </c>
      <c r="C53" s="19" t="n">
        <v>1</v>
      </c>
      <c r="D53" s="22" t="n">
        <v>1598</v>
      </c>
      <c r="E53" s="22" t="n">
        <v>300000</v>
      </c>
      <c r="F53" s="22" t="n">
        <v>30000</v>
      </c>
      <c r="G53" s="22" t="n">
        <v>240000</v>
      </c>
      <c r="H53" s="20" t="n">
        <v>46408</v>
      </c>
      <c r="I53" s="20" t="n">
        <v>46436</v>
      </c>
      <c r="J53" s="23">
        <f>IF(D53&gt;0,G53/D53,"")</f>
        <v/>
      </c>
    </row>
    <row r="54">
      <c r="A54" s="13" t="inlineStr">
        <is>
          <t>FundedVerse</t>
        </is>
      </c>
      <c r="B54" s="13" t="inlineStr">
        <is>
          <t>A – Instant/Direct CFD</t>
        </is>
      </c>
      <c r="C54" s="13" t="n">
        <v>6</v>
      </c>
      <c r="D54" s="17" t="n">
        <v>4194</v>
      </c>
      <c r="E54" s="17" t="n">
        <v>300000</v>
      </c>
      <c r="F54" s="17" t="n">
        <v>24000</v>
      </c>
      <c r="G54" s="17" t="n">
        <v>192000</v>
      </c>
      <c r="H54" s="14" t="n">
        <v>46408</v>
      </c>
      <c r="I54" s="14" t="n">
        <v>46436</v>
      </c>
      <c r="J54" s="18">
        <f>IF(D54&gt;0,G54/D54,"")</f>
        <v/>
      </c>
    </row>
    <row r="55">
      <c r="A55" s="19" t="inlineStr">
        <is>
          <t>Lark Funding</t>
        </is>
      </c>
      <c r="B55" s="19" t="inlineStr">
        <is>
          <t>A – Instant/Direct CFD</t>
        </is>
      </c>
      <c r="C55" s="19" t="n">
        <v>3</v>
      </c>
      <c r="D55" s="22" t="n">
        <v>13500</v>
      </c>
      <c r="E55" s="22" t="n">
        <v>300000</v>
      </c>
      <c r="F55" s="22" t="n">
        <v>24000</v>
      </c>
      <c r="G55" s="22" t="n">
        <v>192000</v>
      </c>
      <c r="H55" s="20" t="n">
        <v>46408</v>
      </c>
      <c r="I55" s="20" t="n">
        <v>46436</v>
      </c>
      <c r="J55" s="23">
        <f>IF(D55&gt;0,G55/D55,"")</f>
        <v/>
      </c>
    </row>
    <row r="56">
      <c r="A56" s="13" t="inlineStr">
        <is>
          <t>Mockapital</t>
        </is>
      </c>
      <c r="B56" s="13" t="inlineStr">
        <is>
          <t>A – Instant/Direct CFD</t>
        </is>
      </c>
      <c r="C56" s="13" t="n">
        <v>6</v>
      </c>
      <c r="D56" s="17" t="n">
        <v>13500</v>
      </c>
      <c r="E56" s="17" t="n">
        <v>300000</v>
      </c>
      <c r="F56" s="17" t="n">
        <v>24000</v>
      </c>
      <c r="G56" s="17" t="n">
        <v>192000</v>
      </c>
      <c r="H56" s="14" t="n">
        <v>46408</v>
      </c>
      <c r="I56" s="14" t="n">
        <v>46436</v>
      </c>
      <c r="J56" s="18">
        <f>IF(D56&gt;0,G56/D56,"")</f>
        <v/>
      </c>
    </row>
    <row r="57">
      <c r="A57" s="19" t="inlineStr">
        <is>
          <t>FX2 Funding</t>
        </is>
      </c>
      <c r="B57" s="19" t="inlineStr">
        <is>
          <t>B – À étapes</t>
        </is>
      </c>
      <c r="C57" s="19" t="n">
        <v>3</v>
      </c>
      <c r="D57" s="22" t="n">
        <v>1650</v>
      </c>
      <c r="E57" s="22" t="n">
        <v>300000</v>
      </c>
      <c r="F57" s="22" t="n">
        <v>24000</v>
      </c>
      <c r="G57" s="22" t="n">
        <v>120000</v>
      </c>
      <c r="H57" s="20" t="n">
        <v>46436</v>
      </c>
      <c r="I57" s="20" t="n">
        <v>46506</v>
      </c>
      <c r="J57" s="23">
        <f>IF(D57&gt;0,G57/D57,"")</f>
        <v/>
      </c>
    </row>
    <row r="58">
      <c r="A58" s="13" t="inlineStr">
        <is>
          <t>Myfundedcapital</t>
        </is>
      </c>
      <c r="B58" s="13" t="inlineStr">
        <is>
          <t>A – Instant/Direct CFD</t>
        </is>
      </c>
      <c r="C58" s="13" t="n">
        <v>3</v>
      </c>
      <c r="D58" s="17" t="n">
        <v>10410</v>
      </c>
      <c r="E58" s="17" t="n">
        <v>240000</v>
      </c>
      <c r="F58" s="17" t="n">
        <v>19200</v>
      </c>
      <c r="G58" s="17" t="n">
        <v>153600</v>
      </c>
      <c r="H58" s="14" t="n">
        <v>46408</v>
      </c>
      <c r="I58" s="14" t="n">
        <v>46436</v>
      </c>
      <c r="J58" s="18">
        <f>IF(D58&gt;0,G58/D58,"")</f>
        <v/>
      </c>
    </row>
    <row r="59">
      <c r="A59" s="19" t="inlineStr">
        <is>
          <t>Funded Friday</t>
        </is>
      </c>
      <c r="B59" s="19" t="inlineStr">
        <is>
          <t>A – Instant/Direct CFD</t>
        </is>
      </c>
      <c r="C59" s="19" t="n">
        <v>1</v>
      </c>
      <c r="D59" s="22" t="n">
        <v>3899</v>
      </c>
      <c r="E59" s="22" t="n">
        <v>200000</v>
      </c>
      <c r="F59" s="22" t="n">
        <v>16000</v>
      </c>
      <c r="G59" s="22" t="n">
        <v>128000</v>
      </c>
      <c r="H59" s="20" t="n">
        <v>46408</v>
      </c>
      <c r="I59" s="20" t="n">
        <v>46436</v>
      </c>
      <c r="J59" s="23">
        <f>IF(D59&gt;0,G59/D59,"")</f>
        <v/>
      </c>
    </row>
    <row r="60">
      <c r="A60" s="13" t="inlineStr">
        <is>
          <t>Funding Dynasty</t>
        </is>
      </c>
      <c r="B60" s="13" t="inlineStr">
        <is>
          <t>A – Instant/Direct CFD</t>
        </is>
      </c>
      <c r="C60" s="13" t="n">
        <v>1</v>
      </c>
      <c r="D60" s="17" t="n">
        <v>1656</v>
      </c>
      <c r="E60" s="17" t="n">
        <v>200000</v>
      </c>
      <c r="F60" s="17" t="n">
        <v>16000</v>
      </c>
      <c r="G60" s="17" t="n">
        <v>128000</v>
      </c>
      <c r="H60" s="14" t="n">
        <v>46408</v>
      </c>
      <c r="I60" s="14" t="n">
        <v>46436</v>
      </c>
      <c r="J60" s="18">
        <f>IF(D60&gt;0,G60/D60,"")</f>
        <v/>
      </c>
    </row>
    <row r="61">
      <c r="A61" s="19" t="inlineStr">
        <is>
          <t>FundYourFX</t>
        </is>
      </c>
      <c r="B61" s="19" t="inlineStr">
        <is>
          <t>A – Instant/Direct CFD</t>
        </is>
      </c>
      <c r="C61" s="19" t="n">
        <v>1</v>
      </c>
      <c r="D61" s="22" t="n">
        <v>1599</v>
      </c>
      <c r="E61" s="22" t="n">
        <v>200000</v>
      </c>
      <c r="F61" s="22" t="n">
        <v>19000</v>
      </c>
      <c r="G61" s="22" t="n">
        <v>152000</v>
      </c>
      <c r="H61" s="20" t="n">
        <v>46408</v>
      </c>
      <c r="I61" s="20" t="n">
        <v>46436</v>
      </c>
      <c r="J61" s="23">
        <f>IF(D61&gt;0,G61/D61,"")</f>
        <v/>
      </c>
    </row>
    <row r="62">
      <c r="A62" s="13" t="inlineStr">
        <is>
          <t>FOREXIVE</t>
        </is>
      </c>
      <c r="B62" s="13" t="inlineStr">
        <is>
          <t>B – À étapes</t>
        </is>
      </c>
      <c r="C62" s="13" t="n">
        <v>1</v>
      </c>
      <c r="D62" s="17" t="n">
        <v>999</v>
      </c>
      <c r="E62" s="17" t="n">
        <v>200000</v>
      </c>
      <c r="F62" s="17" t="n">
        <v>16000</v>
      </c>
      <c r="G62" s="17" t="n">
        <v>96000</v>
      </c>
      <c r="H62" s="14" t="n">
        <v>46436</v>
      </c>
      <c r="I62" s="14" t="n">
        <v>46492</v>
      </c>
      <c r="J62" s="18">
        <f>IF(D62&gt;0,G62/D62,"")</f>
        <v/>
      </c>
    </row>
    <row r="63">
      <c r="A63" s="19" t="inlineStr">
        <is>
          <t>AIFO</t>
        </is>
      </c>
      <c r="B63" s="19" t="inlineStr">
        <is>
          <t>B – À étapes</t>
        </is>
      </c>
      <c r="C63" s="19" t="n">
        <v>1</v>
      </c>
      <c r="D63" s="22" t="n">
        <v>849</v>
      </c>
      <c r="E63" s="22" t="n">
        <v>200000</v>
      </c>
      <c r="F63" s="22" t="n">
        <v>19000</v>
      </c>
      <c r="G63" s="22" t="n">
        <v>95000</v>
      </c>
      <c r="H63" s="20" t="n">
        <v>46436</v>
      </c>
      <c r="I63" s="20" t="n">
        <v>46506</v>
      </c>
      <c r="J63" s="23">
        <f>IF(D63&gt;0,G63/D63,"")</f>
        <v/>
      </c>
    </row>
    <row r="64">
      <c r="A64" s="13" t="inlineStr">
        <is>
          <t>Breakout</t>
        </is>
      </c>
      <c r="B64" s="13" t="inlineStr">
        <is>
          <t>B – À étapes</t>
        </is>
      </c>
      <c r="C64" s="13" t="n">
        <v>1</v>
      </c>
      <c r="D64" s="17" t="n">
        <v>1090</v>
      </c>
      <c r="E64" s="17" t="n">
        <v>200000</v>
      </c>
      <c r="F64" s="17" t="n">
        <v>16000</v>
      </c>
      <c r="G64" s="17" t="n">
        <v>96000</v>
      </c>
      <c r="H64" s="14" t="n">
        <v>46436</v>
      </c>
      <c r="I64" s="14" t="n">
        <v>46492</v>
      </c>
      <c r="J64" s="18">
        <f>IF(D64&gt;0,G64/D64,"")</f>
        <v/>
      </c>
    </row>
    <row r="65">
      <c r="A65" s="19" t="inlineStr">
        <is>
          <t>BullRush</t>
        </is>
      </c>
      <c r="B65" s="19" t="inlineStr">
        <is>
          <t>B – À étapes</t>
        </is>
      </c>
      <c r="C65" s="19" t="n">
        <v>1</v>
      </c>
      <c r="D65" s="22" t="n">
        <v>800</v>
      </c>
      <c r="E65" s="22" t="n">
        <v>200000</v>
      </c>
      <c r="F65" s="22" t="n">
        <v>15000</v>
      </c>
      <c r="G65" s="22" t="n">
        <v>75000</v>
      </c>
      <c r="H65" s="20" t="n">
        <v>46436</v>
      </c>
      <c r="I65" s="20" t="n">
        <v>46506</v>
      </c>
      <c r="J65" s="23">
        <f>IF(D65&gt;0,G65/D65,"")</f>
        <v/>
      </c>
    </row>
    <row r="66">
      <c r="A66" s="13" t="inlineStr">
        <is>
          <t>Exclusive Funded Programme</t>
        </is>
      </c>
      <c r="B66" s="13" t="inlineStr">
        <is>
          <t>B – À étapes</t>
        </is>
      </c>
      <c r="C66" s="13" t="n">
        <v>1</v>
      </c>
      <c r="D66" s="17" t="n">
        <v>999</v>
      </c>
      <c r="E66" s="17" t="n">
        <v>200000</v>
      </c>
      <c r="F66" s="17" t="n">
        <v>16000</v>
      </c>
      <c r="G66" s="17" t="n">
        <v>80000</v>
      </c>
      <c r="H66" s="14" t="n">
        <v>46436</v>
      </c>
      <c r="I66" s="14" t="n">
        <v>46506</v>
      </c>
      <c r="J66" s="18">
        <f>IF(D66&gt;0,G66/D66,"")</f>
        <v/>
      </c>
    </row>
    <row r="67">
      <c r="A67" s="19" t="inlineStr">
        <is>
          <t>FunderPro</t>
        </is>
      </c>
      <c r="B67" s="19" t="inlineStr">
        <is>
          <t>B – À étapes</t>
        </is>
      </c>
      <c r="C67" s="19" t="n">
        <v>1</v>
      </c>
      <c r="D67" s="22" t="n">
        <v>989</v>
      </c>
      <c r="E67" s="22" t="n">
        <v>200000</v>
      </c>
      <c r="F67" s="22" t="n">
        <v>16000</v>
      </c>
      <c r="G67" s="22" t="n">
        <v>80000</v>
      </c>
      <c r="H67" s="20" t="n">
        <v>46436</v>
      </c>
      <c r="I67" s="20" t="n">
        <v>46506</v>
      </c>
      <c r="J67" s="23">
        <f>IF(D67&gt;0,G67/D67,"")</f>
        <v/>
      </c>
    </row>
    <row r="68">
      <c r="A68" s="13" t="inlineStr">
        <is>
          <t>HyroTrader</t>
        </is>
      </c>
      <c r="B68" s="13" t="inlineStr">
        <is>
          <t>B – À étapes</t>
        </is>
      </c>
      <c r="C68" s="13" t="n">
        <v>1</v>
      </c>
      <c r="D68" s="17" t="n">
        <v>969</v>
      </c>
      <c r="E68" s="17" t="n">
        <v>200000</v>
      </c>
      <c r="F68" s="17" t="n">
        <v>16000</v>
      </c>
      <c r="G68" s="17" t="n">
        <v>96000</v>
      </c>
      <c r="H68" s="14" t="n">
        <v>46436</v>
      </c>
      <c r="I68" s="14" t="n">
        <v>46492</v>
      </c>
      <c r="J68" s="18">
        <f>IF(D68&gt;0,G68/D68,"")</f>
        <v/>
      </c>
    </row>
    <row r="69">
      <c r="A69" s="19" t="inlineStr">
        <is>
          <t>Mubite</t>
        </is>
      </c>
      <c r="B69" s="19" t="inlineStr">
        <is>
          <t>B – À étapes</t>
        </is>
      </c>
      <c r="C69" s="19" t="n">
        <v>1</v>
      </c>
      <c r="D69" s="22" t="n">
        <v>1099</v>
      </c>
      <c r="E69" s="22" t="n">
        <v>200000</v>
      </c>
      <c r="F69" s="22" t="n">
        <v>16000</v>
      </c>
      <c r="G69" s="22" t="n">
        <v>80000</v>
      </c>
      <c r="H69" s="20" t="n">
        <v>46436</v>
      </c>
      <c r="I69" s="20" t="n">
        <v>46506</v>
      </c>
      <c r="J69" s="23">
        <f>IF(D69&gt;0,G69/D69,"")</f>
        <v/>
      </c>
    </row>
    <row r="70">
      <c r="A70" s="13" t="inlineStr">
        <is>
          <t>City Traders Imperium</t>
        </is>
      </c>
      <c r="B70" s="13" t="inlineStr">
        <is>
          <t>A – Instant/Direct CFD</t>
        </is>
      </c>
      <c r="C70" s="13" t="n">
        <v>2</v>
      </c>
      <c r="D70" s="17" t="n">
        <v>3198</v>
      </c>
      <c r="E70" s="17" t="n">
        <v>160000</v>
      </c>
      <c r="F70" s="17" t="n">
        <v>14400</v>
      </c>
      <c r="G70" s="17" t="n">
        <v>115200</v>
      </c>
      <c r="H70" s="14" t="n">
        <v>46408</v>
      </c>
      <c r="I70" s="14" t="n">
        <v>46436</v>
      </c>
      <c r="J70" s="18">
        <f>IF(D70&gt;0,G70/D70,"")</f>
        <v/>
      </c>
    </row>
    <row r="71">
      <c r="A71" s="19" t="inlineStr">
        <is>
          <t>Tradersyard</t>
        </is>
      </c>
      <c r="B71" s="19" t="inlineStr">
        <is>
          <t>B – À étapes</t>
        </is>
      </c>
      <c r="C71" s="19" t="n">
        <v>1</v>
      </c>
      <c r="D71" s="22" t="n">
        <v>339</v>
      </c>
      <c r="E71" s="22" t="n">
        <v>150000</v>
      </c>
      <c r="F71" s="22" t="n">
        <v>15000</v>
      </c>
      <c r="G71" s="22" t="n">
        <v>90000</v>
      </c>
      <c r="H71" s="20" t="n">
        <v>46436</v>
      </c>
      <c r="I71" s="20" t="n">
        <v>46492</v>
      </c>
      <c r="J71" s="23">
        <f>IF(D71&gt;0,G71/D71,"")</f>
        <v/>
      </c>
    </row>
    <row r="72">
      <c r="A72" s="13" t="inlineStr">
        <is>
          <t>Global Forex Funds</t>
        </is>
      </c>
      <c r="B72" s="13" t="inlineStr">
        <is>
          <t>A – Instant/Direct CFD</t>
        </is>
      </c>
      <c r="C72" s="13" t="n">
        <v>1</v>
      </c>
      <c r="D72" s="17" t="n">
        <v>2999</v>
      </c>
      <c r="E72" s="17" t="n">
        <v>100000</v>
      </c>
      <c r="F72" s="17" t="n">
        <v>9000</v>
      </c>
      <c r="G72" s="17" t="n">
        <v>72000</v>
      </c>
      <c r="H72" s="14" t="n">
        <v>46408</v>
      </c>
      <c r="I72" s="14" t="n">
        <v>46436</v>
      </c>
      <c r="J72" s="18">
        <f>IF(D72&gt;0,G72/D72,"")</f>
        <v/>
      </c>
    </row>
    <row r="73">
      <c r="A73" s="19" t="inlineStr">
        <is>
          <t>FTUK</t>
        </is>
      </c>
      <c r="B73" s="19" t="inlineStr">
        <is>
          <t>A – Instant/Direct CFD</t>
        </is>
      </c>
      <c r="C73" s="19" t="n">
        <v>1</v>
      </c>
      <c r="D73" s="22" t="n">
        <v>1499</v>
      </c>
      <c r="E73" s="22" t="n">
        <v>100000</v>
      </c>
      <c r="F73" s="22" t="n">
        <v>8000</v>
      </c>
      <c r="G73" s="22" t="n">
        <v>64000</v>
      </c>
      <c r="H73" s="20" t="n">
        <v>46408</v>
      </c>
      <c r="I73" s="20" t="n">
        <v>46436</v>
      </c>
      <c r="J73" s="23">
        <f>IF(D73&gt;0,G73/D73,"")</f>
        <v/>
      </c>
    </row>
    <row r="74">
      <c r="A74" s="13" t="inlineStr">
        <is>
          <t>Funded Trading Plus</t>
        </is>
      </c>
      <c r="B74" s="13" t="inlineStr">
        <is>
          <t>A – Instant/Direct CFD</t>
        </is>
      </c>
      <c r="C74" s="13" t="n">
        <v>1</v>
      </c>
      <c r="D74" s="17" t="n">
        <v>4499</v>
      </c>
      <c r="E74" s="17" t="n">
        <v>100000</v>
      </c>
      <c r="F74" s="17" t="n">
        <v>8000</v>
      </c>
      <c r="G74" s="17" t="n">
        <v>64000</v>
      </c>
      <c r="H74" s="14" t="n">
        <v>46408</v>
      </c>
      <c r="I74" s="14" t="n">
        <v>46436</v>
      </c>
      <c r="J74" s="18">
        <f>IF(D74&gt;0,G74/D74,"")</f>
        <v/>
      </c>
    </row>
    <row r="75">
      <c r="A75" s="19" t="inlineStr">
        <is>
          <t>Hex Funded</t>
        </is>
      </c>
      <c r="B75" s="19" t="inlineStr">
        <is>
          <t>A – Instant/Direct CFD</t>
        </is>
      </c>
      <c r="C75" s="19" t="n">
        <v>1</v>
      </c>
      <c r="D75" s="22" t="n">
        <v>596</v>
      </c>
      <c r="E75" s="22" t="n">
        <v>100000</v>
      </c>
      <c r="F75" s="22" t="n">
        <v>9000</v>
      </c>
      <c r="G75" s="22" t="n">
        <v>72000</v>
      </c>
      <c r="H75" s="20" t="n">
        <v>46408</v>
      </c>
      <c r="I75" s="20" t="n">
        <v>46436</v>
      </c>
      <c r="J75" s="23">
        <f>IF(D75&gt;0,G75/D75,"")</f>
        <v/>
      </c>
    </row>
    <row r="76">
      <c r="A76" s="13" t="inlineStr">
        <is>
          <t>FundingRock</t>
        </is>
      </c>
      <c r="B76" s="13" t="inlineStr">
        <is>
          <t>A – Instant/Direct CFD</t>
        </is>
      </c>
      <c r="C76" s="13" t="n">
        <v>1</v>
      </c>
      <c r="D76" s="17" t="n">
        <v>600</v>
      </c>
      <c r="E76" s="17" t="n">
        <v>100000</v>
      </c>
      <c r="F76" s="17" t="n">
        <v>8000</v>
      </c>
      <c r="G76" s="17" t="n">
        <v>64000</v>
      </c>
      <c r="H76" s="14" t="n">
        <v>46408</v>
      </c>
      <c r="I76" s="14" t="n">
        <v>46436</v>
      </c>
      <c r="J76" s="18">
        <f>IF(D76&gt;0,G76/D76,"")</f>
        <v/>
      </c>
    </row>
    <row r="77">
      <c r="A77" s="19" t="inlineStr">
        <is>
          <t>LegionFunding</t>
        </is>
      </c>
      <c r="B77" s="19" t="inlineStr">
        <is>
          <t>A – Instant/Direct CFD</t>
        </is>
      </c>
      <c r="C77" s="19" t="n">
        <v>1</v>
      </c>
      <c r="D77" s="22" t="n">
        <v>699</v>
      </c>
      <c r="E77" s="22" t="n">
        <v>100000</v>
      </c>
      <c r="F77" s="22" t="n">
        <v>8000</v>
      </c>
      <c r="G77" s="22" t="n">
        <v>64000</v>
      </c>
      <c r="H77" s="20" t="n">
        <v>46408</v>
      </c>
      <c r="I77" s="20" t="n">
        <v>46436</v>
      </c>
      <c r="J77" s="23">
        <f>IF(D77&gt;0,G77/D77,"")</f>
        <v/>
      </c>
    </row>
    <row r="78">
      <c r="A78" s="13" t="inlineStr">
        <is>
          <t>MasterFunders</t>
        </is>
      </c>
      <c r="B78" s="13" t="inlineStr">
        <is>
          <t>A – Instant/Direct CFD</t>
        </is>
      </c>
      <c r="C78" s="13" t="n">
        <v>1</v>
      </c>
      <c r="D78" s="17" t="n">
        <v>4780</v>
      </c>
      <c r="E78" s="17" t="n">
        <v>100000</v>
      </c>
      <c r="F78" s="17" t="n">
        <v>8000</v>
      </c>
      <c r="G78" s="17" t="n">
        <v>64000</v>
      </c>
      <c r="H78" s="14" t="n">
        <v>46408</v>
      </c>
      <c r="I78" s="14" t="n">
        <v>46436</v>
      </c>
      <c r="J78" s="18">
        <f>IF(D78&gt;0,G78/D78,"")</f>
        <v/>
      </c>
    </row>
    <row r="79">
      <c r="A79" s="19" t="inlineStr">
        <is>
          <t>BEM Funding</t>
        </is>
      </c>
      <c r="B79" s="19" t="inlineStr">
        <is>
          <t>B – À étapes</t>
        </is>
      </c>
      <c r="C79" s="19" t="n">
        <v>1</v>
      </c>
      <c r="D79" s="22" t="n">
        <v>519</v>
      </c>
      <c r="E79" s="22" t="n">
        <v>100000</v>
      </c>
      <c r="F79" s="22" t="n">
        <v>8000</v>
      </c>
      <c r="G79" s="22" t="n">
        <v>40000</v>
      </c>
      <c r="H79" s="20" t="n">
        <v>46436</v>
      </c>
      <c r="I79" s="20" t="n">
        <v>46506</v>
      </c>
      <c r="J79" s="23">
        <f>IF(D79&gt;0,G79/D79,"")</f>
        <v/>
      </c>
    </row>
    <row r="80">
      <c r="A80" s="13" t="inlineStr">
        <is>
          <t>Funding Your Trades</t>
        </is>
      </c>
      <c r="B80" s="13" t="inlineStr">
        <is>
          <t>B – À étapes</t>
        </is>
      </c>
      <c r="C80" s="13" t="n">
        <v>1</v>
      </c>
      <c r="D80" s="17" t="n">
        <v>459</v>
      </c>
      <c r="E80" s="17" t="n">
        <v>100000</v>
      </c>
      <c r="F80" s="17" t="n">
        <v>10000</v>
      </c>
      <c r="G80" s="17" t="n">
        <v>50000</v>
      </c>
      <c r="H80" s="14" t="n">
        <v>46436</v>
      </c>
      <c r="I80" s="14" t="n">
        <v>46506</v>
      </c>
      <c r="J80" s="18">
        <f>IF(D80&gt;0,G80/D80,"")</f>
        <v/>
      </c>
    </row>
    <row r="81">
      <c r="A81" s="19" t="inlineStr">
        <is>
          <t>MFunded (MarketsVox)</t>
        </is>
      </c>
      <c r="B81" s="19" t="inlineStr">
        <is>
          <t>B – À étapes</t>
        </is>
      </c>
      <c r="C81" s="19" t="n">
        <v>1</v>
      </c>
      <c r="D81" s="22" t="n">
        <v>399</v>
      </c>
      <c r="E81" s="22" t="n">
        <v>100000</v>
      </c>
      <c r="F81" s="22" t="n">
        <v>8000</v>
      </c>
      <c r="G81" s="22" t="n">
        <v>32000</v>
      </c>
      <c r="H81" s="20" t="n">
        <v>46464</v>
      </c>
      <c r="I81" s="20" t="n">
        <v>46534</v>
      </c>
      <c r="J81" s="23">
        <f>IF(D81&gt;0,G81/D81,"")</f>
        <v/>
      </c>
    </row>
    <row r="82">
      <c r="A82" s="13" t="inlineStr">
        <is>
          <t>Monevis</t>
        </is>
      </c>
      <c r="B82" s="13" t="inlineStr">
        <is>
          <t>B – À étapes</t>
        </is>
      </c>
      <c r="C82" s="13" t="n">
        <v>1</v>
      </c>
      <c r="D82" s="17" t="n">
        <v>385</v>
      </c>
      <c r="E82" s="17" t="n">
        <v>100000</v>
      </c>
      <c r="F82" s="17" t="n">
        <v>8000</v>
      </c>
      <c r="G82" s="17" t="n">
        <v>32000</v>
      </c>
      <c r="H82" s="14" t="n">
        <v>46464</v>
      </c>
      <c r="I82" s="14" t="n">
        <v>46534</v>
      </c>
      <c r="J82" s="18">
        <f>IF(D82&gt;0,G82/D82,"")</f>
        <v/>
      </c>
    </row>
    <row r="83">
      <c r="A83" s="19" t="inlineStr">
        <is>
          <t>Funding Frontier</t>
        </is>
      </c>
      <c r="B83" s="19" t="inlineStr">
        <is>
          <t>A – Instant/Direct CFD</t>
        </is>
      </c>
      <c r="C83" s="19" t="n">
        <v>1</v>
      </c>
      <c r="D83" s="22" t="n">
        <v>749</v>
      </c>
      <c r="E83" s="22" t="n">
        <v>50000</v>
      </c>
      <c r="F83" s="22" t="n">
        <v>4000</v>
      </c>
      <c r="G83" s="22" t="n">
        <v>32000</v>
      </c>
      <c r="H83" s="20" t="n">
        <v>46408</v>
      </c>
      <c r="I83" s="20" t="n">
        <v>46436</v>
      </c>
      <c r="J83" s="23">
        <f>IF(D83&gt;0,G83/D83,"")</f>
        <v/>
      </c>
    </row>
    <row r="84">
      <c r="A84" s="13" t="inlineStr">
        <is>
          <t>BloomFunded</t>
        </is>
      </c>
      <c r="B84" s="13" t="inlineStr">
        <is>
          <t>A – Instant/Direct CFD</t>
        </is>
      </c>
      <c r="C84" s="13" t="n">
        <v>1</v>
      </c>
      <c r="D84" s="17" t="n">
        <v>680</v>
      </c>
      <c r="E84" s="17" t="n">
        <v>50000</v>
      </c>
      <c r="F84" s="17" t="n">
        <v>4500</v>
      </c>
      <c r="G84" s="17" t="n">
        <v>36000</v>
      </c>
      <c r="H84" s="14" t="n">
        <v>46408</v>
      </c>
      <c r="I84" s="14" t="n">
        <v>46436</v>
      </c>
      <c r="J84" s="18">
        <f>IF(D84&gt;0,G84/D84,"")</f>
        <v/>
      </c>
    </row>
    <row r="85">
      <c r="A85" s="19" t="inlineStr">
        <is>
          <t>FundedNext</t>
        </is>
      </c>
      <c r="B85" s="19" t="inlineStr">
        <is>
          <t>Départ</t>
        </is>
      </c>
      <c r="C85" s="19" t="n">
        <v>0</v>
      </c>
      <c r="D85" s="22" t="n">
        <v>0</v>
      </c>
      <c r="E85" s="22" t="n">
        <v>10000</v>
      </c>
      <c r="F85" s="22" t="n">
        <v>800</v>
      </c>
      <c r="G85" s="22" t="n">
        <v>9600</v>
      </c>
      <c r="H85" s="20" t="n">
        <v>46296</v>
      </c>
      <c r="I85" s="20" t="n">
        <v>46324</v>
      </c>
      <c r="J85" s="23">
        <f>IF(D85&gt;0,G85/D85,"")</f>
        <v/>
      </c>
    </row>
    <row r="86">
      <c r="A86" s="13" t="inlineStr">
        <is>
          <t>Crypto Fund Trader</t>
        </is>
      </c>
      <c r="B86" s="13" t="inlineStr">
        <is>
          <t>A – Instant/Direct CFD</t>
        </is>
      </c>
      <c r="C86" s="13" t="n">
        <v>1</v>
      </c>
      <c r="D86" s="17" t="n">
        <v>475</v>
      </c>
      <c r="E86" s="17" t="n">
        <v>10000</v>
      </c>
      <c r="F86" s="17" t="n">
        <v>800</v>
      </c>
      <c r="G86" s="17" t="n">
        <v>7200</v>
      </c>
      <c r="H86" s="14" t="n">
        <v>46380</v>
      </c>
      <c r="I86" s="14" t="n">
        <v>46408</v>
      </c>
      <c r="J86" s="18">
        <f>IF(D86&gt;0,G86/D86,"")</f>
        <v/>
      </c>
    </row>
    <row r="87">
      <c r="A87" s="9" t="inlineStr">
        <is>
          <t>TOTAL</t>
        </is>
      </c>
      <c r="C87" s="29">
        <f>SUM(C2:C86)</f>
        <v/>
      </c>
      <c r="D87" s="10">
        <f>SUM(D2:D86)</f>
        <v/>
      </c>
      <c r="E87" s="10">
        <f>SUM(E2:E86)</f>
        <v/>
      </c>
      <c r="F87" s="10">
        <f>SUM(F2:F86)</f>
        <v/>
      </c>
      <c r="G87" s="10">
        <f>SUM(G2:G86)</f>
        <v/>
      </c>
    </row>
  </sheetData>
  <autoFilter ref="A1:J8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8" customWidth="1" min="1" max="1"/>
    <col width="14" customWidth="1" min="2" max="2"/>
    <col width="10" customWidth="1" min="3" max="3"/>
    <col width="14" customWidth="1" min="4" max="4"/>
    <col width="16" customWidth="1" min="5" max="5"/>
    <col width="10" customWidth="1" min="6" max="6"/>
    <col width="16" customWidth="1" min="7" max="7"/>
  </cols>
  <sheetData>
    <row r="1" ht="40" customHeight="1">
      <c r="A1" s="12" t="inlineStr">
        <is>
          <t>Prop firm</t>
        </is>
      </c>
      <c r="B1" s="12" t="inlineStr">
        <is>
          <t>Type</t>
        </is>
      </c>
      <c r="C1" s="12" t="inlineStr">
        <is>
          <t>Comptes financés</t>
        </is>
      </c>
      <c r="D1" s="12" t="inlineStr">
        <is>
          <t>Taille ($)</t>
        </is>
      </c>
      <c r="E1" s="12" t="inlineStr">
        <is>
          <t>Capital financé ($)</t>
        </is>
      </c>
      <c r="F1" s="12" t="inlineStr">
        <is>
          <t>Profit split</t>
        </is>
      </c>
      <c r="G1" s="12" t="inlineStr">
        <is>
          <t>Payout mensuel net ($)</t>
        </is>
      </c>
    </row>
    <row r="2">
      <c r="A2" s="13" t="inlineStr">
        <is>
          <t>Moneta Funded</t>
        </is>
      </c>
      <c r="B2" s="13" t="inlineStr">
        <is>
          <t>Instant-Direct</t>
        </is>
      </c>
      <c r="C2" s="13" t="n">
        <v>23</v>
      </c>
      <c r="D2" s="17" t="n">
        <v>100000</v>
      </c>
      <c r="E2" s="17" t="n">
        <v>2300000</v>
      </c>
      <c r="F2" s="27" t="n">
        <v>0.8</v>
      </c>
      <c r="G2" s="17" t="n">
        <v>184000</v>
      </c>
    </row>
    <row r="3">
      <c r="A3" s="19" t="inlineStr">
        <is>
          <t>IQ Capital</t>
        </is>
      </c>
      <c r="B3" s="19" t="inlineStr">
        <is>
          <t>Instant-Direct</t>
        </is>
      </c>
      <c r="C3" s="19" t="n">
        <v>20</v>
      </c>
      <c r="D3" s="22" t="n">
        <v>100000</v>
      </c>
      <c r="E3" s="22" t="n">
        <v>2000000</v>
      </c>
      <c r="F3" s="28" t="n">
        <v>0.8</v>
      </c>
      <c r="G3" s="22" t="n">
        <v>160000</v>
      </c>
    </row>
    <row r="4">
      <c r="A4" s="13" t="inlineStr">
        <is>
          <t>Kickstart Trading</t>
        </is>
      </c>
      <c r="B4" s="13" t="inlineStr">
        <is>
          <t>Instant-Direct</t>
        </is>
      </c>
      <c r="C4" s="13" t="n">
        <v>10</v>
      </c>
      <c r="D4" s="17" t="n">
        <v>100000</v>
      </c>
      <c r="E4" s="17" t="n">
        <v>1000000</v>
      </c>
      <c r="F4" s="27" t="n">
        <v>0.8</v>
      </c>
      <c r="G4" s="17" t="n">
        <v>80000</v>
      </c>
    </row>
    <row r="5">
      <c r="A5" s="19" t="inlineStr">
        <is>
          <t>Kingdom Wealth Funding</t>
        </is>
      </c>
      <c r="B5" s="19" t="inlineStr">
        <is>
          <t>1 Step</t>
        </is>
      </c>
      <c r="C5" s="19" t="n">
        <v>1</v>
      </c>
      <c r="D5" s="22" t="n">
        <v>1000000</v>
      </c>
      <c r="E5" s="22" t="n">
        <v>1000000</v>
      </c>
      <c r="F5" s="28" t="n">
        <v>0.8</v>
      </c>
      <c r="G5" s="22" t="n">
        <v>80000</v>
      </c>
    </row>
    <row r="6">
      <c r="A6" s="13" t="inlineStr">
        <is>
          <t>Ment Funding</t>
        </is>
      </c>
      <c r="B6" s="13" t="inlineStr">
        <is>
          <t>1 Step</t>
        </is>
      </c>
      <c r="C6" s="13" t="n">
        <v>1</v>
      </c>
      <c r="D6" s="17" t="n">
        <v>1000000</v>
      </c>
      <c r="E6" s="17" t="n">
        <v>1000000</v>
      </c>
      <c r="F6" s="27" t="n">
        <v>0.8</v>
      </c>
      <c r="G6" s="17" t="n">
        <v>80000</v>
      </c>
    </row>
    <row r="7">
      <c r="A7" s="19" t="inlineStr">
        <is>
          <t>Blink Funding</t>
        </is>
      </c>
      <c r="B7" s="19" t="inlineStr">
        <is>
          <t>3 Step</t>
        </is>
      </c>
      <c r="C7" s="19" t="n">
        <v>2</v>
      </c>
      <c r="D7" s="22" t="n">
        <v>500000</v>
      </c>
      <c r="E7" s="22" t="n">
        <v>1000000</v>
      </c>
      <c r="F7" s="28" t="n">
        <v>0.75</v>
      </c>
      <c r="G7" s="22" t="n">
        <v>75000</v>
      </c>
    </row>
    <row r="8">
      <c r="A8" s="13" t="inlineStr">
        <is>
          <t>Investiqa</t>
        </is>
      </c>
      <c r="B8" s="13" t="inlineStr">
        <is>
          <t>2 Step</t>
        </is>
      </c>
      <c r="C8" s="13" t="n">
        <v>2</v>
      </c>
      <c r="D8" s="17" t="n">
        <v>500000</v>
      </c>
      <c r="E8" s="17" t="n">
        <v>1000000</v>
      </c>
      <c r="F8" s="27" t="n">
        <v>0.8</v>
      </c>
      <c r="G8" s="17" t="n">
        <v>80000</v>
      </c>
    </row>
    <row r="9">
      <c r="A9" s="19" t="inlineStr">
        <is>
          <t>Instant Funding</t>
        </is>
      </c>
      <c r="B9" s="19" t="inlineStr">
        <is>
          <t>Instant-Direct</t>
        </is>
      </c>
      <c r="C9" s="19" t="n">
        <v>8</v>
      </c>
      <c r="D9" s="22" t="n">
        <v>120000</v>
      </c>
      <c r="E9" s="22" t="n">
        <v>960000</v>
      </c>
      <c r="F9" s="28" t="n">
        <v>0.8</v>
      </c>
      <c r="G9" s="22" t="n">
        <v>76800</v>
      </c>
    </row>
    <row r="10">
      <c r="A10" s="13" t="inlineStr">
        <is>
          <t>Finotive Futures</t>
        </is>
      </c>
      <c r="B10" s="13" t="inlineStr">
        <is>
          <t>1 Step</t>
        </is>
      </c>
      <c r="C10" s="13" t="n">
        <v>6</v>
      </c>
      <c r="D10" s="17" t="n">
        <v>150000</v>
      </c>
      <c r="E10" s="17" t="n">
        <v>900000</v>
      </c>
      <c r="F10" s="27" t="n">
        <v>0.9</v>
      </c>
      <c r="G10" s="17" t="n">
        <v>81000</v>
      </c>
    </row>
    <row r="11">
      <c r="A11" s="19" t="inlineStr">
        <is>
          <t>Funded Trader Markets</t>
        </is>
      </c>
      <c r="B11" s="19" t="inlineStr">
        <is>
          <t>1 Step</t>
        </is>
      </c>
      <c r="C11" s="19" t="n">
        <v>3</v>
      </c>
      <c r="D11" s="22" t="n">
        <v>300000</v>
      </c>
      <c r="E11" s="22" t="n">
        <v>900000</v>
      </c>
      <c r="F11" s="28" t="n">
        <v>0.9</v>
      </c>
      <c r="G11" s="22" t="n">
        <v>81000</v>
      </c>
    </row>
    <row r="12">
      <c r="A12" s="13" t="inlineStr">
        <is>
          <t>BestProp4U</t>
        </is>
      </c>
      <c r="B12" s="13" t="inlineStr">
        <is>
          <t>2 Step</t>
        </is>
      </c>
      <c r="C12" s="13" t="n">
        <v>2</v>
      </c>
      <c r="D12" s="17" t="n">
        <v>400000</v>
      </c>
      <c r="E12" s="17" t="n">
        <v>800000</v>
      </c>
      <c r="F12" s="27" t="n">
        <v>0.6</v>
      </c>
      <c r="G12" s="17" t="n">
        <v>48000</v>
      </c>
    </row>
    <row r="13">
      <c r="A13" s="19" t="inlineStr">
        <is>
          <t>FXIFY</t>
        </is>
      </c>
      <c r="B13" s="19" t="inlineStr">
        <is>
          <t>3 Step</t>
        </is>
      </c>
      <c r="C13" s="19" t="n">
        <v>2</v>
      </c>
      <c r="D13" s="22" t="n">
        <v>400000</v>
      </c>
      <c r="E13" s="22" t="n">
        <v>800000</v>
      </c>
      <c r="F13" s="28" t="n">
        <v>0.9</v>
      </c>
      <c r="G13" s="22" t="n">
        <v>72000</v>
      </c>
    </row>
    <row r="14">
      <c r="A14" s="13" t="inlineStr">
        <is>
          <t>Funded Squad</t>
        </is>
      </c>
      <c r="B14" s="13" t="inlineStr">
        <is>
          <t>2 Step</t>
        </is>
      </c>
      <c r="C14" s="13" t="n">
        <v>4</v>
      </c>
      <c r="D14" s="17" t="n">
        <v>200000</v>
      </c>
      <c r="E14" s="17" t="n">
        <v>800000</v>
      </c>
      <c r="F14" s="27" t="n">
        <v>1</v>
      </c>
      <c r="G14" s="17" t="n">
        <v>80000</v>
      </c>
    </row>
    <row r="15">
      <c r="A15" s="19" t="inlineStr">
        <is>
          <t>FunderPro Futures</t>
        </is>
      </c>
      <c r="B15" s="19" t="inlineStr">
        <is>
          <t>1 Step</t>
        </is>
      </c>
      <c r="C15" s="19" t="n">
        <v>5</v>
      </c>
      <c r="D15" s="22" t="n">
        <v>150000</v>
      </c>
      <c r="E15" s="22" t="n">
        <v>750000</v>
      </c>
      <c r="F15" s="28" t="n">
        <v>0.6</v>
      </c>
      <c r="G15" s="22" t="n">
        <v>45000</v>
      </c>
    </row>
    <row r="16">
      <c r="A16" s="13" t="inlineStr">
        <is>
          <t>10FOUR</t>
        </is>
      </c>
      <c r="B16" s="13" t="inlineStr">
        <is>
          <t>1 Step</t>
        </is>
      </c>
      <c r="C16" s="13" t="n">
        <v>5</v>
      </c>
      <c r="D16" s="17" t="n">
        <v>150000</v>
      </c>
      <c r="E16" s="17" t="n">
        <v>750000</v>
      </c>
      <c r="F16" s="27" t="n">
        <v>0.9</v>
      </c>
      <c r="G16" s="17" t="n">
        <v>67500</v>
      </c>
    </row>
    <row r="17">
      <c r="A17" s="19" t="inlineStr">
        <is>
          <t>LifeUp Trading</t>
        </is>
      </c>
      <c r="B17" s="19" t="inlineStr">
        <is>
          <t>1 Step</t>
        </is>
      </c>
      <c r="C17" s="19" t="n">
        <v>5</v>
      </c>
      <c r="D17" s="22" t="n">
        <v>150000</v>
      </c>
      <c r="E17" s="22" t="n">
        <v>750000</v>
      </c>
      <c r="F17" s="28" t="n">
        <v>0.8</v>
      </c>
      <c r="G17" s="22" t="n">
        <v>60000</v>
      </c>
    </row>
    <row r="18">
      <c r="A18" s="13" t="inlineStr">
        <is>
          <t>Audacity Capital</t>
        </is>
      </c>
      <c r="B18" s="13" t="inlineStr">
        <is>
          <t>Instant-Direct</t>
        </is>
      </c>
      <c r="C18" s="13" t="n">
        <v>14</v>
      </c>
      <c r="D18" s="17" t="n">
        <v>50000</v>
      </c>
      <c r="E18" s="17" t="n">
        <v>700000</v>
      </c>
      <c r="F18" s="27" t="n">
        <v>0.9</v>
      </c>
      <c r="G18" s="17" t="n">
        <v>63000</v>
      </c>
    </row>
    <row r="19">
      <c r="A19" s="19" t="inlineStr">
        <is>
          <t>Blue Guardian Futures</t>
        </is>
      </c>
      <c r="B19" s="19" t="inlineStr">
        <is>
          <t>1 Step</t>
        </is>
      </c>
      <c r="C19" s="19" t="n">
        <v>7</v>
      </c>
      <c r="D19" s="22" t="n">
        <v>100000</v>
      </c>
      <c r="E19" s="22" t="n">
        <v>700000</v>
      </c>
      <c r="F19" s="28" t="n">
        <v>0.9</v>
      </c>
      <c r="G19" s="22" t="n">
        <v>63000</v>
      </c>
    </row>
    <row r="20">
      <c r="A20" s="13" t="inlineStr">
        <is>
          <t>Fintokei</t>
        </is>
      </c>
      <c r="B20" s="13" t="inlineStr">
        <is>
          <t>3 Step</t>
        </is>
      </c>
      <c r="C20" s="13" t="n">
        <v>7</v>
      </c>
      <c r="D20" s="17" t="n">
        <v>100000</v>
      </c>
      <c r="E20" s="17" t="n">
        <v>700000</v>
      </c>
      <c r="F20" s="27" t="n">
        <v>1</v>
      </c>
      <c r="G20" s="17" t="n">
        <v>70000</v>
      </c>
    </row>
    <row r="21">
      <c r="A21" s="19" t="inlineStr">
        <is>
          <t>Fill88</t>
        </is>
      </c>
      <c r="B21" s="19" t="inlineStr">
        <is>
          <t>Instant-Direct</t>
        </is>
      </c>
      <c r="C21" s="19" t="n">
        <v>6</v>
      </c>
      <c r="D21" s="22" t="n">
        <v>100000</v>
      </c>
      <c r="E21" s="22" t="n">
        <v>600000</v>
      </c>
      <c r="F21" s="28" t="n">
        <v>0.8</v>
      </c>
      <c r="G21" s="22" t="n">
        <v>48000</v>
      </c>
    </row>
    <row r="22">
      <c r="A22" s="13" t="inlineStr">
        <is>
          <t>Finotive Funding</t>
        </is>
      </c>
      <c r="B22" s="13" t="inlineStr">
        <is>
          <t>Instant-Direct</t>
        </is>
      </c>
      <c r="C22" s="13" t="n">
        <v>6</v>
      </c>
      <c r="D22" s="17" t="n">
        <v>100000</v>
      </c>
      <c r="E22" s="17" t="n">
        <v>600000</v>
      </c>
      <c r="F22" s="27" t="n">
        <v>0.75</v>
      </c>
      <c r="G22" s="17" t="n">
        <v>45000</v>
      </c>
    </row>
    <row r="23">
      <c r="A23" s="19" t="inlineStr">
        <is>
          <t>DNA Funded</t>
        </is>
      </c>
      <c r="B23" s="19" t="inlineStr">
        <is>
          <t>2 Step</t>
        </is>
      </c>
      <c r="C23" s="19" t="n">
        <v>3</v>
      </c>
      <c r="D23" s="22" t="n">
        <v>200000</v>
      </c>
      <c r="E23" s="22" t="n">
        <v>600000</v>
      </c>
      <c r="F23" s="28" t="n">
        <v>0.9</v>
      </c>
      <c r="G23" s="22" t="n">
        <v>54000</v>
      </c>
    </row>
    <row r="24">
      <c r="A24" s="13" t="inlineStr">
        <is>
          <t>Eightcap Challenges</t>
        </is>
      </c>
      <c r="B24" s="13" t="inlineStr">
        <is>
          <t>2 Step</t>
        </is>
      </c>
      <c r="C24" s="13" t="n">
        <v>3</v>
      </c>
      <c r="D24" s="17" t="n">
        <v>200000</v>
      </c>
      <c r="E24" s="17" t="n">
        <v>600000</v>
      </c>
      <c r="F24" s="27" t="n">
        <v>0.8</v>
      </c>
      <c r="G24" s="17" t="n">
        <v>48000</v>
      </c>
    </row>
    <row r="25">
      <c r="A25" s="19" t="inlineStr">
        <is>
          <t>FNC Funding</t>
        </is>
      </c>
      <c r="B25" s="19" t="inlineStr">
        <is>
          <t>Instant-Direct</t>
        </is>
      </c>
      <c r="C25" s="19" t="n">
        <v>5</v>
      </c>
      <c r="D25" s="22" t="n">
        <v>100000</v>
      </c>
      <c r="E25" s="22" t="n">
        <v>500000</v>
      </c>
      <c r="F25" s="28" t="n">
        <v>0.75</v>
      </c>
      <c r="G25" s="22" t="n">
        <v>37500</v>
      </c>
    </row>
    <row r="26">
      <c r="A26" s="13" t="inlineStr">
        <is>
          <t>Ifunds</t>
        </is>
      </c>
      <c r="B26" s="13" t="inlineStr">
        <is>
          <t>Instant-Direct</t>
        </is>
      </c>
      <c r="C26" s="13" t="n">
        <v>1</v>
      </c>
      <c r="D26" s="17" t="n">
        <v>500000</v>
      </c>
      <c r="E26" s="17" t="n">
        <v>500000</v>
      </c>
      <c r="F26" s="27" t="n">
        <v>0.8</v>
      </c>
      <c r="G26" s="17" t="n">
        <v>40000</v>
      </c>
    </row>
    <row r="27">
      <c r="A27" s="19" t="inlineStr">
        <is>
          <t>Capitalize</t>
        </is>
      </c>
      <c r="B27" s="19" t="inlineStr">
        <is>
          <t>1 Step</t>
        </is>
      </c>
      <c r="C27" s="19" t="n">
        <v>1</v>
      </c>
      <c r="D27" s="22" t="n">
        <v>500000</v>
      </c>
      <c r="E27" s="22" t="n">
        <v>500000</v>
      </c>
      <c r="F27" s="28" t="n">
        <v>0.8</v>
      </c>
      <c r="G27" s="22" t="n">
        <v>40000</v>
      </c>
    </row>
    <row r="28">
      <c r="A28" s="13" t="inlineStr">
        <is>
          <t>IC Funded</t>
        </is>
      </c>
      <c r="B28" s="13" t="inlineStr">
        <is>
          <t>2 Step</t>
        </is>
      </c>
      <c r="C28" s="13" t="n">
        <v>1</v>
      </c>
      <c r="D28" s="17" t="n">
        <v>500000</v>
      </c>
      <c r="E28" s="17" t="n">
        <v>500000</v>
      </c>
      <c r="F28" s="27" t="n">
        <v>0.9</v>
      </c>
      <c r="G28" s="17" t="n">
        <v>45000</v>
      </c>
    </row>
    <row r="29">
      <c r="A29" s="19" t="inlineStr">
        <is>
          <t>Hola Prime</t>
        </is>
      </c>
      <c r="B29" s="19" t="inlineStr">
        <is>
          <t>1 Step</t>
        </is>
      </c>
      <c r="C29" s="19" t="n">
        <v>3</v>
      </c>
      <c r="D29" s="22" t="n">
        <v>150000</v>
      </c>
      <c r="E29" s="22" t="n">
        <v>450000</v>
      </c>
      <c r="F29" s="28" t="n">
        <v>0.8</v>
      </c>
      <c r="G29" s="22" t="n">
        <v>36000</v>
      </c>
    </row>
    <row r="30">
      <c r="A30" s="13" t="inlineStr">
        <is>
          <t>FTMO Futures</t>
        </is>
      </c>
      <c r="B30" s="13" t="inlineStr">
        <is>
          <t>1 Step</t>
        </is>
      </c>
      <c r="C30" s="13" t="n">
        <v>3</v>
      </c>
      <c r="D30" s="17" t="n">
        <v>150000</v>
      </c>
      <c r="E30" s="17" t="n">
        <v>450000</v>
      </c>
      <c r="F30" s="27" t="n">
        <v>0.9</v>
      </c>
      <c r="G30" s="17" t="n">
        <v>40500</v>
      </c>
    </row>
    <row r="31">
      <c r="A31" s="19" t="inlineStr">
        <is>
          <t>Halcyon Trader Funding</t>
        </is>
      </c>
      <c r="B31" s="19" t="inlineStr">
        <is>
          <t>1 Step</t>
        </is>
      </c>
      <c r="C31" s="19" t="n">
        <v>3</v>
      </c>
      <c r="D31" s="22" t="n">
        <v>150000</v>
      </c>
      <c r="E31" s="22" t="n">
        <v>450000</v>
      </c>
      <c r="F31" s="28" t="n">
        <v>0.9</v>
      </c>
      <c r="G31" s="22" t="n">
        <v>40500</v>
      </c>
    </row>
    <row r="32">
      <c r="A32" s="13" t="inlineStr">
        <is>
          <t>E8 Markets</t>
        </is>
      </c>
      <c r="B32" s="13" t="inlineStr">
        <is>
          <t>2 Step</t>
        </is>
      </c>
      <c r="C32" s="13" t="n">
        <v>3</v>
      </c>
      <c r="D32" s="17" t="n">
        <v>150000</v>
      </c>
      <c r="E32" s="17" t="n">
        <v>450000</v>
      </c>
      <c r="F32" s="27" t="n">
        <v>0.8</v>
      </c>
      <c r="G32" s="17" t="n">
        <v>36000</v>
      </c>
    </row>
    <row r="33">
      <c r="A33" s="19" t="inlineStr">
        <is>
          <t>Blueberry Futures</t>
        </is>
      </c>
      <c r="B33" s="19" t="inlineStr">
        <is>
          <t>1 Step</t>
        </is>
      </c>
      <c r="C33" s="19" t="n">
        <v>3</v>
      </c>
      <c r="D33" s="22" t="n">
        <v>150000</v>
      </c>
      <c r="E33" s="22" t="n">
        <v>450000</v>
      </c>
      <c r="F33" s="28" t="n">
        <v>0.9</v>
      </c>
      <c r="G33" s="22" t="n">
        <v>40500</v>
      </c>
    </row>
    <row r="34">
      <c r="A34" s="13" t="inlineStr">
        <is>
          <t>Funding Traders</t>
        </is>
      </c>
      <c r="B34" s="13" t="inlineStr">
        <is>
          <t>Instant-Direct</t>
        </is>
      </c>
      <c r="C34" s="13" t="n">
        <v>1</v>
      </c>
      <c r="D34" s="17" t="n">
        <v>400000</v>
      </c>
      <c r="E34" s="17" t="n">
        <v>400000</v>
      </c>
      <c r="F34" s="27" t="n">
        <v>1</v>
      </c>
      <c r="G34" s="17" t="n">
        <v>40000</v>
      </c>
    </row>
    <row r="35">
      <c r="A35" s="19" t="inlineStr">
        <is>
          <t>Alpine Funded</t>
        </is>
      </c>
      <c r="B35" s="19" t="inlineStr">
        <is>
          <t>Instant-Direct</t>
        </is>
      </c>
      <c r="C35" s="19" t="n">
        <v>2</v>
      </c>
      <c r="D35" s="22" t="n">
        <v>200000</v>
      </c>
      <c r="E35" s="22" t="n">
        <v>400000</v>
      </c>
      <c r="F35" s="28" t="n">
        <v>1</v>
      </c>
      <c r="G35" s="22" t="n">
        <v>40000</v>
      </c>
    </row>
    <row r="36">
      <c r="A36" s="13" t="inlineStr">
        <is>
          <t>AquaFunded</t>
        </is>
      </c>
      <c r="B36" s="13" t="inlineStr">
        <is>
          <t>Instant-Direct</t>
        </is>
      </c>
      <c r="C36" s="13" t="n">
        <v>1</v>
      </c>
      <c r="D36" s="17" t="n">
        <v>400000</v>
      </c>
      <c r="E36" s="17" t="n">
        <v>400000</v>
      </c>
      <c r="F36" s="27" t="n">
        <v>0.9</v>
      </c>
      <c r="G36" s="17" t="n">
        <v>36000</v>
      </c>
    </row>
    <row r="37">
      <c r="A37" s="19" t="inlineStr">
        <is>
          <t>Atmos Funded</t>
        </is>
      </c>
      <c r="B37" s="19" t="inlineStr">
        <is>
          <t>Instant-Direct</t>
        </is>
      </c>
      <c r="C37" s="19" t="n">
        <v>4</v>
      </c>
      <c r="D37" s="22" t="n">
        <v>100000</v>
      </c>
      <c r="E37" s="22" t="n">
        <v>400000</v>
      </c>
      <c r="F37" s="28" t="n">
        <v>0.9</v>
      </c>
      <c r="G37" s="22" t="n">
        <v>36000</v>
      </c>
    </row>
    <row r="38">
      <c r="A38" s="13" t="inlineStr">
        <is>
          <t>Blue Guardian</t>
        </is>
      </c>
      <c r="B38" s="13" t="inlineStr">
        <is>
          <t>Instant-Direct</t>
        </is>
      </c>
      <c r="C38" s="13" t="n">
        <v>1</v>
      </c>
      <c r="D38" s="17" t="n">
        <v>400000</v>
      </c>
      <c r="E38" s="17" t="n">
        <v>400000</v>
      </c>
      <c r="F38" s="27" t="n">
        <v>0.8</v>
      </c>
      <c r="G38" s="17" t="n">
        <v>32000</v>
      </c>
    </row>
    <row r="39">
      <c r="A39" s="19" t="inlineStr">
        <is>
          <t>FundedElite</t>
        </is>
      </c>
      <c r="B39" s="19" t="inlineStr">
        <is>
          <t>Instant-Direct</t>
        </is>
      </c>
      <c r="C39" s="19" t="n">
        <v>4</v>
      </c>
      <c r="D39" s="22" t="n">
        <v>100000</v>
      </c>
      <c r="E39" s="22" t="n">
        <v>400000</v>
      </c>
      <c r="F39" s="28" t="n">
        <v>0.95</v>
      </c>
      <c r="G39" s="22" t="n">
        <v>38000</v>
      </c>
    </row>
    <row r="40">
      <c r="A40" s="13" t="inlineStr">
        <is>
          <t>Funding Pips</t>
        </is>
      </c>
      <c r="B40" s="13" t="inlineStr">
        <is>
          <t>Instant-Direct</t>
        </is>
      </c>
      <c r="C40" s="13" t="n">
        <v>2</v>
      </c>
      <c r="D40" s="17" t="n">
        <v>200000</v>
      </c>
      <c r="E40" s="17" t="n">
        <v>400000</v>
      </c>
      <c r="F40" s="27" t="n">
        <v>1</v>
      </c>
      <c r="G40" s="17" t="n">
        <v>40000</v>
      </c>
    </row>
    <row r="41">
      <c r="A41" s="19" t="inlineStr">
        <is>
          <t>Goat Funded Trader</t>
        </is>
      </c>
      <c r="B41" s="19" t="inlineStr">
        <is>
          <t>Instant-Direct</t>
        </is>
      </c>
      <c r="C41" s="19" t="n">
        <v>4</v>
      </c>
      <c r="D41" s="22" t="n">
        <v>100000</v>
      </c>
      <c r="E41" s="22" t="n">
        <v>400000</v>
      </c>
      <c r="F41" s="28" t="n">
        <v>1</v>
      </c>
      <c r="G41" s="22" t="n">
        <v>40000</v>
      </c>
    </row>
    <row r="42">
      <c r="A42" s="13" t="inlineStr">
        <is>
          <t>Ment Funding Futures</t>
        </is>
      </c>
      <c r="B42" s="13" t="inlineStr">
        <is>
          <t>1 Step</t>
        </is>
      </c>
      <c r="C42" s="13" t="n">
        <v>1</v>
      </c>
      <c r="D42" s="17" t="n">
        <v>400000</v>
      </c>
      <c r="E42" s="17" t="n">
        <v>400000</v>
      </c>
      <c r="F42" s="27" t="n">
        <v>0.8</v>
      </c>
      <c r="G42" s="17" t="n">
        <v>32000</v>
      </c>
    </row>
    <row r="43">
      <c r="A43" s="19" t="inlineStr">
        <is>
          <t>Astrofund</t>
        </is>
      </c>
      <c r="B43" s="19" t="inlineStr">
        <is>
          <t>1 Step</t>
        </is>
      </c>
      <c r="C43" s="19" t="n">
        <v>4</v>
      </c>
      <c r="D43" s="22" t="n">
        <v>100000</v>
      </c>
      <c r="E43" s="22" t="n">
        <v>400000</v>
      </c>
      <c r="F43" s="28" t="n">
        <v>0.9</v>
      </c>
      <c r="G43" s="22" t="n">
        <v>36000</v>
      </c>
    </row>
    <row r="44">
      <c r="A44" s="13" t="inlineStr">
        <is>
          <t>BrightFunded</t>
        </is>
      </c>
      <c r="B44" s="13" t="inlineStr">
        <is>
          <t>1 Step</t>
        </is>
      </c>
      <c r="C44" s="13" t="n">
        <v>2</v>
      </c>
      <c r="D44" s="17" t="n">
        <v>200000</v>
      </c>
      <c r="E44" s="17" t="n">
        <v>400000</v>
      </c>
      <c r="F44" s="27" t="n">
        <v>1</v>
      </c>
      <c r="G44" s="17" t="n">
        <v>40000</v>
      </c>
    </row>
    <row r="45">
      <c r="A45" s="19" t="inlineStr">
        <is>
          <t>FTMO</t>
        </is>
      </c>
      <c r="B45" s="19" t="inlineStr">
        <is>
          <t>1 Step</t>
        </is>
      </c>
      <c r="C45" s="19" t="n">
        <v>2</v>
      </c>
      <c r="D45" s="22" t="n">
        <v>200000</v>
      </c>
      <c r="E45" s="22" t="n">
        <v>400000</v>
      </c>
      <c r="F45" s="28" t="n">
        <v>0.8</v>
      </c>
      <c r="G45" s="22" t="n">
        <v>32000</v>
      </c>
    </row>
    <row r="46">
      <c r="A46" s="13" t="inlineStr">
        <is>
          <t>Funded X</t>
        </is>
      </c>
      <c r="B46" s="13" t="inlineStr">
        <is>
          <t>1 Step</t>
        </is>
      </c>
      <c r="C46" s="13" t="n">
        <v>2</v>
      </c>
      <c r="D46" s="17" t="n">
        <v>200000</v>
      </c>
      <c r="E46" s="17" t="n">
        <v>400000</v>
      </c>
      <c r="F46" s="27" t="n">
        <v>1</v>
      </c>
      <c r="G46" s="17" t="n">
        <v>40000</v>
      </c>
    </row>
    <row r="47">
      <c r="A47" s="19" t="inlineStr">
        <is>
          <t>Direct Funded Trader</t>
        </is>
      </c>
      <c r="B47" s="19" t="inlineStr">
        <is>
          <t>2 Step</t>
        </is>
      </c>
      <c r="C47" s="19" t="n">
        <v>2</v>
      </c>
      <c r="D47" s="22" t="n">
        <v>200000</v>
      </c>
      <c r="E47" s="22" t="n">
        <v>400000</v>
      </c>
      <c r="F47" s="28" t="n">
        <v>0.8</v>
      </c>
      <c r="G47" s="22" t="n">
        <v>32000</v>
      </c>
    </row>
    <row r="48">
      <c r="A48" s="13" t="inlineStr">
        <is>
          <t>Hantec Trader</t>
        </is>
      </c>
      <c r="B48" s="13" t="inlineStr">
        <is>
          <t>3 Step</t>
        </is>
      </c>
      <c r="C48" s="13" t="n">
        <v>2</v>
      </c>
      <c r="D48" s="17" t="n">
        <v>200000</v>
      </c>
      <c r="E48" s="17" t="n">
        <v>400000</v>
      </c>
      <c r="F48" s="27" t="n">
        <v>0.95</v>
      </c>
      <c r="G48" s="17" t="n">
        <v>38000</v>
      </c>
    </row>
    <row r="49">
      <c r="A49" s="19" t="inlineStr">
        <is>
          <t>Get Funded Now</t>
        </is>
      </c>
      <c r="B49" s="19" t="inlineStr">
        <is>
          <t>1 Step</t>
        </is>
      </c>
      <c r="C49" s="19" t="n">
        <v>2</v>
      </c>
      <c r="D49" s="22" t="n">
        <v>200000</v>
      </c>
      <c r="E49" s="22" t="n">
        <v>400000</v>
      </c>
      <c r="F49" s="28" t="n">
        <v>0.8</v>
      </c>
      <c r="G49" s="22" t="n">
        <v>32000</v>
      </c>
    </row>
    <row r="50">
      <c r="A50" s="13" t="inlineStr">
        <is>
          <t>Fundora</t>
        </is>
      </c>
      <c r="B50" s="13" t="inlineStr">
        <is>
          <t>2 Step</t>
        </is>
      </c>
      <c r="C50" s="13" t="n">
        <v>1</v>
      </c>
      <c r="D50" s="17" t="n">
        <v>400000</v>
      </c>
      <c r="E50" s="17" t="n">
        <v>400000</v>
      </c>
      <c r="F50" s="27" t="n">
        <v>0.8</v>
      </c>
      <c r="G50" s="17" t="n">
        <v>32000</v>
      </c>
    </row>
    <row r="51">
      <c r="A51" s="19" t="inlineStr">
        <is>
          <t>Lion Heart Funding</t>
        </is>
      </c>
      <c r="B51" s="19" t="inlineStr">
        <is>
          <t>2 Step</t>
        </is>
      </c>
      <c r="C51" s="19" t="n">
        <v>1</v>
      </c>
      <c r="D51" s="22" t="n">
        <v>400000</v>
      </c>
      <c r="E51" s="22" t="n">
        <v>400000</v>
      </c>
      <c r="F51" s="28" t="n">
        <v>0.8</v>
      </c>
      <c r="G51" s="22" t="n">
        <v>32000</v>
      </c>
    </row>
    <row r="52">
      <c r="A52" s="13" t="inlineStr">
        <is>
          <t>Get Crypto Funded</t>
        </is>
      </c>
      <c r="B52" s="13" t="inlineStr">
        <is>
          <t>3 Step</t>
        </is>
      </c>
      <c r="C52" s="13" t="n">
        <v>2</v>
      </c>
      <c r="D52" s="17" t="n">
        <v>200000</v>
      </c>
      <c r="E52" s="17" t="n">
        <v>400000</v>
      </c>
      <c r="F52" s="27" t="n">
        <v>0.8</v>
      </c>
      <c r="G52" s="17" t="n">
        <v>32000</v>
      </c>
    </row>
    <row r="53">
      <c r="A53" s="19" t="inlineStr">
        <is>
          <t>Atlas Funded</t>
        </is>
      </c>
      <c r="B53" s="19" t="inlineStr">
        <is>
          <t>Instant-Direct</t>
        </is>
      </c>
      <c r="C53" s="19" t="n">
        <v>1</v>
      </c>
      <c r="D53" s="22" t="n">
        <v>300000</v>
      </c>
      <c r="E53" s="22" t="n">
        <v>300000</v>
      </c>
      <c r="F53" s="28" t="n">
        <v>1</v>
      </c>
      <c r="G53" s="22" t="n">
        <v>30000</v>
      </c>
    </row>
    <row r="54">
      <c r="A54" s="13" t="inlineStr">
        <is>
          <t>FundedVerse</t>
        </is>
      </c>
      <c r="B54" s="13" t="inlineStr">
        <is>
          <t>Instant-Direct</t>
        </is>
      </c>
      <c r="C54" s="13" t="n">
        <v>6</v>
      </c>
      <c r="D54" s="17" t="n">
        <v>50000</v>
      </c>
      <c r="E54" s="17" t="n">
        <v>300000</v>
      </c>
      <c r="F54" s="27" t="n">
        <v>0.8</v>
      </c>
      <c r="G54" s="17" t="n">
        <v>24000</v>
      </c>
    </row>
    <row r="55">
      <c r="A55" s="19" t="inlineStr">
        <is>
          <t>Lark Funding</t>
        </is>
      </c>
      <c r="B55" s="19" t="inlineStr">
        <is>
          <t>Instant-Direct</t>
        </is>
      </c>
      <c r="C55" s="19" t="n">
        <v>3</v>
      </c>
      <c r="D55" s="22" t="n">
        <v>100000</v>
      </c>
      <c r="E55" s="22" t="n">
        <v>300000</v>
      </c>
      <c r="F55" s="28" t="n">
        <v>0.8</v>
      </c>
      <c r="G55" s="22" t="n">
        <v>24000</v>
      </c>
    </row>
    <row r="56">
      <c r="A56" s="13" t="inlineStr">
        <is>
          <t>Mockapital</t>
        </is>
      </c>
      <c r="B56" s="13" t="inlineStr">
        <is>
          <t>Instant-Direct</t>
        </is>
      </c>
      <c r="C56" s="13" t="n">
        <v>6</v>
      </c>
      <c r="D56" s="17" t="n">
        <v>50000</v>
      </c>
      <c r="E56" s="17" t="n">
        <v>300000</v>
      </c>
      <c r="F56" s="27" t="n">
        <v>0.8</v>
      </c>
      <c r="G56" s="17" t="n">
        <v>24000</v>
      </c>
    </row>
    <row r="57">
      <c r="A57" s="19" t="inlineStr">
        <is>
          <t>FX2 Funding</t>
        </is>
      </c>
      <c r="B57" s="19" t="inlineStr">
        <is>
          <t>2 Step</t>
        </is>
      </c>
      <c r="C57" s="19" t="n">
        <v>3</v>
      </c>
      <c r="D57" s="22" t="n">
        <v>100000</v>
      </c>
      <c r="E57" s="22" t="n">
        <v>300000</v>
      </c>
      <c r="F57" s="28" t="n">
        <v>0.8</v>
      </c>
      <c r="G57" s="22" t="n">
        <v>24000</v>
      </c>
    </row>
    <row r="58">
      <c r="A58" s="13" t="inlineStr">
        <is>
          <t>Myfundedcapital</t>
        </is>
      </c>
      <c r="B58" s="13" t="inlineStr">
        <is>
          <t>Instant-Direct</t>
        </is>
      </c>
      <c r="C58" s="13" t="n">
        <v>3</v>
      </c>
      <c r="D58" s="17" t="n">
        <v>80000</v>
      </c>
      <c r="E58" s="17" t="n">
        <v>240000</v>
      </c>
      <c r="F58" s="27" t="n">
        <v>0.8</v>
      </c>
      <c r="G58" s="17" t="n">
        <v>19200</v>
      </c>
    </row>
    <row r="59">
      <c r="A59" s="19" t="inlineStr">
        <is>
          <t>Funded Friday</t>
        </is>
      </c>
      <c r="B59" s="19" t="inlineStr">
        <is>
          <t>Instant-Direct</t>
        </is>
      </c>
      <c r="C59" s="19" t="n">
        <v>1</v>
      </c>
      <c r="D59" s="22" t="n">
        <v>200000</v>
      </c>
      <c r="E59" s="22" t="n">
        <v>200000</v>
      </c>
      <c r="F59" s="28" t="n">
        <v>0.8</v>
      </c>
      <c r="G59" s="22" t="n">
        <v>16000</v>
      </c>
    </row>
    <row r="60">
      <c r="A60" s="13" t="inlineStr">
        <is>
          <t>Funding Dynasty</t>
        </is>
      </c>
      <c r="B60" s="13" t="inlineStr">
        <is>
          <t>Instant-Direct</t>
        </is>
      </c>
      <c r="C60" s="13" t="n">
        <v>1</v>
      </c>
      <c r="D60" s="17" t="n">
        <v>200000</v>
      </c>
      <c r="E60" s="17" t="n">
        <v>200000</v>
      </c>
      <c r="F60" s="27" t="n">
        <v>0.8</v>
      </c>
      <c r="G60" s="17" t="n">
        <v>16000</v>
      </c>
    </row>
    <row r="61">
      <c r="A61" s="19" t="inlineStr">
        <is>
          <t>FundYourFX</t>
        </is>
      </c>
      <c r="B61" s="19" t="inlineStr">
        <is>
          <t>Instant-Direct</t>
        </is>
      </c>
      <c r="C61" s="19" t="n">
        <v>1</v>
      </c>
      <c r="D61" s="22" t="n">
        <v>200000</v>
      </c>
      <c r="E61" s="22" t="n">
        <v>200000</v>
      </c>
      <c r="F61" s="28" t="n">
        <v>0.95</v>
      </c>
      <c r="G61" s="22" t="n">
        <v>19000</v>
      </c>
    </row>
    <row r="62">
      <c r="A62" s="13" t="inlineStr">
        <is>
          <t>FOREXIVE</t>
        </is>
      </c>
      <c r="B62" s="13" t="inlineStr">
        <is>
          <t>2 Step</t>
        </is>
      </c>
      <c r="C62" s="13" t="n">
        <v>1</v>
      </c>
      <c r="D62" s="17" t="n">
        <v>200000</v>
      </c>
      <c r="E62" s="17" t="n">
        <v>200000</v>
      </c>
      <c r="F62" s="27" t="n">
        <v>0.8</v>
      </c>
      <c r="G62" s="17" t="n">
        <v>16000</v>
      </c>
    </row>
    <row r="63">
      <c r="A63" s="19" t="inlineStr">
        <is>
          <t>Breakout</t>
        </is>
      </c>
      <c r="B63" s="19" t="inlineStr">
        <is>
          <t>1 Step</t>
        </is>
      </c>
      <c r="C63" s="19" t="n">
        <v>1</v>
      </c>
      <c r="D63" s="22" t="n">
        <v>200000</v>
      </c>
      <c r="E63" s="22" t="n">
        <v>200000</v>
      </c>
      <c r="F63" s="28" t="n">
        <v>0.8</v>
      </c>
      <c r="G63" s="22" t="n">
        <v>16000</v>
      </c>
    </row>
    <row r="64">
      <c r="A64" s="13" t="inlineStr">
        <is>
          <t>HyroTrader</t>
        </is>
      </c>
      <c r="B64" s="13" t="inlineStr">
        <is>
          <t>1 Step</t>
        </is>
      </c>
      <c r="C64" s="13" t="n">
        <v>1</v>
      </c>
      <c r="D64" s="17" t="n">
        <v>200000</v>
      </c>
      <c r="E64" s="17" t="n">
        <v>200000</v>
      </c>
      <c r="F64" s="27" t="n">
        <v>0.8</v>
      </c>
      <c r="G64" s="17" t="n">
        <v>16000</v>
      </c>
    </row>
    <row r="65">
      <c r="A65" s="19" t="inlineStr">
        <is>
          <t>AIFO</t>
        </is>
      </c>
      <c r="B65" s="19" t="inlineStr">
        <is>
          <t>2 Step</t>
        </is>
      </c>
      <c r="C65" s="19" t="n">
        <v>1</v>
      </c>
      <c r="D65" s="22" t="n">
        <v>200000</v>
      </c>
      <c r="E65" s="22" t="n">
        <v>200000</v>
      </c>
      <c r="F65" s="28" t="n">
        <v>0.95</v>
      </c>
      <c r="G65" s="22" t="n">
        <v>19000</v>
      </c>
    </row>
    <row r="66">
      <c r="A66" s="13" t="inlineStr">
        <is>
          <t>BullRush</t>
        </is>
      </c>
      <c r="B66" s="13" t="inlineStr">
        <is>
          <t>2 Step</t>
        </is>
      </c>
      <c r="C66" s="13" t="n">
        <v>1</v>
      </c>
      <c r="D66" s="17" t="n">
        <v>200000</v>
      </c>
      <c r="E66" s="17" t="n">
        <v>200000</v>
      </c>
      <c r="F66" s="27" t="n">
        <v>0.75</v>
      </c>
      <c r="G66" s="17" t="n">
        <v>15000</v>
      </c>
    </row>
    <row r="67">
      <c r="A67" s="19" t="inlineStr">
        <is>
          <t>Exclusive Funded Programme</t>
        </is>
      </c>
      <c r="B67" s="19" t="inlineStr">
        <is>
          <t>2 Step</t>
        </is>
      </c>
      <c r="C67" s="19" t="n">
        <v>1</v>
      </c>
      <c r="D67" s="22" t="n">
        <v>200000</v>
      </c>
      <c r="E67" s="22" t="n">
        <v>200000</v>
      </c>
      <c r="F67" s="28" t="n">
        <v>0.8</v>
      </c>
      <c r="G67" s="22" t="n">
        <v>16000</v>
      </c>
    </row>
    <row r="68">
      <c r="A68" s="13" t="inlineStr">
        <is>
          <t>FunderPro</t>
        </is>
      </c>
      <c r="B68" s="13" t="inlineStr">
        <is>
          <t>1 Step</t>
        </is>
      </c>
      <c r="C68" s="13" t="n">
        <v>1</v>
      </c>
      <c r="D68" s="17" t="n">
        <v>200000</v>
      </c>
      <c r="E68" s="17" t="n">
        <v>200000</v>
      </c>
      <c r="F68" s="27" t="n">
        <v>0.8</v>
      </c>
      <c r="G68" s="17" t="n">
        <v>16000</v>
      </c>
    </row>
    <row r="69">
      <c r="A69" s="19" t="inlineStr">
        <is>
          <t>Mubite</t>
        </is>
      </c>
      <c r="B69" s="19" t="inlineStr">
        <is>
          <t>2 Step</t>
        </is>
      </c>
      <c r="C69" s="19" t="n">
        <v>1</v>
      </c>
      <c r="D69" s="22" t="n">
        <v>200000</v>
      </c>
      <c r="E69" s="22" t="n">
        <v>200000</v>
      </c>
      <c r="F69" s="28" t="n">
        <v>0.8</v>
      </c>
      <c r="G69" s="22" t="n">
        <v>16000</v>
      </c>
    </row>
    <row r="70">
      <c r="A70" s="13" t="inlineStr">
        <is>
          <t>City Traders Imperium</t>
        </is>
      </c>
      <c r="B70" s="13" t="inlineStr">
        <is>
          <t>Instant-Direct</t>
        </is>
      </c>
      <c r="C70" s="13" t="n">
        <v>2</v>
      </c>
      <c r="D70" s="17" t="n">
        <v>80000</v>
      </c>
      <c r="E70" s="17" t="n">
        <v>160000</v>
      </c>
      <c r="F70" s="27" t="n">
        <v>0.9</v>
      </c>
      <c r="G70" s="17" t="n">
        <v>14400</v>
      </c>
    </row>
    <row r="71">
      <c r="A71" s="19" t="inlineStr">
        <is>
          <t>Tradersyard</t>
        </is>
      </c>
      <c r="B71" s="19" t="inlineStr">
        <is>
          <t>1 Step</t>
        </is>
      </c>
      <c r="C71" s="19" t="n">
        <v>1</v>
      </c>
      <c r="D71" s="22" t="n">
        <v>150000</v>
      </c>
      <c r="E71" s="22" t="n">
        <v>150000</v>
      </c>
      <c r="F71" s="28" t="n">
        <v>1</v>
      </c>
      <c r="G71" s="22" t="n">
        <v>15000</v>
      </c>
    </row>
    <row r="72">
      <c r="A72" s="13" t="inlineStr">
        <is>
          <t>Global Forex Funds</t>
        </is>
      </c>
      <c r="B72" s="13" t="inlineStr">
        <is>
          <t>Instant-Direct</t>
        </is>
      </c>
      <c r="C72" s="13" t="n">
        <v>1</v>
      </c>
      <c r="D72" s="17" t="n">
        <v>100000</v>
      </c>
      <c r="E72" s="17" t="n">
        <v>100000</v>
      </c>
      <c r="F72" s="27" t="n">
        <v>0.9</v>
      </c>
      <c r="G72" s="17" t="n">
        <v>9000</v>
      </c>
    </row>
    <row r="73">
      <c r="A73" s="19" t="inlineStr">
        <is>
          <t>FTUK</t>
        </is>
      </c>
      <c r="B73" s="19" t="inlineStr">
        <is>
          <t>Instant-Direct</t>
        </is>
      </c>
      <c r="C73" s="19" t="n">
        <v>1</v>
      </c>
      <c r="D73" s="22" t="n">
        <v>100000</v>
      </c>
      <c r="E73" s="22" t="n">
        <v>100000</v>
      </c>
      <c r="F73" s="28" t="n">
        <v>0.8</v>
      </c>
      <c r="G73" s="22" t="n">
        <v>8000</v>
      </c>
    </row>
    <row r="74">
      <c r="A74" s="13" t="inlineStr">
        <is>
          <t>Funded Trading Plus</t>
        </is>
      </c>
      <c r="B74" s="13" t="inlineStr">
        <is>
          <t>Instant-Direct</t>
        </is>
      </c>
      <c r="C74" s="13" t="n">
        <v>1</v>
      </c>
      <c r="D74" s="17" t="n">
        <v>100000</v>
      </c>
      <c r="E74" s="17" t="n">
        <v>100000</v>
      </c>
      <c r="F74" s="27" t="n">
        <v>0.8</v>
      </c>
      <c r="G74" s="17" t="n">
        <v>8000</v>
      </c>
    </row>
    <row r="75">
      <c r="A75" s="19" t="inlineStr">
        <is>
          <t>Hex Funded</t>
        </is>
      </c>
      <c r="B75" s="19" t="inlineStr">
        <is>
          <t>Instant-Direct</t>
        </is>
      </c>
      <c r="C75" s="19" t="n">
        <v>1</v>
      </c>
      <c r="D75" s="22" t="n">
        <v>100000</v>
      </c>
      <c r="E75" s="22" t="n">
        <v>100000</v>
      </c>
      <c r="F75" s="28" t="n">
        <v>0.9</v>
      </c>
      <c r="G75" s="22" t="n">
        <v>9000</v>
      </c>
    </row>
    <row r="76">
      <c r="A76" s="13" t="inlineStr">
        <is>
          <t>FundingRock</t>
        </is>
      </c>
      <c r="B76" s="13" t="inlineStr">
        <is>
          <t>Instant-Direct</t>
        </is>
      </c>
      <c r="C76" s="13" t="n">
        <v>1</v>
      </c>
      <c r="D76" s="17" t="n">
        <v>100000</v>
      </c>
      <c r="E76" s="17" t="n">
        <v>100000</v>
      </c>
      <c r="F76" s="27" t="n">
        <v>0.8</v>
      </c>
      <c r="G76" s="17" t="n">
        <v>8000</v>
      </c>
    </row>
    <row r="77">
      <c r="A77" s="19" t="inlineStr">
        <is>
          <t>LegionFunding</t>
        </is>
      </c>
      <c r="B77" s="19" t="inlineStr">
        <is>
          <t>Instant-Direct</t>
        </is>
      </c>
      <c r="C77" s="19" t="n">
        <v>1</v>
      </c>
      <c r="D77" s="22" t="n">
        <v>100000</v>
      </c>
      <c r="E77" s="22" t="n">
        <v>100000</v>
      </c>
      <c r="F77" s="28" t="n">
        <v>0.8</v>
      </c>
      <c r="G77" s="22" t="n">
        <v>8000</v>
      </c>
    </row>
    <row r="78">
      <c r="A78" s="13" t="inlineStr">
        <is>
          <t>MasterFunders</t>
        </is>
      </c>
      <c r="B78" s="13" t="inlineStr">
        <is>
          <t>Instant-Direct</t>
        </is>
      </c>
      <c r="C78" s="13" t="n">
        <v>1</v>
      </c>
      <c r="D78" s="17" t="n">
        <v>100000</v>
      </c>
      <c r="E78" s="17" t="n">
        <v>100000</v>
      </c>
      <c r="F78" s="27" t="n">
        <v>0.8</v>
      </c>
      <c r="G78" s="17" t="n">
        <v>8000</v>
      </c>
    </row>
    <row r="79">
      <c r="A79" s="19" t="inlineStr">
        <is>
          <t>BEM Funding</t>
        </is>
      </c>
      <c r="B79" s="19" t="inlineStr">
        <is>
          <t>2 Step</t>
        </is>
      </c>
      <c r="C79" s="19" t="n">
        <v>1</v>
      </c>
      <c r="D79" s="22" t="n">
        <v>100000</v>
      </c>
      <c r="E79" s="22" t="n">
        <v>100000</v>
      </c>
      <c r="F79" s="28" t="n">
        <v>0.8</v>
      </c>
      <c r="G79" s="22" t="n">
        <v>8000</v>
      </c>
    </row>
    <row r="80">
      <c r="A80" s="13" t="inlineStr">
        <is>
          <t>Funding Your Trades</t>
        </is>
      </c>
      <c r="B80" s="13" t="inlineStr">
        <is>
          <t>2 Step</t>
        </is>
      </c>
      <c r="C80" s="13" t="n">
        <v>1</v>
      </c>
      <c r="D80" s="17" t="n">
        <v>100000</v>
      </c>
      <c r="E80" s="17" t="n">
        <v>100000</v>
      </c>
      <c r="F80" s="27" t="n">
        <v>1</v>
      </c>
      <c r="G80" s="17" t="n">
        <v>10000</v>
      </c>
    </row>
    <row r="81">
      <c r="A81" s="19" t="inlineStr">
        <is>
          <t>MFunded (MarketsVox)</t>
        </is>
      </c>
      <c r="B81" s="19" t="inlineStr">
        <is>
          <t>2 Step</t>
        </is>
      </c>
      <c r="C81" s="19" t="n">
        <v>1</v>
      </c>
      <c r="D81" s="22" t="n">
        <v>100000</v>
      </c>
      <c r="E81" s="22" t="n">
        <v>100000</v>
      </c>
      <c r="F81" s="28" t="n">
        <v>0.8</v>
      </c>
      <c r="G81" s="22" t="n">
        <v>8000</v>
      </c>
    </row>
    <row r="82">
      <c r="A82" s="13" t="inlineStr">
        <is>
          <t>Monevis</t>
        </is>
      </c>
      <c r="B82" s="13" t="inlineStr">
        <is>
          <t>3 Step</t>
        </is>
      </c>
      <c r="C82" s="13" t="n">
        <v>1</v>
      </c>
      <c r="D82" s="17" t="n">
        <v>100000</v>
      </c>
      <c r="E82" s="17" t="n">
        <v>100000</v>
      </c>
      <c r="F82" s="27" t="n">
        <v>0.8</v>
      </c>
      <c r="G82" s="17" t="n">
        <v>8000</v>
      </c>
    </row>
    <row r="83">
      <c r="A83" s="19" t="inlineStr">
        <is>
          <t>Funding Frontier</t>
        </is>
      </c>
      <c r="B83" s="19" t="inlineStr">
        <is>
          <t>Instant-Direct</t>
        </is>
      </c>
      <c r="C83" s="19" t="n">
        <v>1</v>
      </c>
      <c r="D83" s="22" t="n">
        <v>50000</v>
      </c>
      <c r="E83" s="22" t="n">
        <v>50000</v>
      </c>
      <c r="F83" s="28" t="n">
        <v>0.8</v>
      </c>
      <c r="G83" s="22" t="n">
        <v>4000</v>
      </c>
    </row>
    <row r="84">
      <c r="A84" s="13" t="inlineStr">
        <is>
          <t>BloomFunded</t>
        </is>
      </c>
      <c r="B84" s="13" t="inlineStr">
        <is>
          <t>Instant-Direct</t>
        </is>
      </c>
      <c r="C84" s="13" t="n">
        <v>1</v>
      </c>
      <c r="D84" s="17" t="n">
        <v>50000</v>
      </c>
      <c r="E84" s="17" t="n">
        <v>50000</v>
      </c>
      <c r="F84" s="27" t="n">
        <v>0.9</v>
      </c>
      <c r="G84" s="17" t="n">
        <v>4500</v>
      </c>
    </row>
    <row r="85">
      <c r="A85" s="19" t="inlineStr">
        <is>
          <t>FundedNext</t>
        </is>
      </c>
      <c r="B85" s="19" t="inlineStr">
        <is>
          <t>Départ</t>
        </is>
      </c>
      <c r="C85" s="19" t="n">
        <v>1</v>
      </c>
      <c r="D85" s="22" t="n">
        <v>10000</v>
      </c>
      <c r="E85" s="22" t="n">
        <v>10000</v>
      </c>
      <c r="F85" s="28" t="n">
        <v>0.8</v>
      </c>
      <c r="G85" s="22" t="n">
        <v>800</v>
      </c>
    </row>
    <row r="86">
      <c r="A86" s="13" t="inlineStr">
        <is>
          <t>Crypto Fund Trader</t>
        </is>
      </c>
      <c r="B86" s="13" t="inlineStr">
        <is>
          <t>Instant-Direct</t>
        </is>
      </c>
      <c r="C86" s="13" t="n">
        <v>1</v>
      </c>
      <c r="D86" s="17" t="n">
        <v>10000</v>
      </c>
      <c r="E86" s="17" t="n">
        <v>10000</v>
      </c>
      <c r="F86" s="27" t="n">
        <v>0.8</v>
      </c>
      <c r="G86" s="17" t="n">
        <v>800</v>
      </c>
    </row>
  </sheetData>
  <autoFilter ref="A1:G8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6" customWidth="1" min="3" max="3"/>
    <col width="16" customWidth="1" min="4" max="4"/>
    <col width="16" customWidth="1" min="5" max="5"/>
    <col width="16" customWidth="1" min="6" max="6"/>
    <col width="16" customWidth="1" min="7" max="7"/>
    <col width="16" customWidth="1" min="8" max="8"/>
    <col width="24" customWidth="1" min="11" max="11"/>
    <col width="20" customWidth="1" min="12" max="12"/>
  </cols>
  <sheetData>
    <row r="1" ht="40" customHeight="1">
      <c r="A1" s="12" t="inlineStr">
        <is>
          <t>Mois</t>
        </is>
      </c>
      <c r="B1" s="12" t="inlineStr">
        <is>
          <t>Capital financé ($)</t>
        </is>
      </c>
      <c r="C1" s="12" t="inlineStr">
        <is>
          <t>Capital en évaluation ($)</t>
        </is>
      </c>
      <c r="D1" s="12" t="inlineStr">
        <is>
          <t>Payouts de la quinzaine ($)</t>
        </is>
      </c>
      <c r="E1" s="12" t="inlineStr">
        <is>
          <t>Frais de la quinzaine ($)</t>
        </is>
      </c>
      <c r="F1" s="12" t="inlineStr">
        <is>
          <t>Reste après investissement ($)</t>
        </is>
      </c>
      <c r="G1" s="12" t="inlineStr">
        <is>
          <t>Payouts cumulés ($)</t>
        </is>
      </c>
      <c r="H1" s="12" t="inlineStr">
        <is>
          <t>Frais cumulés ($)</t>
        </is>
      </c>
      <c r="K1" s="30" t="inlineStr">
        <is>
          <t>Groupe</t>
        </is>
      </c>
      <c r="L1" s="30" t="inlineStr">
        <is>
          <t>Capital financé cible ($)</t>
        </is>
      </c>
    </row>
    <row r="2">
      <c r="A2" s="13" t="n">
        <v>0.5</v>
      </c>
      <c r="B2" s="17" t="n">
        <v>10000</v>
      </c>
      <c r="C2" s="17" t="n">
        <v>0</v>
      </c>
      <c r="D2" s="17" t="n">
        <v>0</v>
      </c>
      <c r="E2" s="17" t="n">
        <v>0</v>
      </c>
      <c r="F2" s="17" t="n">
        <v>0</v>
      </c>
      <c r="G2" s="17" t="n">
        <v>0</v>
      </c>
      <c r="H2" s="17" t="n">
        <v>0</v>
      </c>
      <c r="K2" s="5" t="inlineStr">
        <is>
          <t>Départ FundedNext</t>
        </is>
      </c>
      <c r="L2" s="31" t="n">
        <v>10000</v>
      </c>
    </row>
    <row r="3">
      <c r="A3" s="19" t="n">
        <v>1</v>
      </c>
      <c r="B3" s="22" t="n">
        <v>110000</v>
      </c>
      <c r="C3" s="22" t="n">
        <v>0</v>
      </c>
      <c r="D3" s="22" t="n">
        <v>800</v>
      </c>
      <c r="E3" s="22" t="n">
        <v>780</v>
      </c>
      <c r="F3" s="22" t="n">
        <v>20</v>
      </c>
      <c r="G3" s="22" t="n">
        <v>800</v>
      </c>
      <c r="H3" s="22" t="n">
        <v>780</v>
      </c>
      <c r="K3" s="5" t="inlineStr">
        <is>
          <t>A – Instant/Direct CFD</t>
        </is>
      </c>
      <c r="L3" s="31" t="n">
        <v>15370000</v>
      </c>
    </row>
    <row r="4">
      <c r="A4" s="13" t="n">
        <v>1.5</v>
      </c>
      <c r="B4" s="17" t="n">
        <v>110000</v>
      </c>
      <c r="C4" s="17" t="n">
        <v>0</v>
      </c>
      <c r="D4" s="17" t="n">
        <v>0</v>
      </c>
      <c r="E4" s="17" t="n">
        <v>0</v>
      </c>
      <c r="F4" s="17" t="n">
        <v>20</v>
      </c>
      <c r="G4" s="17" t="n">
        <v>800</v>
      </c>
      <c r="H4" s="17" t="n">
        <v>780</v>
      </c>
      <c r="K4" s="5" t="inlineStr">
        <is>
          <t>B – À étapes</t>
        </is>
      </c>
      <c r="L4" s="31" t="n">
        <v>23150000</v>
      </c>
    </row>
    <row r="5">
      <c r="A5" s="19" t="n">
        <v>2</v>
      </c>
      <c r="B5" s="22" t="n">
        <v>1210000</v>
      </c>
      <c r="C5" s="22" t="n">
        <v>150000</v>
      </c>
      <c r="D5" s="22" t="n">
        <v>8800</v>
      </c>
      <c r="E5" s="22" t="n">
        <v>8799</v>
      </c>
      <c r="F5" s="22" t="n">
        <v>21</v>
      </c>
      <c r="G5" s="22" t="n">
        <v>9600</v>
      </c>
      <c r="H5" s="22" t="n">
        <v>9579</v>
      </c>
    </row>
    <row r="6">
      <c r="A6" s="13" t="n">
        <v>2.5</v>
      </c>
      <c r="B6" s="17" t="n">
        <v>1210000</v>
      </c>
      <c r="C6" s="17" t="n">
        <v>150000</v>
      </c>
      <c r="D6" s="17" t="n">
        <v>0</v>
      </c>
      <c r="E6" s="17" t="n">
        <v>0</v>
      </c>
      <c r="F6" s="17" t="n">
        <v>21</v>
      </c>
      <c r="G6" s="17" t="n">
        <v>9600</v>
      </c>
      <c r="H6" s="17" t="n">
        <v>9579</v>
      </c>
    </row>
    <row r="7">
      <c r="A7" s="19" t="n">
        <v>3</v>
      </c>
      <c r="B7" s="22" t="n">
        <v>4880000</v>
      </c>
      <c r="C7" s="22" t="n">
        <v>0</v>
      </c>
      <c r="D7" s="22" t="n">
        <v>96800</v>
      </c>
      <c r="E7" s="22" t="n">
        <v>96751</v>
      </c>
      <c r="F7" s="22" t="n">
        <v>70</v>
      </c>
      <c r="G7" s="22" t="n">
        <v>106400</v>
      </c>
      <c r="H7" s="22" t="n">
        <v>106330</v>
      </c>
    </row>
    <row r="8">
      <c r="A8" s="13" t="n">
        <v>3.5</v>
      </c>
      <c r="B8" s="17" t="n">
        <v>4880000</v>
      </c>
      <c r="C8" s="17" t="n">
        <v>0</v>
      </c>
      <c r="D8" s="17" t="n">
        <v>0</v>
      </c>
      <c r="E8" s="17" t="n">
        <v>0</v>
      </c>
      <c r="F8" s="17" t="n">
        <v>70</v>
      </c>
      <c r="G8" s="17" t="n">
        <v>106400</v>
      </c>
      <c r="H8" s="17" t="n">
        <v>106330</v>
      </c>
    </row>
    <row r="9">
      <c r="A9" s="19" t="n">
        <v>4</v>
      </c>
      <c r="B9" s="22" t="n">
        <v>15530000</v>
      </c>
      <c r="C9" s="22" t="n">
        <v>18000000</v>
      </c>
      <c r="D9" s="22" t="n">
        <v>387900</v>
      </c>
      <c r="E9" s="22" t="n">
        <v>387783</v>
      </c>
      <c r="F9" s="22" t="n">
        <v>187</v>
      </c>
      <c r="G9" s="22" t="n">
        <v>494300</v>
      </c>
      <c r="H9" s="22" t="n">
        <v>494113</v>
      </c>
    </row>
    <row r="10">
      <c r="A10" s="13" t="n">
        <v>4.5</v>
      </c>
      <c r="B10" s="17" t="n">
        <v>15530000</v>
      </c>
      <c r="C10" s="17" t="n">
        <v>18000000</v>
      </c>
      <c r="D10" s="17" t="n">
        <v>0</v>
      </c>
      <c r="E10" s="17" t="n">
        <v>0</v>
      </c>
      <c r="F10" s="17" t="n">
        <v>187</v>
      </c>
      <c r="G10" s="17" t="n">
        <v>494300</v>
      </c>
      <c r="H10" s="17" t="n">
        <v>494113</v>
      </c>
    </row>
    <row r="11">
      <c r="A11" s="19" t="n">
        <v>5</v>
      </c>
      <c r="B11" s="22" t="n">
        <v>25230000</v>
      </c>
      <c r="C11" s="22" t="n">
        <v>12950000</v>
      </c>
      <c r="D11" s="22" t="n">
        <v>1300000</v>
      </c>
      <c r="E11" s="22" t="n">
        <v>1299840</v>
      </c>
      <c r="F11" s="22" t="n">
        <v>347</v>
      </c>
      <c r="G11" s="22" t="n">
        <v>1794300</v>
      </c>
      <c r="H11" s="22" t="n">
        <v>1793953</v>
      </c>
    </row>
    <row r="12">
      <c r="A12" s="13" t="n">
        <v>5.5</v>
      </c>
      <c r="B12" s="17" t="n">
        <v>33330000</v>
      </c>
      <c r="C12" s="17" t="n">
        <v>4850000</v>
      </c>
      <c r="D12" s="17" t="n">
        <v>0</v>
      </c>
      <c r="E12" s="17" t="n">
        <v>0</v>
      </c>
      <c r="F12" s="17" t="n">
        <v>347</v>
      </c>
      <c r="G12" s="17" t="n">
        <v>1794300</v>
      </c>
      <c r="H12" s="17" t="n">
        <v>1793953</v>
      </c>
    </row>
    <row r="13">
      <c r="A13" s="19" t="n">
        <v>6</v>
      </c>
      <c r="B13" s="22" t="n">
        <v>35280000</v>
      </c>
      <c r="C13" s="22" t="n">
        <v>3250000</v>
      </c>
      <c r="D13" s="22" t="n">
        <v>2125500</v>
      </c>
      <c r="E13" s="22" t="n">
        <v>320784</v>
      </c>
      <c r="F13" s="22" t="n">
        <v>1805063</v>
      </c>
      <c r="G13" s="22" t="n">
        <v>3919800</v>
      </c>
      <c r="H13" s="22" t="n">
        <v>2114737</v>
      </c>
    </row>
    <row r="14">
      <c r="A14" s="13" t="n">
        <v>6.5</v>
      </c>
      <c r="B14" s="17" t="n">
        <v>37580000</v>
      </c>
      <c r="C14" s="17" t="n">
        <v>950000</v>
      </c>
      <c r="D14" s="17" t="n">
        <v>680500</v>
      </c>
      <c r="E14" s="17" t="n">
        <v>0</v>
      </c>
      <c r="F14" s="17" t="n">
        <v>2485563</v>
      </c>
      <c r="G14" s="17" t="n">
        <v>4600300</v>
      </c>
      <c r="H14" s="17" t="n">
        <v>2114737</v>
      </c>
    </row>
    <row r="15">
      <c r="A15" s="19" t="n">
        <v>7</v>
      </c>
      <c r="B15" s="22" t="n">
        <v>38330000</v>
      </c>
      <c r="C15" s="22" t="n">
        <v>200000</v>
      </c>
      <c r="D15" s="22" t="n">
        <v>2287500</v>
      </c>
      <c r="E15" s="22" t="n">
        <v>0</v>
      </c>
      <c r="F15" s="22" t="n">
        <v>4773063</v>
      </c>
      <c r="G15" s="22" t="n">
        <v>6887800</v>
      </c>
      <c r="H15" s="22" t="n">
        <v>2114737</v>
      </c>
    </row>
    <row r="16">
      <c r="A16" s="13" t="n">
        <v>7.5</v>
      </c>
      <c r="B16" s="17" t="n">
        <v>38530000</v>
      </c>
      <c r="C16" s="17" t="n">
        <v>0</v>
      </c>
      <c r="D16" s="17" t="n">
        <v>868500</v>
      </c>
      <c r="E16" s="17" t="n">
        <v>0</v>
      </c>
      <c r="F16" s="17" t="n">
        <v>5641563</v>
      </c>
      <c r="G16" s="17" t="n">
        <v>7756300</v>
      </c>
      <c r="H16" s="17" t="n">
        <v>2114737</v>
      </c>
    </row>
    <row r="17">
      <c r="A17" s="19" t="n">
        <v>8</v>
      </c>
      <c r="B17" s="22" t="n">
        <v>38530000</v>
      </c>
      <c r="C17" s="22" t="n">
        <v>0</v>
      </c>
      <c r="D17" s="22" t="n">
        <v>2350500</v>
      </c>
      <c r="E17" s="22" t="n">
        <v>0</v>
      </c>
      <c r="F17" s="22" t="n">
        <v>7992063</v>
      </c>
      <c r="G17" s="22" t="n">
        <v>10106800</v>
      </c>
      <c r="H17" s="22" t="n">
        <v>2114737</v>
      </c>
    </row>
    <row r="18">
      <c r="A18" s="13" t="n">
        <v>8.5</v>
      </c>
      <c r="B18" s="17" t="n">
        <v>38530000</v>
      </c>
      <c r="C18" s="17" t="n">
        <v>0</v>
      </c>
      <c r="D18" s="17" t="n">
        <v>884500</v>
      </c>
      <c r="E18" s="17" t="n">
        <v>0</v>
      </c>
      <c r="F18" s="17" t="n">
        <v>8876563</v>
      </c>
      <c r="G18" s="17" t="n">
        <v>10991300</v>
      </c>
      <c r="H18" s="17" t="n">
        <v>2114737</v>
      </c>
    </row>
    <row r="19">
      <c r="A19" s="19" t="n">
        <v>9</v>
      </c>
      <c r="B19" s="22" t="n">
        <v>38530000</v>
      </c>
      <c r="C19" s="22" t="n">
        <v>0</v>
      </c>
      <c r="D19" s="22" t="n">
        <v>2350500</v>
      </c>
      <c r="E19" s="22" t="n">
        <v>0</v>
      </c>
      <c r="F19" s="22" t="n">
        <v>11227063</v>
      </c>
      <c r="G19" s="22" t="n">
        <v>13341800</v>
      </c>
      <c r="H19" s="22" t="n">
        <v>2114737</v>
      </c>
    </row>
    <row r="20">
      <c r="A20" s="13" t="n">
        <v>9.5</v>
      </c>
      <c r="B20" s="17" t="n">
        <v>38530000</v>
      </c>
      <c r="C20" s="17" t="n">
        <v>0</v>
      </c>
      <c r="D20" s="17" t="n">
        <v>884500</v>
      </c>
      <c r="E20" s="17" t="n">
        <v>0</v>
      </c>
      <c r="F20" s="17" t="n">
        <v>12111563</v>
      </c>
      <c r="G20" s="17" t="n">
        <v>14226300</v>
      </c>
      <c r="H20" s="17" t="n">
        <v>2114737</v>
      </c>
    </row>
    <row r="21">
      <c r="A21" s="19" t="n">
        <v>10</v>
      </c>
      <c r="B21" s="22" t="n">
        <v>38530000</v>
      </c>
      <c r="C21" s="22" t="n">
        <v>0</v>
      </c>
      <c r="D21" s="22" t="n">
        <v>2350500</v>
      </c>
      <c r="E21" s="22" t="n">
        <v>0</v>
      </c>
      <c r="F21" s="22" t="n">
        <v>14462063</v>
      </c>
      <c r="G21" s="22" t="n">
        <v>16576800</v>
      </c>
      <c r="H21" s="22" t="n">
        <v>2114737</v>
      </c>
    </row>
    <row r="22">
      <c r="A22" s="13" t="n">
        <v>10.5</v>
      </c>
      <c r="B22" s="17" t="n">
        <v>38530000</v>
      </c>
      <c r="C22" s="17" t="n">
        <v>0</v>
      </c>
      <c r="D22" s="17" t="n">
        <v>884500</v>
      </c>
      <c r="E22" s="17" t="n">
        <v>0</v>
      </c>
      <c r="F22" s="17" t="n">
        <v>15346563</v>
      </c>
      <c r="G22" s="17" t="n">
        <v>17461300</v>
      </c>
      <c r="H22" s="17" t="n">
        <v>2114737</v>
      </c>
    </row>
    <row r="23">
      <c r="A23" s="19" t="n">
        <v>11</v>
      </c>
      <c r="B23" s="22" t="n">
        <v>38530000</v>
      </c>
      <c r="C23" s="22" t="n">
        <v>0</v>
      </c>
      <c r="D23" s="22" t="n">
        <v>2350500</v>
      </c>
      <c r="E23" s="22" t="n">
        <v>0</v>
      </c>
      <c r="F23" s="22" t="n">
        <v>17697063</v>
      </c>
      <c r="G23" s="22" t="n">
        <v>19811800</v>
      </c>
      <c r="H23" s="22" t="n">
        <v>2114737</v>
      </c>
    </row>
    <row r="24">
      <c r="A24" s="13" t="n">
        <v>11.5</v>
      </c>
      <c r="B24" s="17" t="n">
        <v>38530000</v>
      </c>
      <c r="C24" s="17" t="n">
        <v>0</v>
      </c>
      <c r="D24" s="17" t="n">
        <v>884500</v>
      </c>
      <c r="E24" s="17" t="n">
        <v>0</v>
      </c>
      <c r="F24" s="17" t="n">
        <v>18581563</v>
      </c>
      <c r="G24" s="17" t="n">
        <v>20696300</v>
      </c>
      <c r="H24" s="17" t="n">
        <v>2114737</v>
      </c>
    </row>
    <row r="25">
      <c r="A25" s="19" t="n">
        <v>12</v>
      </c>
      <c r="B25" s="22" t="n">
        <v>38530000</v>
      </c>
      <c r="C25" s="22" t="n">
        <v>0</v>
      </c>
      <c r="D25" s="22" t="n">
        <v>2350500</v>
      </c>
      <c r="E25" s="22" t="n">
        <v>0</v>
      </c>
      <c r="F25" s="22" t="n">
        <v>20932063</v>
      </c>
      <c r="G25" s="22" t="n">
        <v>23046800</v>
      </c>
      <c r="H25" s="22" t="n">
        <v>2114737</v>
      </c>
    </row>
  </sheetData>
  <autoFilter ref="A1:H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2026-09-28T06:13:20Z</dcterms:created>
  <dcterms:modified xsi:type="dcterms:W3CDTF">2026-09-28T06:13:21Z</dcterms:modified>
</cp:coreProperties>
</file>