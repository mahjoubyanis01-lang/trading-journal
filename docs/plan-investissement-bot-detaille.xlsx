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Graphiques" sheetId="2" state="visible" r:id="rId2"/>
    <sheet name="Paramètres" sheetId="3" state="visible" r:id="rId3"/>
    <sheet name="Conformité" sheetId="4" state="visible" r:id="rId4"/>
    <sheet name="Calendrier" sheetId="5" state="visible" r:id="rId5"/>
    <sheet name="Opérations" sheetId="6" state="visible" r:id="rId6"/>
    <sheet name="Ordre d'achat" sheetId="7" state="visible" r:id="rId7"/>
    <sheet name="Par firme" sheetId="8" state="visible" r:id="rId8"/>
    <sheet name="Portefeuille final" sheetId="9" state="visible" r:id="rId9"/>
    <sheet name="Données graphiques" sheetId="10" state="visible" r:id="rId10"/>
  </sheets>
  <definedNames>
    <definedName name="_xlnm._FilterDatabase" localSheetId="3" hidden="1">'Conformité'!$A$1:$K$13</definedName>
    <definedName name="_xlnm._FilterDatabase" localSheetId="4" hidden="1">'Calendrier'!$A$1:$T$21</definedName>
    <definedName name="_xlnm._FilterDatabase" localSheetId="5" hidden="1">'Opérations'!$A$1:$J$318</definedName>
    <definedName name="_xlnm._FilterDatabase" localSheetId="6" hidden="1">'Ordre d''achat'!$A$1:$S$13</definedName>
    <definedName name="_xlnm._FilterDatabase" localSheetId="7" hidden="1">'Par firme'!$A$1:$J$14</definedName>
    <definedName name="_xlnm._FilterDatabase" localSheetId="8" hidden="1">'Portefeuille final'!$A$1:$G$14</definedName>
    <definedName name="_xlnm._FilterDatabase" localSheetId="9" hidden="1">'Données graphiques'!$A$1:$H$21</definedName>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quot; $&quot;"/>
    <numFmt numFmtId="167" formatCode="0.0"/>
    <numFmt numFmtId="168" formatCode="0.0&quot;x&quot;"/>
    <numFmt numFmtId="169" formatCode="0.0%"/>
  </numFmts>
  <fonts count="6">
    <font>
      <name val="Calibri"/>
      <family val="2"/>
      <color theme="1"/>
      <sz val="11"/>
      <scheme val="minor"/>
    </font>
    <font>
      <name val="Arial"/>
      <b val="1"/>
      <color rgb="004A86E8"/>
      <sz val="16"/>
    </font>
    <font>
      <name val="Arial"/>
      <sz val="10"/>
    </font>
    <font>
      <name val="Arial"/>
      <b val="1"/>
      <color rgb="004A86E8"/>
      <sz val="12"/>
    </font>
    <font>
      <name val="Arial"/>
      <b val="1"/>
      <color rgb="00FFFFFF"/>
      <sz val="10"/>
    </font>
    <font>
      <name val="Arial"/>
      <b val="1"/>
      <sz val="10"/>
    </font>
  </fonts>
  <fills count="6">
    <fill>
      <patternFill/>
    </fill>
    <fill>
      <patternFill patternType="gray125"/>
    </fill>
    <fill>
      <patternFill patternType="solid">
        <fgColor rgb="000B5394"/>
      </patternFill>
    </fill>
    <fill>
      <patternFill patternType="solid">
        <fgColor rgb="001F3864"/>
      </patternFill>
    </fill>
    <fill>
      <patternFill patternType="solid">
        <fgColor rgb="001E5631"/>
      </patternFill>
    </fill>
    <fill>
      <patternFill patternType="solid">
        <fgColor rgb="007B1F1F"/>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2" fillId="0" borderId="0" pivotButton="0" quotePrefix="0" xfId="0"/>
    <xf numFmtId="165" fontId="4" fillId="2" borderId="0" pivotButton="0" quotePrefix="0" xfId="0"/>
    <xf numFmtId="9" fontId="4" fillId="2" borderId="0" pivotButton="0" quotePrefix="0" xfId="0"/>
    <xf numFmtId="0" fontId="5" fillId="0" borderId="0" pivotButton="0" quotePrefix="0" xfId="0"/>
    <xf numFmtId="166" fontId="5" fillId="0" borderId="0" pivotButton="0" quotePrefix="0" xfId="0"/>
    <xf numFmtId="165" fontId="5" fillId="0" borderId="0" pivotButton="0" quotePrefix="0" xfId="0"/>
    <xf numFmtId="0" fontId="4" fillId="3" borderId="1" applyAlignment="1" pivotButton="0" quotePrefix="0" xfId="0">
      <alignment horizontal="center" vertical="center" wrapText="1"/>
    </xf>
    <xf numFmtId="0" fontId="2" fillId="0" borderId="1" applyAlignment="1" pivotButton="0" quotePrefix="0" xfId="0">
      <alignment vertical="top" wrapText="1"/>
    </xf>
    <xf numFmtId="0" fontId="4" fillId="4" borderId="1" applyAlignment="1" pivotButton="0" quotePrefix="0" xfId="0">
      <alignment vertical="top" wrapText="1"/>
    </xf>
    <xf numFmtId="0" fontId="4" fillId="2" borderId="1" applyAlignment="1" pivotButton="0" quotePrefix="0" xfId="0">
      <alignment vertical="top" wrapText="1"/>
    </xf>
    <xf numFmtId="165" fontId="2" fillId="0" borderId="1" applyAlignment="1" pivotButton="0" quotePrefix="0" xfId="0">
      <alignment vertical="top" wrapText="1"/>
    </xf>
    <xf numFmtId="167" fontId="2" fillId="0" borderId="1" applyAlignment="1" pivotButton="0" quotePrefix="0" xfId="0">
      <alignment vertical="top" wrapText="1"/>
    </xf>
    <xf numFmtId="166" fontId="4" fillId="3" borderId="1" applyAlignment="1" pivotButton="0" quotePrefix="0" xfId="0">
      <alignment vertical="top" wrapText="1"/>
    </xf>
    <xf numFmtId="166" fontId="2" fillId="0" borderId="1" applyAlignment="1" pivotButton="0" quotePrefix="0" xfId="0">
      <alignment vertical="top" wrapText="1"/>
    </xf>
    <xf numFmtId="168" fontId="2" fillId="0" borderId="1" applyAlignment="1" pivotButton="0" quotePrefix="0" xfId="0">
      <alignment vertical="top" wrapText="1"/>
    </xf>
    <xf numFmtId="0" fontId="4" fillId="5" borderId="1" applyAlignment="1" pivotButton="0" quotePrefix="0" xfId="0">
      <alignment vertical="top" wrapText="1"/>
    </xf>
    <xf numFmtId="169" fontId="2" fillId="0" borderId="1" applyAlignment="1" pivotButton="0" quotePrefix="0" xfId="0">
      <alignment vertical="top" wrapText="1"/>
    </xf>
    <xf numFmtId="1" fontId="5" fillId="0" borderId="0" pivotButton="0" quotePrefix="0" xfId="0"/>
    <xf numFmtId="0" fontId="4" fillId="3" borderId="0" pivotButton="0" quotePrefix="0" xfId="0"/>
    <xf numFmtId="166"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Capital financé et capital en évaluation</a:t>
            </a:r>
          </a:p>
        </rich>
      </tx>
    </title>
    <plotArea>
      <lineChart>
        <grouping val="standard"/>
        <ser>
          <idx val="0"/>
          <order val="0"/>
          <tx>
            <strRef>
              <f>'Données graphiques'!B1</f>
            </strRef>
          </tx>
          <spPr>
            <a:ln>
              <a:prstDash val="solid"/>
            </a:ln>
          </spPr>
          <marker>
            <symbol val="none"/>
            <spPr>
              <a:ln>
                <a:prstDash val="solid"/>
              </a:ln>
            </spPr>
          </marker>
          <cat>
            <numRef>
              <f>'Données graphiques'!$A$2:$A$21</f>
            </numRef>
          </cat>
          <val>
            <numRef>
              <f>'Données graphiques'!$B$2:$B$21</f>
            </numRef>
          </val>
        </ser>
        <ser>
          <idx val="1"/>
          <order val="1"/>
          <tx>
            <strRef>
              <f>'Données graphiques'!C1</f>
            </strRef>
          </tx>
          <spPr>
            <a:ln>
              <a:prstDash val="solid"/>
            </a:ln>
          </spPr>
          <marker>
            <symbol val="none"/>
            <spPr>
              <a:ln>
                <a:prstDash val="solid"/>
              </a:ln>
            </spPr>
          </marker>
          <cat>
            <numRef>
              <f>'Données graphiques'!$A$2:$A$21</f>
            </numRef>
          </cat>
          <val>
            <numRef>
              <f>'Données graphiques'!$C$2:$C$21</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Payouts encaissés et frais investis par quinzaine</a:t>
            </a:r>
          </a:p>
        </rich>
      </tx>
    </title>
    <plotArea>
      <barChart>
        <barDir val="col"/>
        <grouping val="clustered"/>
        <ser>
          <idx val="0"/>
          <order val="0"/>
          <tx>
            <strRef>
              <f>'Données graphiques'!D1</f>
            </strRef>
          </tx>
          <spPr>
            <a:ln>
              <a:prstDash val="solid"/>
            </a:ln>
          </spPr>
          <cat>
            <numRef>
              <f>'Données graphiques'!$A$2:$A$21</f>
            </numRef>
          </cat>
          <val>
            <numRef>
              <f>'Données graphiques'!$D$2:$D$21</f>
            </numRef>
          </val>
        </ser>
        <ser>
          <idx val="1"/>
          <order val="1"/>
          <tx>
            <strRef>
              <f>'Données graphiques'!E1</f>
            </strRef>
          </tx>
          <spPr>
            <a:ln>
              <a:prstDash val="solid"/>
            </a:ln>
          </spPr>
          <cat>
            <numRef>
              <f>'Données graphiques'!$A$2:$A$21</f>
            </numRef>
          </cat>
          <val>
            <numRef>
              <f>'Données graphiques'!$E$2:$E$21</f>
            </numRef>
          </val>
        </ser>
        <gapWidth val="150"/>
        <axId val="10"/>
        <axId val="100"/>
      </bar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Payouts cumulés vs frais cumulés</a:t>
            </a:r>
          </a:p>
        </rich>
      </tx>
    </title>
    <plotArea>
      <lineChart>
        <grouping val="standard"/>
        <ser>
          <idx val="0"/>
          <order val="0"/>
          <tx>
            <strRef>
              <f>'Données graphiques'!G1</f>
            </strRef>
          </tx>
          <spPr>
            <a:ln>
              <a:prstDash val="solid"/>
            </a:ln>
          </spPr>
          <marker>
            <symbol val="none"/>
            <spPr>
              <a:ln>
                <a:prstDash val="solid"/>
              </a:ln>
            </spPr>
          </marker>
          <cat>
            <numRef>
              <f>'Données graphiques'!$A$2:$A$21</f>
            </numRef>
          </cat>
          <val>
            <numRef>
              <f>'Données graphiques'!$G$2:$G$21</f>
            </numRef>
          </val>
        </ser>
        <ser>
          <idx val="1"/>
          <order val="1"/>
          <tx>
            <strRef>
              <f>'Données graphiques'!H1</f>
            </strRef>
          </tx>
          <spPr>
            <a:ln>
              <a:prstDash val="solid"/>
            </a:ln>
          </spPr>
          <marker>
            <symbol val="none"/>
            <spPr>
              <a:ln>
                <a:prstDash val="solid"/>
              </a:ln>
            </spPr>
          </marker>
          <cat>
            <numRef>
              <f>'Données graphiques'!$A$2:$A$21</f>
            </numRef>
          </cat>
          <val>
            <numRef>
              <f>'Données graphiques'!$H$2:$H$21</f>
            </numRef>
          </val>
        </ser>
        <axId val="10"/>
        <axId val="100"/>
      </line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Reste de trésorerie après investissement</a:t>
            </a:r>
          </a:p>
        </rich>
      </tx>
    </title>
    <plotArea>
      <barChart>
        <barDir val="col"/>
        <grouping val="clustered"/>
        <ser>
          <idx val="0"/>
          <order val="0"/>
          <tx>
            <strRef>
              <f>'Données graphiques'!F1</f>
            </strRef>
          </tx>
          <spPr>
            <a:ln>
              <a:prstDash val="solid"/>
            </a:ln>
          </spPr>
          <cat>
            <numRef>
              <f>'Données graphiques'!$A$2:$A$21</f>
            </numRef>
          </cat>
          <val>
            <numRef>
              <f>'Données graphiques'!$F$2:$F$21</f>
            </numRef>
          </val>
        </ser>
        <gapWidth val="150"/>
        <axId val="10"/>
        <axId val="100"/>
      </bar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Répartition du capital financé cible</a:t>
            </a:r>
          </a:p>
        </rich>
      </tx>
    </title>
    <plotArea>
      <pieChart>
        <varyColors val="1"/>
        <ser>
          <idx val="0"/>
          <order val="0"/>
          <tx>
            <strRef>
              <f>'Données graphiques'!L1</f>
            </strRef>
          </tx>
          <spPr>
            <a:ln>
              <a:prstDash val="solid"/>
            </a:ln>
          </spPr>
          <cat>
            <numRef>
              <f>'Données graphiques'!$K$2:$K$4</f>
            </numRef>
          </cat>
          <val>
            <numRef>
              <f>'Données graphiques'!$L$2:$L$4</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2</row>
      <rowOff>0</rowOff>
    </from>
    <ext cx="7920000" cy="32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21</row>
      <rowOff>0</rowOff>
    </from>
    <ext cx="7920000" cy="3240000"/>
    <graphicFrame>
      <nvGraphicFramePr>
        <cNvPr id="3" name="Chart 3"/>
        <cNvGraphicFramePr/>
      </nvGraphicFramePr>
      <xfrm/>
      <a:graphic>
        <a:graphicData uri="http://schemas.openxmlformats.org/drawingml/2006/chart">
          <c:chart r:id="rId3"/>
        </a:graphicData>
      </a:graphic>
    </graphicFrame>
    <clientData/>
  </oneCellAnchor>
  <oneCellAnchor>
    <from>
      <col>13</col>
      <colOff>0</colOff>
      <row>21</row>
      <rowOff>0</rowOff>
    </from>
    <ext cx="792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40</row>
      <rowOff>0</rowOff>
    </from>
    <ext cx="5040000" cy="324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50" customWidth="1" min="1" max="1"/>
  </cols>
  <sheetData>
    <row r="1">
      <c r="A1" s="1" t="inlineStr">
        <is>
          <t>Plan d'investissement – bot personnel 100 % automatisé sur prop firms</t>
        </is>
      </c>
    </row>
    <row r="2">
      <c r="A2" s="2" t="inlineStr"/>
    </row>
    <row r="3">
      <c r="A3" s="2" t="inlineStr">
        <is>
          <t>Version du 28/09/2026. Point de départ : un compte FundedNext de 10 000 $ financé le 01/10/2026.</t>
        </is>
      </c>
    </row>
    <row r="4">
      <c r="A4" s="2" t="inlineStr"/>
    </row>
    <row r="5">
      <c r="A5" s="3" t="inlineStr">
        <is>
          <t>1. LE PRINCIPE</t>
        </is>
      </c>
    </row>
    <row r="6">
      <c r="A6" s="2" t="inlineStr">
        <is>
          <t>Le bot génère 10 % par mois (5 % par quinzaine). Chaque payout est réinvesti intégralement, le jour même, dans l'achat de nouveaux challenges. Les achats suivent un ordre fixe : d'abord les comptes Instant/Direct CFD (groupe A), puis les firmes à étapes (groupe B), chacune jusqu'à son capital cumulable maximum hors scaling avec la même stratégie.</t>
        </is>
      </c>
    </row>
    <row r="7">
      <c r="A7" s="2" t="inlineStr">
        <is>
          <t>Un compte Instant est financé dès l'achat. Un compte à étapes est financé après la durée d'évaluation (somme des objectifs de profit ÷ 5 % par quinzaine). Tout compte financé verse son premier payout un mois plus tard, puis tous les mois : 10 % × taille × profit split.</t>
        </is>
      </c>
    </row>
    <row r="8">
      <c r="A8" s="2" t="inlineStr"/>
    </row>
    <row r="9">
      <c r="A9" s="3" t="inlineStr">
        <is>
          <t>FILTRE DE CONFORMITÉ</t>
        </is>
      </c>
    </row>
    <row r="10">
      <c r="A10" s="2" t="inlineStr">
        <is>
          <t>Le plan ne contient que les 12 firmes « sûres » : règle « bot personnel 100 % autonome accepté » confirmée sur une page officielle, plateforme compatible EA/API, aucune approbation préalable, ET plafond de capital ET prix du challenge relevés sur le site officiel de la firme. Toutes les autres firmes (règle connue seulement via un site de review, prix ou plafond non officiels, approbation exigée, plateforme sans EA, crypto uniquement) sont hors plan.</t>
        </is>
      </c>
    </row>
    <row r="11">
      <c r="A11" s="2" t="inlineStr">
        <is>
          <t>L'onglet Conformité rappelle, pour chacune des firmes retenues, la réserve à respecter (EA personnel avec code source sur demande, éviter DXtrade, règle VPS, stratégie unique).</t>
        </is>
      </c>
    </row>
    <row r="12">
      <c r="A12" s="2" t="inlineStr"/>
    </row>
    <row r="13">
      <c r="A13" s="3" t="inlineStr">
        <is>
          <t>2. COMMENT LIRE LE CLASSEUR</t>
        </is>
      </c>
    </row>
    <row r="14">
      <c r="A14" s="2" t="inlineStr">
        <is>
          <t>• Paramètres : les hypothèses (cellules jaunes) et les résultats clés.</t>
        </is>
      </c>
    </row>
    <row r="15">
      <c r="A15" s="2" t="inlineStr">
        <is>
          <t>• Calendrier : une ligne par quinzaine, avec la date, le capital financé, les payouts encaissés, les achats, le RESTE de trésorerie après investissement, le capital en évaluation, et les cumuls (payouts, frais, ROI). Les colonnes de cumul et de ROI sont des formules.</t>
        </is>
      </c>
    </row>
    <row r="16">
      <c r="A16" s="2" t="inlineStr">
        <is>
          <t>• Opérations : le journal exhaustif, une ligne par opération datée (payout reçu, achat de challenge, financement d'un compte) avec le montant et le solde de trésorerie après l'opération. Chaque compte porte un numéro (#1, #2…) pour le suivre du challenge au payout.</t>
        </is>
      </c>
    </row>
    <row r="17">
      <c r="A17" s="2" t="inlineStr">
        <is>
          <t>• Ordre d'achat : la liste de priorité, avec taille, prix, nombre de comptes, objectif de profit, durée d'évaluation, capital obtenu par dollar de frais et source du prix.</t>
        </is>
      </c>
    </row>
    <row r="18">
      <c r="A18" s="2" t="inlineStr">
        <is>
          <t>• Par firme : synthèse par prop firm (frais engagés, capital financé, date du premier achat, date du premier payout, payout mensuel en régime de croisière).</t>
        </is>
      </c>
    </row>
    <row r="19">
      <c r="A19" s="2" t="inlineStr">
        <is>
          <t>• Portefeuille final : la liste des comptes financés à la fin de la simulation.</t>
        </is>
      </c>
    </row>
    <row r="20">
      <c r="A20" s="2" t="inlineStr">
        <is>
          <t>• Graphiques : capital financé et en évaluation dans le temps, payouts par quinzaine, frais cumulés vs payouts cumulés, reste de trésorerie, répartition du capital final par groupe.</t>
        </is>
      </c>
    </row>
    <row r="21">
      <c r="A21" s="2" t="inlineStr"/>
    </row>
    <row r="22">
      <c r="A22" s="3" t="inlineStr">
        <is>
          <t>3. LES ÉTAPES DU PLAN, DANS L'ORDRE</t>
        </is>
      </c>
    </row>
    <row r="23">
      <c r="A23" s="2" t="inlineStr">
        <is>
          <t>Étape 0 (01/10/2026) : le bot tourne sur le compte FundedNext 10 000 $ (EA autorisé sous 50 000 $ avec l'add-on EA, pas de copie entre comptes financés : FundedNext reste à un seul compte).</t>
        </is>
      </c>
    </row>
    <row r="24">
      <c r="A24" s="2" t="inlineStr">
        <is>
          <t>Étape 1 (29/10/2026) : premier payout de 800 $ (10 % × 10 000 × 80 %). Achat du premier compte Instant du groupe A (Kickstart Trading, 100k pour 5,000 $).</t>
        </is>
      </c>
    </row>
    <row r="25">
      <c r="A25" s="2" t="inlineStr">
        <is>
          <t>Étapes suivantes : à chaque payout, on descend la liste « Ordre d'achat » et on achète autant de comptes que la trésorerie le permet, firme par firme, jusqu'au plafond de chacune. Le reste non investi est reporté à la quinzaine suivante.</t>
        </is>
      </c>
    </row>
    <row r="26">
      <c r="A26" s="2" t="inlineStr">
        <is>
          <t>Fin du plan : tout est acheté au mois 4.0 (21/01/2027). Ensuite, les payouts ne servent plus qu'à constituer la trésorerie (colonne « Reste après investissement »).</t>
        </is>
      </c>
    </row>
    <row r="27">
      <c r="A27" s="2" t="inlineStr"/>
    </row>
    <row r="28">
      <c r="A28" s="3" t="inlineStr">
        <is>
          <t>4. RÈGLES À RESPECTER POUR QUE LE PLAN TIENNE</t>
        </is>
      </c>
    </row>
    <row r="29">
      <c r="A29" s="2" t="inlineStr">
        <is>
          <t>• Bot personnel, code source disponible sur demande, jamais un EA acheté ou partagé. Déclarer l'EA au support quand la firme l'exige (colonne Conditions des tableurs précédents).</t>
        </is>
      </c>
    </row>
    <row r="30">
      <c r="A30" s="2" t="inlineStr">
        <is>
          <t>• Pas de HFT, pas de tick scalping, pas d'arbitrage de latence, respect des temps de détention minimum. Un même bot sur plusieurs comptes uniquement chez les firmes marquées « même stratégie OUI ».</t>
        </is>
      </c>
    </row>
    <row r="31">
      <c r="A31" s="2" t="inlineStr">
        <is>
          <t>• Respecter le nombre maximal de comptes actifs par firme et par foyer, et les délais entre payouts (souvent 14 à 30 jours).</t>
        </is>
      </c>
    </row>
    <row r="32">
      <c r="A32" s="2" t="inlineStr">
        <is>
          <t>• Vérifier le prix et les règles sur le site officiel avant chaque achat : les tarifs issus de sites de review sont signalés dans la colonne source de l'onglet Ordre d'achat.</t>
        </is>
      </c>
    </row>
    <row r="33">
      <c r="A33" s="2" t="inlineStr"/>
    </row>
    <row r="34">
      <c r="A34" s="3" t="inlineStr">
        <is>
          <t>5. CE QUE LA SIMULATION NE MODÉLISE PAS</t>
        </is>
      </c>
    </row>
    <row r="35">
      <c r="A35" s="2" t="inlineStr">
        <is>
          <t>Échecs d'évaluation et resets, drawdown, plafonds de payout, délais réels de paiement, refus de payout pour non-conformité, taxes, frais de payout, add-ons EA, retraits pour vivre. Le résultat est une borne théorique sous l'hypothèse de 10 % mensuel constant, pas une prévision.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4" t="inlineStr">
        <is>
          <t>Graphiques du plan (données : onglet « Données graphiques »)</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60" customWidth="1" min="1" max="1"/>
    <col width="100" customWidth="1" min="2" max="2"/>
  </cols>
  <sheetData>
    <row r="1">
      <c r="A1" s="4" t="inlineStr">
        <is>
          <t>HYPOTHÈSES (cellules jaunes = paramètres du script)</t>
        </is>
      </c>
    </row>
    <row r="2">
      <c r="A2" s="5" t="inlineStr">
        <is>
          <t>Date de départ (mois 0)</t>
        </is>
      </c>
      <c r="B2" s="6" t="n">
        <v>46296</v>
      </c>
    </row>
    <row r="3">
      <c r="A3" s="5" t="inlineStr">
        <is>
          <t>Compte de départ</t>
        </is>
      </c>
      <c r="B3" s="5" t="inlineStr">
        <is>
          <t>FundedNext 10,000 $</t>
        </is>
      </c>
    </row>
    <row r="4">
      <c r="A4" s="5" t="inlineStr">
        <is>
          <t>Profit split du compte de départ</t>
        </is>
      </c>
      <c r="B4" s="7" t="n">
        <v>0.8</v>
      </c>
    </row>
    <row r="5">
      <c r="A5" s="5" t="inlineStr">
        <is>
          <t>Rendement brut mensuel</t>
        </is>
      </c>
      <c r="B5" s="7" t="n">
        <v>0.1</v>
      </c>
    </row>
    <row r="6">
      <c r="A6" s="5" t="inlineStr">
        <is>
          <t>Rendement brut par quinzaine</t>
        </is>
      </c>
      <c r="B6" s="7" t="n">
        <v>0.05</v>
      </c>
    </row>
    <row r="7">
      <c r="A7" s="5" t="inlineStr">
        <is>
          <t>Profit split par défaut</t>
        </is>
      </c>
      <c r="B7" s="7" t="n">
        <v>0.8</v>
      </c>
    </row>
    <row r="8">
      <c r="A8" s="5" t="inlineStr">
        <is>
          <t>Réinvestissement</t>
        </is>
      </c>
      <c r="B8" s="5" t="inlineStr">
        <is>
          <t>100 % des payouts, le jour du payout</t>
        </is>
      </c>
    </row>
    <row r="9">
      <c r="A9" s="5" t="inlineStr">
        <is>
          <t>Ordre d'achat</t>
        </is>
      </c>
      <c r="B9" s="5" t="inlineStr">
        <is>
          <t>Groupe A Instant/Direct CFD puis groupe B à étapes, capital max décroissant</t>
        </is>
      </c>
    </row>
    <row r="10">
      <c r="A10" s="5" t="inlineStr">
        <is>
          <t>Durée d'évaluation</t>
        </is>
      </c>
      <c r="B10" s="5" t="inlineStr">
        <is>
          <t>objectifs de profit cumulés ÷ 5 % par quinzaine, arrondi à la quinzaine supérieure</t>
        </is>
      </c>
    </row>
    <row r="11">
      <c r="A11" s="5" t="inlineStr">
        <is>
          <t>Premier payout</t>
        </is>
      </c>
      <c r="B11" s="5" t="inlineStr">
        <is>
          <t>1 mois après financement, puis mensuel</t>
        </is>
      </c>
    </row>
    <row r="12">
      <c r="A12" s="5" t="inlineStr">
        <is>
          <t>Taux de réussite des évaluations</t>
        </is>
      </c>
      <c r="B12" s="7" t="n">
        <v>1</v>
      </c>
    </row>
    <row r="15">
      <c r="A15" s="4" t="inlineStr">
        <is>
          <t>RÉSULTATS CLÉS</t>
        </is>
      </c>
    </row>
    <row r="16">
      <c r="A16" s="5" t="inlineStr">
        <is>
          <t>Firmes dans le plan d'achat</t>
        </is>
      </c>
      <c r="B16" s="8" t="n">
        <v>12</v>
      </c>
    </row>
    <row r="17">
      <c r="A17" s="5" t="inlineStr">
        <is>
          <t>Nombre total de challenges à acheter</t>
        </is>
      </c>
      <c r="B17" s="8" t="n">
        <v>40</v>
      </c>
    </row>
    <row r="18">
      <c r="A18" s="5" t="inlineStr">
        <is>
          <t>Capital financé cible</t>
        </is>
      </c>
      <c r="B18" s="9" t="n">
        <v>6010000</v>
      </c>
    </row>
    <row r="19">
      <c r="A19" s="5" t="inlineStr">
        <is>
          <t>Coût total des challenges</t>
        </is>
      </c>
      <c r="B19" s="9" t="n">
        <v>82020</v>
      </c>
    </row>
    <row r="20">
      <c r="A20" s="5" t="inlineStr">
        <is>
          <t>Date de fin des achats</t>
        </is>
      </c>
      <c r="B20" s="10" t="n">
        <v>46408</v>
      </c>
    </row>
    <row r="21">
      <c r="A21" s="5" t="inlineStr">
        <is>
          <t>Mois de fin des achats</t>
        </is>
      </c>
      <c r="B21" s="8" t="n">
        <v>4</v>
      </c>
    </row>
    <row r="22">
      <c r="A22" s="5" t="inlineStr">
        <is>
          <t>Date du capital cible entièrement financé</t>
        </is>
      </c>
      <c r="B22" s="10" t="n">
        <v>46450</v>
      </c>
    </row>
    <row r="23">
      <c r="A23" s="5" t="inlineStr">
        <is>
          <t>Payout mensuel net en régime de croisière</t>
        </is>
      </c>
      <c r="B23" s="9" t="n">
        <v>525800</v>
      </c>
    </row>
    <row r="24">
      <c r="A24" s="5" t="inlineStr">
        <is>
          <t>Payouts cumulés à la fin de la simulation</t>
        </is>
      </c>
      <c r="B24" s="9" t="n">
        <v>2877000</v>
      </c>
    </row>
    <row r="25">
      <c r="A25" s="5" t="inlineStr">
        <is>
          <t>Frais cumulés</t>
        </is>
      </c>
      <c r="B25" s="9" t="n">
        <v>82020</v>
      </c>
    </row>
    <row r="26">
      <c r="A26" s="5" t="inlineStr">
        <is>
          <t>Trésorerie disponible à la fin</t>
        </is>
      </c>
      <c r="B26" s="9" t="n">
        <v>2794980</v>
      </c>
    </row>
    <row r="27">
      <c r="A27" s="5" t="inlineStr">
        <is>
          <t>Dernière date simulée</t>
        </is>
      </c>
      <c r="B27" s="10" t="n">
        <v>46576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4" customWidth="1" min="3" max="3"/>
    <col width="20" customWidth="1" min="4" max="4"/>
    <col width="60" customWidth="1" min="5" max="5"/>
    <col width="10" customWidth="1" min="6" max="6"/>
    <col width="10" customWidth="1" min="7" max="7"/>
    <col width="22" customWidth="1" min="8" max="8"/>
    <col width="70" customWidth="1" min="9" max="9"/>
    <col width="30" customWidth="1" min="10" max="10"/>
    <col width="50" customWidth="1" min="11" max="11"/>
  </cols>
  <sheetData>
    <row r="1" ht="40" customHeight="1">
      <c r="A1" s="11" t="inlineStr">
        <is>
          <t>Prop firm</t>
        </is>
      </c>
      <c r="B1" s="11" t="inlineStr">
        <is>
          <t>Groupe</t>
        </is>
      </c>
      <c r="C1" s="11" t="inlineStr">
        <is>
          <t>Type de compte</t>
        </is>
      </c>
      <c r="D1" s="11" t="inlineStr">
        <is>
          <t>Verdict « bot 100 % autonome »</t>
        </is>
      </c>
      <c r="E1" s="11" t="inlineStr">
        <is>
          <t>Réserve à respecter</t>
        </is>
      </c>
      <c r="F1" s="11" t="inlineStr">
        <is>
          <t>Plafond officiel</t>
        </is>
      </c>
      <c r="G1" s="11" t="inlineStr">
        <is>
          <t>Prix officiel</t>
        </is>
      </c>
      <c r="H1" s="11" t="inlineStr">
        <is>
          <t>Politique bot relevée</t>
        </is>
      </c>
      <c r="I1" s="11" t="inlineStr">
        <is>
          <t>Conditions relevées</t>
        </is>
      </c>
      <c r="J1" s="11" t="inlineStr">
        <is>
          <t>Plateformes</t>
        </is>
      </c>
      <c r="K1" s="11" t="inlineStr">
        <is>
          <t>Source</t>
        </is>
      </c>
    </row>
    <row r="2">
      <c r="A2" s="12" t="inlineStr">
        <is>
          <t>Hex Funded</t>
        </is>
      </c>
      <c r="B2" s="12" t="inlineStr">
        <is>
          <t>A – Instant/Direct CFD</t>
        </is>
      </c>
      <c r="C2" s="12" t="inlineStr">
        <is>
          <t>Instant-Direct</t>
        </is>
      </c>
      <c r="D2" s="13" t="inlineStr">
        <is>
          <t>OK</t>
        </is>
      </c>
      <c r="E2" s="12" t="inlineStr">
        <is>
          <t>EA personnel autorisé, plateforme compatible, aucune condition bloquante relevée</t>
        </is>
      </c>
      <c r="F2" s="12" t="inlineStr">
        <is>
          <t>OUI</t>
        </is>
      </c>
      <c r="G2" s="12" t="inlineStr">
        <is>
          <t>OUI</t>
        </is>
      </c>
      <c r="H2" s="12" t="inlineStr">
        <is>
          <t>OUI</t>
        </is>
      </c>
      <c r="I2" s="12" t="inlineStr">
        <is>
          <t>Official homepage rules table: 'Expert Advisors: Yes', 'Trade Copier: Yes', 'News Trading: No'. Detailed prohibited-strategy list not retrieved. Platform 'Platform 5' (MT5-style) per propfirmmap.</t>
        </is>
      </c>
      <c r="J2" s="12" t="inlineStr">
        <is>
          <t>Platform 5</t>
        </is>
      </c>
      <c r="K2" s="12" t="inlineStr">
        <is>
          <t>https://hexfunded.com/ https://intercom.help/hexfunded/en https://propfirmmap.com/blog/hexfunded-review</t>
        </is>
      </c>
    </row>
    <row r="3">
      <c r="A3" s="12" t="inlineStr">
        <is>
          <t>FundingRock</t>
        </is>
      </c>
      <c r="B3" s="12" t="inlineStr">
        <is>
          <t>A – Instant/Direct CFD</t>
        </is>
      </c>
      <c r="C3" s="12" t="inlineStr">
        <is>
          <t>Instant-Direct</t>
        </is>
      </c>
      <c r="D3" s="13" t="inlineStr">
        <is>
          <t>OK</t>
        </is>
      </c>
      <c r="E3" s="12" t="inlineStr">
        <is>
          <t>EA personnel autorisé, plateforme compatible, aucune condition bloquante relevée</t>
        </is>
      </c>
      <c r="F3" s="12" t="inlineStr">
        <is>
          <t>OUI</t>
        </is>
      </c>
      <c r="G3" s="12" t="inlineStr">
        <is>
          <t>OUI</t>
        </is>
      </c>
      <c r="H3" s="12" t="inlineStr">
        <is>
          <t>OUI</t>
        </is>
      </c>
      <c r="I3" s="12" t="inlineStr">
        <is>
          <t xml:space="preserve">Official FAQ: 'Yes, Expert Advisors (EAs) are allowed on our platform. We support automated trading strategies as long as they comply with our trading rules and risk management guidelines.' Platform is TradeLocker (cTrader per TTP) - TradeLocker has no native EA runtime, so automation needs cTrader </t>
        </is>
      </c>
      <c r="J3" s="12" t="inlineStr">
        <is>
          <t>TradeLocker;cTrader</t>
        </is>
      </c>
      <c r="K3" s="12" t="inlineStr">
        <is>
          <t>https://fundingrock.com/faq https://www.fundingrock.com/trading-platform/ https://thetrustedprop.com/prop-firms/funding-rock</t>
        </is>
      </c>
    </row>
    <row r="4">
      <c r="A4" s="12" t="inlineStr">
        <is>
          <t>10FOUR</t>
        </is>
      </c>
      <c r="B4" s="12" t="inlineStr">
        <is>
          <t>B – À étapes</t>
        </is>
      </c>
      <c r="C4" s="12" t="inlineStr">
        <is>
          <t>1 Step</t>
        </is>
      </c>
      <c r="D4" s="13" t="inlineStr">
        <is>
          <t>OK</t>
        </is>
      </c>
      <c r="E4" s="12" t="inlineStr">
        <is>
          <t>EA personnel autorisé, plateforme compatible, aucune condition bloquante relevée</t>
        </is>
      </c>
      <c r="F4" s="12" t="inlineStr">
        <is>
          <t>OUI</t>
        </is>
      </c>
      <c r="G4" s="12" t="inlineStr">
        <is>
          <t>OUI</t>
        </is>
      </c>
      <c r="H4" s="12" t="inlineStr">
        <is>
          <t>OUI</t>
        </is>
      </c>
      <c r="I4" s="12" t="inlineStr">
        <is>
          <t>Official rulebook: 'Automated strategies and trade copiers (you remain responsible)' allowed; micro-scalping / HFT exploiting sim quirks prohibited</t>
        </is>
      </c>
      <c r="J4" s="12" t="inlineStr">
        <is>
          <t>Tradara (CQG-powered futures); 10FOUR Terminal (perpetuals demo) - EA/API support unverified</t>
        </is>
      </c>
      <c r="K4" s="12" t="inlineStr">
        <is>
          <t>https://10four.com/how-it-works | https://10four.com/</t>
        </is>
      </c>
    </row>
    <row r="5">
      <c r="A5" s="12" t="inlineStr">
        <is>
          <t>Blue Guardian Futures</t>
        </is>
      </c>
      <c r="B5" s="12" t="inlineStr">
        <is>
          <t>B – À étapes</t>
        </is>
      </c>
      <c r="C5" s="12" t="inlineStr">
        <is>
          <t>1 Step</t>
        </is>
      </c>
      <c r="D5" s="13" t="inlineStr">
        <is>
          <t>OK</t>
        </is>
      </c>
      <c r="E5" s="12" t="inlineStr">
        <is>
          <t>EA personnel autorisé, plateforme compatible, aucune condition bloquante relevée</t>
        </is>
      </c>
      <c r="F5" s="12" t="inlineStr">
        <is>
          <t>OUI</t>
        </is>
      </c>
      <c r="G5" s="12" t="inlineStr">
        <is>
          <t>OUI</t>
        </is>
      </c>
      <c r="H5" s="12" t="inlineStr">
        <is>
          <t>OUI</t>
        </is>
      </c>
      <c r="I5" s="12" t="inlineStr">
        <is>
          <t>blueguardian.com/futures: 'Expert Advisors: Yes'; trade copier allowed; overnight allowed; news trading allowed on Express</t>
        </is>
      </c>
      <c r="J5" s="12" t="inlineStr">
        <is>
          <t>NinjaTrader; Tradovate; DeepCharts; TradingView</t>
        </is>
      </c>
      <c r="K5" s="12" t="inlineStr">
        <is>
          <t>https://blueguardian.com/futures/ | https://help.blueguardian.com/en/articles/15846933-can-i-purchase-more-accounts-than-the-maximum-allocation-limit</t>
        </is>
      </c>
    </row>
    <row r="6">
      <c r="A6" s="12" t="inlineStr">
        <is>
          <t>FTMO Futures</t>
        </is>
      </c>
      <c r="B6" s="12" t="inlineStr">
        <is>
          <t>B – À étapes</t>
        </is>
      </c>
      <c r="C6" s="12" t="inlineStr">
        <is>
          <t>1 Step</t>
        </is>
      </c>
      <c r="D6" s="13" t="inlineStr">
        <is>
          <t>OK</t>
        </is>
      </c>
      <c r="E6" s="12" t="inlineStr">
        <is>
          <t>EA personnel autorisé, plateforme compatible, aucune condition bloquante relevée</t>
        </is>
      </c>
      <c r="F6" s="12" t="inlineStr">
        <is>
          <t>OUI</t>
        </is>
      </c>
      <c r="G6" s="12" t="inlineStr">
        <is>
          <t>OUI</t>
        </is>
      </c>
      <c r="H6" s="12" t="inlineStr">
        <is>
          <t>OUI</t>
        </is>
      </c>
      <c r="I6" s="12" t="inlineStr">
        <is>
          <t>Official Futures FAQ: 'discretionary trading, algorithmic trading or EAs' permitted; strategy must be unique and replicable; third-party EAs discouraged; no copy trading across registrations; API order routing via Tradovate/NinjaTrader integrations. Monthly subscription during evaluation, no activat</t>
        </is>
      </c>
      <c r="J6" s="12" t="inlineStr">
        <is>
          <t>Tradovate;NinjaTrader;TradingView</t>
        </is>
      </c>
      <c r="K6" s="12" t="inlineStr">
        <is>
          <t>https://ftmo.com/en/futures/faq/ftr-which-instruments-can-i-trade-and-what-strategies-am-i-allowed-to-use/ https://ftmo.com/en/futures/ https://fundedtrading.com/propfirm/ftmo-futures/</t>
        </is>
      </c>
    </row>
    <row r="7">
      <c r="A7" s="12" t="inlineStr">
        <is>
          <t>FTMO</t>
        </is>
      </c>
      <c r="B7" s="12" t="inlineStr">
        <is>
          <t>B – À étapes</t>
        </is>
      </c>
      <c r="C7" s="12" t="inlineStr">
        <is>
          <t>1 Step</t>
        </is>
      </c>
      <c r="D7" s="13" t="inlineStr">
        <is>
          <t>OK</t>
        </is>
      </c>
      <c r="E7" s="12" t="inlineStr">
        <is>
          <t>EA personnel autorisé, plateforme compatible, aucune condition bloquante relevée</t>
        </is>
      </c>
      <c r="F7" s="12" t="inlineStr">
        <is>
          <t>OUI</t>
        </is>
      </c>
      <c r="G7" s="12" t="inlineStr">
        <is>
          <t>OUI</t>
        </is>
      </c>
      <c r="H7" s="12" t="inlineStr">
        <is>
          <t>OUI</t>
        </is>
      </c>
      <c r="I7" s="12" t="inlineStr">
        <is>
          <t>Official FAQ: 'whether it's discretionary trading, algorithmic trading, EAs, etc.' allowed; conditions: strategy must be replicable on live; third-party EA used by many traders may breach the max capital allocation rule ($400k per trader OR per strategy) and get the account denied; server limits 200</t>
        </is>
      </c>
      <c r="J7" s="12" t="inlineStr">
        <is>
          <t>MT4;MT5;cTrader;TradingView</t>
        </is>
      </c>
      <c r="K7" s="12" t="inlineStr">
        <is>
          <t>https://ftmo.com/en/faq/which-instruments-can-i-trade-and-what-strategies-am-i-allowed-to-use/ https://ftmo.com/en/faq/how-many-accounts-can-i-have/ https://ftmo.com/en/1-step-challenge/ https://propfirmcircle.com/challenges/ftmo-200k-1-step-standard</t>
        </is>
      </c>
    </row>
    <row r="8">
      <c r="A8" s="12" t="inlineStr">
        <is>
          <t>Kickstart Trading</t>
        </is>
      </c>
      <c r="B8" s="12" t="inlineStr">
        <is>
          <t>A – Instant/Direct CFD</t>
        </is>
      </c>
      <c r="C8" s="12" t="inlineStr">
        <is>
          <t>Instant-Direct</t>
        </is>
      </c>
      <c r="D8" s="14" t="inlineStr">
        <is>
          <t>OK AVEC RÉSERVE</t>
        </is>
      </c>
      <c r="E8" s="12" t="inlineStr">
        <is>
          <t>ne pas choisir DXtrade (pas d'EA) : utiliser MT5/cTrader ; EA personnel uniquement, code source ou preuve de propriété sur demande</t>
        </is>
      </c>
      <c r="F8" s="12" t="inlineStr">
        <is>
          <t>OUI</t>
        </is>
      </c>
      <c r="G8" s="12" t="inlineStr">
        <is>
          <t>OUI</t>
        </is>
      </c>
      <c r="H8" s="12" t="inlineStr">
        <is>
          <t>OUI</t>
        </is>
      </c>
      <c r="I8" s="12" t="inlineStr">
        <is>
          <t>Official FAQ: 'Automated strategies may be used subject to the prohibited trading policy' (no third-party passing strategies, no latency exploitation, no arbitrage; news lockout 3 min non-futures; copy trading only between own accounts). DXtrade has no EA support.</t>
        </is>
      </c>
      <c r="J8" s="12" t="inlineStr">
        <is>
          <t>DXtrade (no EAs), Match-Trader, cTrader (FX/CFD); DXFutures, Volumetrica, R|Trader Pro, Quantower, MotiveWave, Bookmap (futures); GooeyPro (equities)</t>
        </is>
      </c>
      <c r="K8" s="12" t="inlineStr">
        <is>
          <t>https://kickstarttrading.com/faq ; https://kickstarttrading.com/funding/</t>
        </is>
      </c>
    </row>
    <row r="9">
      <c r="A9" s="12" t="inlineStr">
        <is>
          <t>Funding Traders</t>
        </is>
      </c>
      <c r="B9" s="12" t="inlineStr">
        <is>
          <t>A – Instant/Direct CFD</t>
        </is>
      </c>
      <c r="C9" s="12" t="inlineStr">
        <is>
          <t>Instant-Direct</t>
        </is>
      </c>
      <c r="D9" s="14" t="inlineStr">
        <is>
          <t>OK AVEC RÉSERVE</t>
        </is>
      </c>
      <c r="E9" s="12" t="inlineStr">
        <is>
          <t>EA personnel uniquement, code source ou preuve de propriété sur demande</t>
        </is>
      </c>
      <c r="F9" s="12" t="inlineStr">
        <is>
          <t>OUI</t>
        </is>
      </c>
      <c r="G9" s="12" t="inlineStr">
        <is>
          <t>OUI</t>
        </is>
      </c>
      <c r="H9" s="12" t="inlineStr">
        <is>
          <t>OUI</t>
        </is>
      </c>
      <c r="I9" s="12" t="inlineStr">
        <is>
          <t>Official FAQ: MT5 'Full EA support'; you may manually copy your own trades across your own accounts; 'Using copy trading software between FT Instant Accounts is not allowed'; copying to/from another trader's account (manual or signals) prohibited -&gt; termination of all accounts.</t>
        </is>
      </c>
      <c r="J9" s="12" t="inlineStr">
        <is>
          <t>MT5;TradeLocker (AlphaTicks per TTP)</t>
        </is>
      </c>
      <c r="K9" s="12" t="inlineStr">
        <is>
          <t>https://fundingtraders.com/faq https://thetrustedprop.com/prop-firms/funding-traders</t>
        </is>
      </c>
    </row>
    <row r="10">
      <c r="A10" s="12" t="inlineStr">
        <is>
          <t>Blue Guardian</t>
        </is>
      </c>
      <c r="B10" s="12" t="inlineStr">
        <is>
          <t>A – Instant/Direct CFD</t>
        </is>
      </c>
      <c r="C10" s="12" t="inlineStr">
        <is>
          <t>Instant-Direct</t>
        </is>
      </c>
      <c r="D10" s="14" t="inlineStr">
        <is>
          <t>OK AVEC RÉSERVE</t>
        </is>
      </c>
      <c r="E10" s="12" t="inlineStr">
        <is>
          <t>EA personnel uniquement, code source ou preuve de propriété sur demande</t>
        </is>
      </c>
      <c r="F10" s="12" t="inlineStr">
        <is>
          <t>OUI</t>
        </is>
      </c>
      <c r="G10" s="12" t="inlineStr">
        <is>
          <t>OUI</t>
        </is>
      </c>
      <c r="H10" s="12" t="inlineStr">
        <is>
          <t>OUI</t>
        </is>
      </c>
      <c r="I10" s="12" t="inlineStr">
        <is>
          <t>Help center: 'EAs are allowed. You may use EAs that you setup to suit your own strategy'; min hold 2 minutes (tick scalping flag); copy trading only between own accounts; CFD news trading not allowed</t>
        </is>
      </c>
      <c r="J10" s="12" t="inlineStr">
        <is>
          <t>MT5; TradeLocker; Match-Trader (CFD); NinjaTrader; Tradovate; DeepCharts; TradingView (futures)</t>
        </is>
      </c>
      <c r="K10" s="12" t="inlineStr">
        <is>
          <t>https://help.blueguardian.com/en/articles/14061082-instant-standard-account-rules | https://help.blueguardian.com/en/articles/15846933-can-i-purchase-more-accounts-than-the-maximum-allocation-limit | https://blueguardian.com/</t>
        </is>
      </c>
    </row>
    <row r="11">
      <c r="A11" s="12" t="inlineStr">
        <is>
          <t>Finotive Futures</t>
        </is>
      </c>
      <c r="B11" s="12" t="inlineStr">
        <is>
          <t>B – À étapes</t>
        </is>
      </c>
      <c r="C11" s="12" t="inlineStr">
        <is>
          <t>1 Step</t>
        </is>
      </c>
      <c r="D11" s="14" t="inlineStr">
        <is>
          <t>OK AVEC RÉSERVE</t>
        </is>
      </c>
      <c r="E11" s="12" t="inlineStr">
        <is>
          <t>EA personnel uniquement, code source ou preuve de propriété sur demande</t>
        </is>
      </c>
      <c r="F11" s="12" t="inlineStr">
        <is>
          <t>OUI</t>
        </is>
      </c>
      <c r="G11" s="12" t="inlineStr">
        <is>
          <t>OUI</t>
        </is>
      </c>
      <c r="H11" s="12" t="inlineStr">
        <is>
          <t>OUI</t>
        </is>
      </c>
      <c r="I11" s="12" t="inlineStr">
        <is>
          <t>Legal/T&amp;C: 'Trading bots, Expert Advisors, and other automated or algorithmic trading strategies are permitted on all Finotive Futures accounts' (must not exploit sim vulnerabilities); copy only between own accounts</t>
        </is>
      </c>
      <c r="J11" s="12" t="inlineStr">
        <is>
          <t>NinjaTrader; Tradovate; TradingView; DeepCharts; ATAS; Quantower</t>
        </is>
      </c>
      <c r="K11" s="12" t="inlineStr">
        <is>
          <t>https://finotivefutures.com/legal | https://finotivefutures.com/</t>
        </is>
      </c>
    </row>
    <row r="12">
      <c r="A12" s="12" t="inlineStr">
        <is>
          <t>BrightFunded</t>
        </is>
      </c>
      <c r="B12" s="12" t="inlineStr">
        <is>
          <t>B – À étapes</t>
        </is>
      </c>
      <c r="C12" s="12" t="inlineStr">
        <is>
          <t>1 Step</t>
        </is>
      </c>
      <c r="D12" s="14" t="inlineStr">
        <is>
          <t>OK AVEC RÉSERVE</t>
        </is>
      </c>
      <c r="E12" s="12" t="inlineStr">
        <is>
          <t>ne pas choisir DXtrade (pas d'EA) : utiliser MT5/cTrader</t>
        </is>
      </c>
      <c r="F12" s="12" t="inlineStr">
        <is>
          <t>OUI</t>
        </is>
      </c>
      <c r="G12" s="12" t="inlineStr">
        <is>
          <t>OUI</t>
        </is>
      </c>
      <c r="H12" s="12" t="inlineStr">
        <is>
          <t>OUI</t>
        </is>
      </c>
      <c r="I12" s="12" t="inlineStr">
        <is>
          <t>Help center: 'we allow the use of Expert Advisors (EAs)'; must respect loss limits; 'API and automated trading are not supported on DXtrade'; third-party EAs may create duplicate strategies (risk)</t>
        </is>
      </c>
      <c r="J12" s="12" t="inlineStr">
        <is>
          <t>MT5; cTrader; DXtrade (no automation)</t>
        </is>
      </c>
      <c r="K12" s="12" t="inlineStr">
        <is>
          <t>https://help.brightfunded.com/en/articles/9241699-can-i-use-ea | https://brightfunded.com/</t>
        </is>
      </c>
    </row>
    <row r="13">
      <c r="A13" s="12" t="inlineStr">
        <is>
          <t>Fundora</t>
        </is>
      </c>
      <c r="B13" s="12" t="inlineStr">
        <is>
          <t>B – À étapes</t>
        </is>
      </c>
      <c r="C13" s="12" t="inlineStr">
        <is>
          <t>2 Step</t>
        </is>
      </c>
      <c r="D13" s="14" t="inlineStr">
        <is>
          <t>OK AVEC RÉSERVE</t>
        </is>
      </c>
      <c r="E13" s="12" t="inlineStr">
        <is>
          <t>EA personnel uniquement, code source ou preuve de propriété sur demande</t>
        </is>
      </c>
      <c r="F13" s="12" t="inlineStr">
        <is>
          <t>OUI</t>
        </is>
      </c>
      <c r="G13" s="12" t="inlineStr">
        <is>
          <t>OUI</t>
        </is>
      </c>
      <c r="H13" s="12" t="inlineStr">
        <is>
          <t>OUI</t>
        </is>
      </c>
      <c r="I13" s="12" t="inlineStr">
        <is>
          <t>Official FAQ: 'Automated trading using EAs or tools is permitted at Fundora. However, it is limited to EAs or tools created by the trader themselves, including semi-automated systems'; Fundora may request source code / trade history as proof; copying third-party trades strictly prohibited.</t>
        </is>
      </c>
      <c r="J13" s="12" t="inlineStr">
        <is>
          <t>cTrader</t>
        </is>
      </c>
      <c r="K13" s="12" t="inlineStr">
        <is>
          <t>https://international.fundora-trading.com/pages/faq https://international.fundora-trading.com/</t>
        </is>
      </c>
    </row>
  </sheetData>
  <autoFilter ref="A1:K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7" customWidth="1" min="3" max="3"/>
    <col width="16" customWidth="1" min="4" max="4"/>
    <col width="14" customWidth="1" min="5" max="5"/>
    <col width="10" customWidth="1" min="6" max="6"/>
    <col width="14" customWidth="1" min="7" max="7"/>
    <col width="14" customWidth="1" min="8" max="8"/>
    <col width="10" customWidth="1" min="9" max="9"/>
    <col width="14" customWidth="1" min="10" max="10"/>
    <col width="60" customWidth="1" min="11" max="11"/>
    <col width="16" customWidth="1" min="12" max="12"/>
    <col width="10" customWidth="1" min="13" max="13"/>
    <col width="14" customWidth="1" min="14" max="14"/>
    <col width="10" customWidth="1" min="15" max="15"/>
    <col width="16" customWidth="1" min="16" max="16"/>
    <col width="14" customWidth="1" min="17" max="17"/>
    <col width="14" customWidth="1" min="18" max="18"/>
    <col width="14" customWidth="1" min="19" max="19"/>
    <col width="12" customWidth="1" min="20" max="20"/>
  </cols>
  <sheetData>
    <row r="1" ht="40" customHeight="1">
      <c r="A1" s="11" t="inlineStr">
        <is>
          <t>Période</t>
        </is>
      </c>
      <c r="B1" s="11" t="inlineStr">
        <is>
          <t>Date</t>
        </is>
      </c>
      <c r="C1" s="11" t="inlineStr">
        <is>
          <t>Mois</t>
        </is>
      </c>
      <c r="D1" s="11" t="inlineStr">
        <is>
          <t>Capital financé début ($)</t>
        </is>
      </c>
      <c r="E1" s="11" t="inlineStr">
        <is>
          <t>Profit brut de la quinzaine ($)</t>
        </is>
      </c>
      <c r="F1" s="11" t="inlineStr">
        <is>
          <t>Comptes versant un payout</t>
        </is>
      </c>
      <c r="G1" s="11" t="inlineStr">
        <is>
          <t>Payouts encaissés ($)</t>
        </is>
      </c>
      <c r="H1" s="11" t="inlineStr">
        <is>
          <t>Trésorerie avant achats ($)</t>
        </is>
      </c>
      <c r="I1" s="11" t="inlineStr">
        <is>
          <t>Challenges achetés</t>
        </is>
      </c>
      <c r="J1" s="11" t="inlineStr">
        <is>
          <t>Frais dépensés ($)</t>
        </is>
      </c>
      <c r="K1" s="11" t="inlineStr">
        <is>
          <t>Achats de la période</t>
        </is>
      </c>
      <c r="L1" s="11" t="inlineStr">
        <is>
          <t>RESTE après investissement ($)</t>
        </is>
      </c>
      <c r="M1" s="11" t="inlineStr">
        <is>
          <t>Comptes en évaluation</t>
        </is>
      </c>
      <c r="N1" s="11" t="inlineStr">
        <is>
          <t>Capital en évaluation ($)</t>
        </is>
      </c>
      <c r="O1" s="11" t="inlineStr">
        <is>
          <t>Comptes financés</t>
        </is>
      </c>
      <c r="P1" s="11" t="inlineStr">
        <is>
          <t>Capital financé fin ($)</t>
        </is>
      </c>
      <c r="Q1" s="11" t="inlineStr">
        <is>
          <t>Payouts cumulés ($)</t>
        </is>
      </c>
      <c r="R1" s="11" t="inlineStr">
        <is>
          <t>Frais cumulés ($)</t>
        </is>
      </c>
      <c r="S1" s="11" t="inlineStr">
        <is>
          <t>Résultat net cumulé ($)</t>
        </is>
      </c>
      <c r="T1" s="11" t="inlineStr">
        <is>
          <t>ROI cumulé (payouts / frais)</t>
        </is>
      </c>
    </row>
    <row r="2">
      <c r="A2" s="12" t="n">
        <v>1</v>
      </c>
      <c r="B2" s="15" t="n">
        <v>46310</v>
      </c>
      <c r="C2" s="16" t="n">
        <v>0.5</v>
      </c>
      <c r="D2" s="17" t="n">
        <v>10000</v>
      </c>
      <c r="E2" s="18" t="n">
        <v>500</v>
      </c>
      <c r="F2" s="12" t="n">
        <v>0</v>
      </c>
      <c r="G2" s="17" t="n">
        <v>0</v>
      </c>
      <c r="H2" s="18">
        <f>0+G2</f>
        <v/>
      </c>
      <c r="I2" s="12" t="n">
        <v>0</v>
      </c>
      <c r="J2" s="18" t="n">
        <v>0</v>
      </c>
      <c r="K2" s="12" t="inlineStr"/>
      <c r="L2" s="17">
        <f>H2-J2</f>
        <v/>
      </c>
      <c r="M2" s="12" t="n">
        <v>0</v>
      </c>
      <c r="N2" s="18" t="n">
        <v>0</v>
      </c>
      <c r="O2" s="12" t="n">
        <v>1</v>
      </c>
      <c r="P2" s="18" t="n">
        <v>10000</v>
      </c>
      <c r="Q2" s="18">
        <f>SUM($G$2:G2)</f>
        <v/>
      </c>
      <c r="R2" s="18">
        <f>SUM($J$2:J2)</f>
        <v/>
      </c>
      <c r="S2" s="18">
        <f>Q2-R2</f>
        <v/>
      </c>
      <c r="T2" s="19">
        <f>IF(R2&gt;0,Q2/R2,"")</f>
        <v/>
      </c>
    </row>
    <row r="3">
      <c r="A3" s="12" t="n">
        <v>2</v>
      </c>
      <c r="B3" s="15" t="n">
        <v>46324</v>
      </c>
      <c r="C3" s="16" t="n">
        <v>1</v>
      </c>
      <c r="D3" s="17" t="n">
        <v>10000</v>
      </c>
      <c r="E3" s="18" t="n">
        <v>500</v>
      </c>
      <c r="F3" s="12" t="n">
        <v>1</v>
      </c>
      <c r="G3" s="17" t="n">
        <v>800</v>
      </c>
      <c r="H3" s="18">
        <f>L2+G3</f>
        <v/>
      </c>
      <c r="I3" s="12" t="n">
        <v>1</v>
      </c>
      <c r="J3" s="18" t="n">
        <v>596</v>
      </c>
      <c r="K3" s="12" t="inlineStr">
        <is>
          <t>Hex Funded Instant-Direct 100k ×1</t>
        </is>
      </c>
      <c r="L3" s="17">
        <f>H3-J3</f>
        <v/>
      </c>
      <c r="M3" s="12" t="n">
        <v>0</v>
      </c>
      <c r="N3" s="18" t="n">
        <v>0</v>
      </c>
      <c r="O3" s="12" t="n">
        <v>2</v>
      </c>
      <c r="P3" s="18" t="n">
        <v>110000</v>
      </c>
      <c r="Q3" s="18">
        <f>SUM($G$2:G3)</f>
        <v/>
      </c>
      <c r="R3" s="18">
        <f>SUM($J$2:J3)</f>
        <v/>
      </c>
      <c r="S3" s="18">
        <f>Q3-R3</f>
        <v/>
      </c>
      <c r="T3" s="19">
        <f>IF(R3&gt;0,Q3/R3,"")</f>
        <v/>
      </c>
    </row>
    <row r="4">
      <c r="A4" s="12" t="n">
        <v>3</v>
      </c>
      <c r="B4" s="15" t="n">
        <v>46338</v>
      </c>
      <c r="C4" s="16" t="n">
        <v>1.5</v>
      </c>
      <c r="D4" s="17" t="n">
        <v>110000</v>
      </c>
      <c r="E4" s="18" t="n">
        <v>5500</v>
      </c>
      <c r="F4" s="12" t="n">
        <v>0</v>
      </c>
      <c r="G4" s="17" t="n">
        <v>0</v>
      </c>
      <c r="H4" s="18">
        <f>L3+G4</f>
        <v/>
      </c>
      <c r="I4" s="12" t="n">
        <v>0</v>
      </c>
      <c r="J4" s="18" t="n">
        <v>0</v>
      </c>
      <c r="K4" s="12" t="inlineStr"/>
      <c r="L4" s="17">
        <f>H4-J4</f>
        <v/>
      </c>
      <c r="M4" s="12" t="n">
        <v>0</v>
      </c>
      <c r="N4" s="18" t="n">
        <v>0</v>
      </c>
      <c r="O4" s="12" t="n">
        <v>2</v>
      </c>
      <c r="P4" s="18" t="n">
        <v>110000</v>
      </c>
      <c r="Q4" s="18">
        <f>SUM($G$2:G4)</f>
        <v/>
      </c>
      <c r="R4" s="18">
        <f>SUM($J$2:J4)</f>
        <v/>
      </c>
      <c r="S4" s="18">
        <f>Q4-R4</f>
        <v/>
      </c>
      <c r="T4" s="19">
        <f>IF(R4&gt;0,Q4/R4,"")</f>
        <v/>
      </c>
    </row>
    <row r="5">
      <c r="A5" s="12" t="n">
        <v>4</v>
      </c>
      <c r="B5" s="15" t="n">
        <v>46352</v>
      </c>
      <c r="C5" s="16" t="n">
        <v>2</v>
      </c>
      <c r="D5" s="17" t="n">
        <v>110000</v>
      </c>
      <c r="E5" s="18" t="n">
        <v>5500</v>
      </c>
      <c r="F5" s="12" t="n">
        <v>2</v>
      </c>
      <c r="G5" s="17" t="n">
        <v>9800</v>
      </c>
      <c r="H5" s="18">
        <f>L4+G5</f>
        <v/>
      </c>
      <c r="I5" s="12" t="n">
        <v>2</v>
      </c>
      <c r="J5" s="18" t="n">
        <v>10000</v>
      </c>
      <c r="K5" s="12" t="inlineStr">
        <is>
          <t>Kickstart Trading Instant-Direct 100k ×2</t>
        </is>
      </c>
      <c r="L5" s="17">
        <f>H5-J5</f>
        <v/>
      </c>
      <c r="M5" s="12" t="n">
        <v>0</v>
      </c>
      <c r="N5" s="18" t="n">
        <v>0</v>
      </c>
      <c r="O5" s="12" t="n">
        <v>4</v>
      </c>
      <c r="P5" s="18" t="n">
        <v>310000</v>
      </c>
      <c r="Q5" s="18">
        <f>SUM($G$2:G5)</f>
        <v/>
      </c>
      <c r="R5" s="18">
        <f>SUM($J$2:J5)</f>
        <v/>
      </c>
      <c r="S5" s="18">
        <f>Q5-R5</f>
        <v/>
      </c>
      <c r="T5" s="19">
        <f>IF(R5&gt;0,Q5/R5,"")</f>
        <v/>
      </c>
    </row>
    <row r="6">
      <c r="A6" s="12" t="n">
        <v>5</v>
      </c>
      <c r="B6" s="15" t="n">
        <v>46366</v>
      </c>
      <c r="C6" s="16" t="n">
        <v>2.5</v>
      </c>
      <c r="D6" s="17" t="n">
        <v>310000</v>
      </c>
      <c r="E6" s="18" t="n">
        <v>15500</v>
      </c>
      <c r="F6" s="12" t="n">
        <v>0</v>
      </c>
      <c r="G6" s="17" t="n">
        <v>0</v>
      </c>
      <c r="H6" s="18">
        <f>L5+G6</f>
        <v/>
      </c>
      <c r="I6" s="12" t="n">
        <v>0</v>
      </c>
      <c r="J6" s="18" t="n">
        <v>0</v>
      </c>
      <c r="K6" s="12" t="inlineStr"/>
      <c r="L6" s="17">
        <f>H6-J6</f>
        <v/>
      </c>
      <c r="M6" s="12" t="n">
        <v>0</v>
      </c>
      <c r="N6" s="18" t="n">
        <v>0</v>
      </c>
      <c r="O6" s="12" t="n">
        <v>4</v>
      </c>
      <c r="P6" s="18" t="n">
        <v>310000</v>
      </c>
      <c r="Q6" s="18">
        <f>SUM($G$2:G6)</f>
        <v/>
      </c>
      <c r="R6" s="18">
        <f>SUM($J$2:J6)</f>
        <v/>
      </c>
      <c r="S6" s="18">
        <f>Q6-R6</f>
        <v/>
      </c>
      <c r="T6" s="19">
        <f>IF(R6&gt;0,Q6/R6,"")</f>
        <v/>
      </c>
    </row>
    <row r="7">
      <c r="A7" s="12" t="n">
        <v>6</v>
      </c>
      <c r="B7" s="15" t="n">
        <v>46380</v>
      </c>
      <c r="C7" s="16" t="n">
        <v>3</v>
      </c>
      <c r="D7" s="17" t="n">
        <v>310000</v>
      </c>
      <c r="E7" s="18" t="n">
        <v>15500</v>
      </c>
      <c r="F7" s="12" t="n">
        <v>4</v>
      </c>
      <c r="G7" s="17" t="n">
        <v>25800</v>
      </c>
      <c r="H7" s="18">
        <f>L6+G7</f>
        <v/>
      </c>
      <c r="I7" s="12" t="n">
        <v>6</v>
      </c>
      <c r="J7" s="18" t="n">
        <v>25600</v>
      </c>
      <c r="K7" s="12" t="inlineStr">
        <is>
          <t>Kickstart Trading Instant-Direct 100k ×5; FundingRock Instant-Direct 100k ×1</t>
        </is>
      </c>
      <c r="L7" s="17">
        <f>H7-J7</f>
        <v/>
      </c>
      <c r="M7" s="12" t="n">
        <v>0</v>
      </c>
      <c r="N7" s="18" t="n">
        <v>0</v>
      </c>
      <c r="O7" s="12" t="n">
        <v>10</v>
      </c>
      <c r="P7" s="18" t="n">
        <v>910000</v>
      </c>
      <c r="Q7" s="18">
        <f>SUM($G$2:G7)</f>
        <v/>
      </c>
      <c r="R7" s="18">
        <f>SUM($J$2:J7)</f>
        <v/>
      </c>
      <c r="S7" s="18">
        <f>Q7-R7</f>
        <v/>
      </c>
      <c r="T7" s="19">
        <f>IF(R7&gt;0,Q7/R7,"")</f>
        <v/>
      </c>
    </row>
    <row r="8">
      <c r="A8" s="12" t="n">
        <v>7</v>
      </c>
      <c r="B8" s="15" t="n">
        <v>46394</v>
      </c>
      <c r="C8" s="16" t="n">
        <v>3.5</v>
      </c>
      <c r="D8" s="17" t="n">
        <v>910000</v>
      </c>
      <c r="E8" s="18" t="n">
        <v>45500</v>
      </c>
      <c r="F8" s="12" t="n">
        <v>0</v>
      </c>
      <c r="G8" s="17" t="n">
        <v>0</v>
      </c>
      <c r="H8" s="18">
        <f>L7+G8</f>
        <v/>
      </c>
      <c r="I8" s="12" t="n">
        <v>0</v>
      </c>
      <c r="J8" s="18" t="n">
        <v>0</v>
      </c>
      <c r="K8" s="12" t="inlineStr"/>
      <c r="L8" s="17">
        <f>H8-J8</f>
        <v/>
      </c>
      <c r="M8" s="12" t="n">
        <v>0</v>
      </c>
      <c r="N8" s="18" t="n">
        <v>0</v>
      </c>
      <c r="O8" s="12" t="n">
        <v>10</v>
      </c>
      <c r="P8" s="18" t="n">
        <v>910000</v>
      </c>
      <c r="Q8" s="18">
        <f>SUM($G$2:G8)</f>
        <v/>
      </c>
      <c r="R8" s="18">
        <f>SUM($J$2:J8)</f>
        <v/>
      </c>
      <c r="S8" s="18">
        <f>Q8-R8</f>
        <v/>
      </c>
      <c r="T8" s="19">
        <f>IF(R8&gt;0,Q8/R8,"")</f>
        <v/>
      </c>
    </row>
    <row r="9">
      <c r="A9" s="12" t="n">
        <v>8</v>
      </c>
      <c r="B9" s="15" t="n">
        <v>46408</v>
      </c>
      <c r="C9" s="16" t="n">
        <v>4</v>
      </c>
      <c r="D9" s="17" t="n">
        <v>910000</v>
      </c>
      <c r="E9" s="18" t="n">
        <v>45500</v>
      </c>
      <c r="F9" s="12" t="n">
        <v>10</v>
      </c>
      <c r="G9" s="17" t="n">
        <v>73800</v>
      </c>
      <c r="H9" s="18">
        <f>L8+G9</f>
        <v/>
      </c>
      <c r="I9" s="12" t="n">
        <v>31</v>
      </c>
      <c r="J9" s="18" t="n">
        <v>45824</v>
      </c>
      <c r="K9" s="12" t="inlineStr">
        <is>
          <t>Kickstart Trading Instant-Direct 100k ×3; Funding Traders Instant-Direct 400k ×1; Blue Guardian Instant-Direct 400k ×1; Finotive Futures 1 Step 150k ×6; 10FOUR 1 Step 150k ×5; Blue Guardian Futures 1 Step 100k ×7; FTMO Futures 1 Step 150k ×3; BrightFunded 1 Step 200k ×2; FTMO 1 Step 200k ×2; Fundora 2 Step 400k ×1</t>
        </is>
      </c>
      <c r="L9" s="17">
        <f>H9-J9</f>
        <v/>
      </c>
      <c r="M9" s="12" t="n">
        <v>26</v>
      </c>
      <c r="N9" s="18" t="n">
        <v>4000000</v>
      </c>
      <c r="O9" s="12" t="n">
        <v>15</v>
      </c>
      <c r="P9" s="18" t="n">
        <v>2010000</v>
      </c>
      <c r="Q9" s="18">
        <f>SUM($G$2:G9)</f>
        <v/>
      </c>
      <c r="R9" s="18">
        <f>SUM($J$2:J9)</f>
        <v/>
      </c>
      <c r="S9" s="18">
        <f>Q9-R9</f>
        <v/>
      </c>
      <c r="T9" s="19">
        <f>IF(R9&gt;0,Q9/R9,"")</f>
        <v/>
      </c>
    </row>
    <row r="10">
      <c r="A10" s="12" t="n">
        <v>9</v>
      </c>
      <c r="B10" s="15" t="n">
        <v>46422</v>
      </c>
      <c r="C10" s="16" t="n">
        <v>4.5</v>
      </c>
      <c r="D10" s="17" t="n">
        <v>2010000</v>
      </c>
      <c r="E10" s="18" t="n">
        <v>100500</v>
      </c>
      <c r="F10" s="12" t="n">
        <v>0</v>
      </c>
      <c r="G10" s="17" t="n">
        <v>0</v>
      </c>
      <c r="H10" s="18">
        <f>L9+G10</f>
        <v/>
      </c>
      <c r="I10" s="12" t="n">
        <v>0</v>
      </c>
      <c r="J10" s="18" t="n">
        <v>0</v>
      </c>
      <c r="K10" s="12" t="inlineStr"/>
      <c r="L10" s="17">
        <f>H10-J10</f>
        <v/>
      </c>
      <c r="M10" s="12" t="n">
        <v>26</v>
      </c>
      <c r="N10" s="18" t="n">
        <v>4000000</v>
      </c>
      <c r="O10" s="12" t="n">
        <v>15</v>
      </c>
      <c r="P10" s="18" t="n">
        <v>2010000</v>
      </c>
      <c r="Q10" s="18">
        <f>SUM($G$2:G10)</f>
        <v/>
      </c>
      <c r="R10" s="18">
        <f>SUM($J$2:J10)</f>
        <v/>
      </c>
      <c r="S10" s="18">
        <f>Q10-R10</f>
        <v/>
      </c>
      <c r="T10" s="19">
        <f>IF(R10&gt;0,Q10/R10,"")</f>
        <v/>
      </c>
    </row>
    <row r="11">
      <c r="A11" s="12" t="n">
        <v>10</v>
      </c>
      <c r="B11" s="15" t="n">
        <v>46436</v>
      </c>
      <c r="C11" s="16" t="n">
        <v>5</v>
      </c>
      <c r="D11" s="17" t="n">
        <v>5610000</v>
      </c>
      <c r="E11" s="18" t="n">
        <v>280500</v>
      </c>
      <c r="F11" s="12" t="n">
        <v>15</v>
      </c>
      <c r="G11" s="17" t="n">
        <v>169800</v>
      </c>
      <c r="H11" s="18">
        <f>L10+G11</f>
        <v/>
      </c>
      <c r="I11" s="12" t="n">
        <v>0</v>
      </c>
      <c r="J11" s="18" t="n">
        <v>0</v>
      </c>
      <c r="K11" s="12" t="inlineStr"/>
      <c r="L11" s="17">
        <f>H11-J11</f>
        <v/>
      </c>
      <c r="M11" s="12" t="n">
        <v>1</v>
      </c>
      <c r="N11" s="18" t="n">
        <v>400000</v>
      </c>
      <c r="O11" s="12" t="n">
        <v>40</v>
      </c>
      <c r="P11" s="18" t="n">
        <v>5610000</v>
      </c>
      <c r="Q11" s="18">
        <f>SUM($G$2:G11)</f>
        <v/>
      </c>
      <c r="R11" s="18">
        <f>SUM($J$2:J11)</f>
        <v/>
      </c>
      <c r="S11" s="18">
        <f>Q11-R11</f>
        <v/>
      </c>
      <c r="T11" s="19">
        <f>IF(R11&gt;0,Q11/R11,"")</f>
        <v/>
      </c>
    </row>
    <row r="12">
      <c r="A12" s="12" t="n">
        <v>11</v>
      </c>
      <c r="B12" s="15" t="n">
        <v>46450</v>
      </c>
      <c r="C12" s="16" t="n">
        <v>5.5</v>
      </c>
      <c r="D12" s="17" t="n">
        <v>6010000</v>
      </c>
      <c r="E12" s="18" t="n">
        <v>300500</v>
      </c>
      <c r="F12" s="12" t="n">
        <v>0</v>
      </c>
      <c r="G12" s="17" t="n">
        <v>0</v>
      </c>
      <c r="H12" s="18">
        <f>L11+G12</f>
        <v/>
      </c>
      <c r="I12" s="12" t="n">
        <v>0</v>
      </c>
      <c r="J12" s="18" t="n">
        <v>0</v>
      </c>
      <c r="K12" s="12" t="inlineStr"/>
      <c r="L12" s="17">
        <f>H12-J12</f>
        <v/>
      </c>
      <c r="M12" s="12" t="n">
        <v>0</v>
      </c>
      <c r="N12" s="18" t="n">
        <v>0</v>
      </c>
      <c r="O12" s="12" t="n">
        <v>41</v>
      </c>
      <c r="P12" s="18" t="n">
        <v>6010000</v>
      </c>
      <c r="Q12" s="18">
        <f>SUM($G$2:G12)</f>
        <v/>
      </c>
      <c r="R12" s="18">
        <f>SUM($J$2:J12)</f>
        <v/>
      </c>
      <c r="S12" s="18">
        <f>Q12-R12</f>
        <v/>
      </c>
      <c r="T12" s="19">
        <f>IF(R12&gt;0,Q12/R12,"")</f>
        <v/>
      </c>
    </row>
    <row r="13">
      <c r="A13" s="12" t="n">
        <v>12</v>
      </c>
      <c r="B13" s="15" t="n">
        <v>46464</v>
      </c>
      <c r="C13" s="16" t="n">
        <v>6</v>
      </c>
      <c r="D13" s="17" t="n">
        <v>6010000</v>
      </c>
      <c r="E13" s="18" t="n">
        <v>300500</v>
      </c>
      <c r="F13" s="12" t="n">
        <v>40</v>
      </c>
      <c r="G13" s="17" t="n">
        <v>493800</v>
      </c>
      <c r="H13" s="18">
        <f>L12+G13</f>
        <v/>
      </c>
      <c r="I13" s="12" t="n">
        <v>0</v>
      </c>
      <c r="J13" s="18" t="n">
        <v>0</v>
      </c>
      <c r="K13" s="12" t="inlineStr"/>
      <c r="L13" s="17">
        <f>H13-J13</f>
        <v/>
      </c>
      <c r="M13" s="12" t="n">
        <v>0</v>
      </c>
      <c r="N13" s="18" t="n">
        <v>0</v>
      </c>
      <c r="O13" s="12" t="n">
        <v>41</v>
      </c>
      <c r="P13" s="18" t="n">
        <v>6010000</v>
      </c>
      <c r="Q13" s="18">
        <f>SUM($G$2:G13)</f>
        <v/>
      </c>
      <c r="R13" s="18">
        <f>SUM($J$2:J13)</f>
        <v/>
      </c>
      <c r="S13" s="18">
        <f>Q13-R13</f>
        <v/>
      </c>
      <c r="T13" s="19">
        <f>IF(R13&gt;0,Q13/R13,"")</f>
        <v/>
      </c>
    </row>
    <row r="14">
      <c r="A14" s="12" t="n">
        <v>13</v>
      </c>
      <c r="B14" s="15" t="n">
        <v>46478</v>
      </c>
      <c r="C14" s="16" t="n">
        <v>6.5</v>
      </c>
      <c r="D14" s="17" t="n">
        <v>6010000</v>
      </c>
      <c r="E14" s="18" t="n">
        <v>300500</v>
      </c>
      <c r="F14" s="12" t="n">
        <v>1</v>
      </c>
      <c r="G14" s="17" t="n">
        <v>32000</v>
      </c>
      <c r="H14" s="18">
        <f>L13+G14</f>
        <v/>
      </c>
      <c r="I14" s="12" t="n">
        <v>0</v>
      </c>
      <c r="J14" s="18" t="n">
        <v>0</v>
      </c>
      <c r="K14" s="12" t="inlineStr"/>
      <c r="L14" s="17">
        <f>H14-J14</f>
        <v/>
      </c>
      <c r="M14" s="12" t="n">
        <v>0</v>
      </c>
      <c r="N14" s="18" t="n">
        <v>0</v>
      </c>
      <c r="O14" s="12" t="n">
        <v>41</v>
      </c>
      <c r="P14" s="18" t="n">
        <v>6010000</v>
      </c>
      <c r="Q14" s="18">
        <f>SUM($G$2:G14)</f>
        <v/>
      </c>
      <c r="R14" s="18">
        <f>SUM($J$2:J14)</f>
        <v/>
      </c>
      <c r="S14" s="18">
        <f>Q14-R14</f>
        <v/>
      </c>
      <c r="T14" s="19">
        <f>IF(R14&gt;0,Q14/R14,"")</f>
        <v/>
      </c>
    </row>
    <row r="15">
      <c r="A15" s="12" t="n">
        <v>14</v>
      </c>
      <c r="B15" s="15" t="n">
        <v>46492</v>
      </c>
      <c r="C15" s="16" t="n">
        <v>7</v>
      </c>
      <c r="D15" s="17" t="n">
        <v>6010000</v>
      </c>
      <c r="E15" s="18" t="n">
        <v>300500</v>
      </c>
      <c r="F15" s="12" t="n">
        <v>40</v>
      </c>
      <c r="G15" s="17" t="n">
        <v>493800</v>
      </c>
      <c r="H15" s="18">
        <f>L14+G15</f>
        <v/>
      </c>
      <c r="I15" s="12" t="n">
        <v>0</v>
      </c>
      <c r="J15" s="18" t="n">
        <v>0</v>
      </c>
      <c r="K15" s="12" t="inlineStr"/>
      <c r="L15" s="17">
        <f>H15-J15</f>
        <v/>
      </c>
      <c r="M15" s="12" t="n">
        <v>0</v>
      </c>
      <c r="N15" s="18" t="n">
        <v>0</v>
      </c>
      <c r="O15" s="12" t="n">
        <v>41</v>
      </c>
      <c r="P15" s="18" t="n">
        <v>6010000</v>
      </c>
      <c r="Q15" s="18">
        <f>SUM($G$2:G15)</f>
        <v/>
      </c>
      <c r="R15" s="18">
        <f>SUM($J$2:J15)</f>
        <v/>
      </c>
      <c r="S15" s="18">
        <f>Q15-R15</f>
        <v/>
      </c>
      <c r="T15" s="19">
        <f>IF(R15&gt;0,Q15/R15,"")</f>
        <v/>
      </c>
    </row>
    <row r="16">
      <c r="A16" s="12" t="n">
        <v>15</v>
      </c>
      <c r="B16" s="15" t="n">
        <v>46506</v>
      </c>
      <c r="C16" s="16" t="n">
        <v>7.5</v>
      </c>
      <c r="D16" s="17" t="n">
        <v>6010000</v>
      </c>
      <c r="E16" s="18" t="n">
        <v>300500</v>
      </c>
      <c r="F16" s="12" t="n">
        <v>1</v>
      </c>
      <c r="G16" s="17" t="n">
        <v>32000</v>
      </c>
      <c r="H16" s="18">
        <f>L15+G16</f>
        <v/>
      </c>
      <c r="I16" s="12" t="n">
        <v>0</v>
      </c>
      <c r="J16" s="18" t="n">
        <v>0</v>
      </c>
      <c r="K16" s="12" t="inlineStr"/>
      <c r="L16" s="17">
        <f>H16-J16</f>
        <v/>
      </c>
      <c r="M16" s="12" t="n">
        <v>0</v>
      </c>
      <c r="N16" s="18" t="n">
        <v>0</v>
      </c>
      <c r="O16" s="12" t="n">
        <v>41</v>
      </c>
      <c r="P16" s="18" t="n">
        <v>6010000</v>
      </c>
      <c r="Q16" s="18">
        <f>SUM($G$2:G16)</f>
        <v/>
      </c>
      <c r="R16" s="18">
        <f>SUM($J$2:J16)</f>
        <v/>
      </c>
      <c r="S16" s="18">
        <f>Q16-R16</f>
        <v/>
      </c>
      <c r="T16" s="19">
        <f>IF(R16&gt;0,Q16/R16,"")</f>
        <v/>
      </c>
    </row>
    <row r="17">
      <c r="A17" s="12" t="n">
        <v>16</v>
      </c>
      <c r="B17" s="15" t="n">
        <v>46520</v>
      </c>
      <c r="C17" s="16" t="n">
        <v>8</v>
      </c>
      <c r="D17" s="17" t="n">
        <v>6010000</v>
      </c>
      <c r="E17" s="18" t="n">
        <v>300500</v>
      </c>
      <c r="F17" s="12" t="n">
        <v>40</v>
      </c>
      <c r="G17" s="17" t="n">
        <v>493800</v>
      </c>
      <c r="H17" s="18">
        <f>L16+G17</f>
        <v/>
      </c>
      <c r="I17" s="12" t="n">
        <v>0</v>
      </c>
      <c r="J17" s="18" t="n">
        <v>0</v>
      </c>
      <c r="K17" s="12" t="inlineStr"/>
      <c r="L17" s="17">
        <f>H17-J17</f>
        <v/>
      </c>
      <c r="M17" s="12" t="n">
        <v>0</v>
      </c>
      <c r="N17" s="18" t="n">
        <v>0</v>
      </c>
      <c r="O17" s="12" t="n">
        <v>41</v>
      </c>
      <c r="P17" s="18" t="n">
        <v>6010000</v>
      </c>
      <c r="Q17" s="18">
        <f>SUM($G$2:G17)</f>
        <v/>
      </c>
      <c r="R17" s="18">
        <f>SUM($J$2:J17)</f>
        <v/>
      </c>
      <c r="S17" s="18">
        <f>Q17-R17</f>
        <v/>
      </c>
      <c r="T17" s="19">
        <f>IF(R17&gt;0,Q17/R17,"")</f>
        <v/>
      </c>
    </row>
    <row r="18">
      <c r="A18" s="12" t="n">
        <v>17</v>
      </c>
      <c r="B18" s="15" t="n">
        <v>46534</v>
      </c>
      <c r="C18" s="16" t="n">
        <v>8.5</v>
      </c>
      <c r="D18" s="17" t="n">
        <v>6010000</v>
      </c>
      <c r="E18" s="18" t="n">
        <v>300500</v>
      </c>
      <c r="F18" s="12" t="n">
        <v>1</v>
      </c>
      <c r="G18" s="17" t="n">
        <v>32000</v>
      </c>
      <c r="H18" s="18">
        <f>L17+G18</f>
        <v/>
      </c>
      <c r="I18" s="12" t="n">
        <v>0</v>
      </c>
      <c r="J18" s="18" t="n">
        <v>0</v>
      </c>
      <c r="K18" s="12" t="inlineStr"/>
      <c r="L18" s="17">
        <f>H18-J18</f>
        <v/>
      </c>
      <c r="M18" s="12" t="n">
        <v>0</v>
      </c>
      <c r="N18" s="18" t="n">
        <v>0</v>
      </c>
      <c r="O18" s="12" t="n">
        <v>41</v>
      </c>
      <c r="P18" s="18" t="n">
        <v>6010000</v>
      </c>
      <c r="Q18" s="18">
        <f>SUM($G$2:G18)</f>
        <v/>
      </c>
      <c r="R18" s="18">
        <f>SUM($J$2:J18)</f>
        <v/>
      </c>
      <c r="S18" s="18">
        <f>Q18-R18</f>
        <v/>
      </c>
      <c r="T18" s="19">
        <f>IF(R18&gt;0,Q18/R18,"")</f>
        <v/>
      </c>
    </row>
    <row r="19">
      <c r="A19" s="12" t="n">
        <v>18</v>
      </c>
      <c r="B19" s="15" t="n">
        <v>46548</v>
      </c>
      <c r="C19" s="16" t="n">
        <v>9</v>
      </c>
      <c r="D19" s="17" t="n">
        <v>6010000</v>
      </c>
      <c r="E19" s="18" t="n">
        <v>300500</v>
      </c>
      <c r="F19" s="12" t="n">
        <v>40</v>
      </c>
      <c r="G19" s="17" t="n">
        <v>493800</v>
      </c>
      <c r="H19" s="18">
        <f>L18+G19</f>
        <v/>
      </c>
      <c r="I19" s="12" t="n">
        <v>0</v>
      </c>
      <c r="J19" s="18" t="n">
        <v>0</v>
      </c>
      <c r="K19" s="12" t="inlineStr"/>
      <c r="L19" s="17">
        <f>H19-J19</f>
        <v/>
      </c>
      <c r="M19" s="12" t="n">
        <v>0</v>
      </c>
      <c r="N19" s="18" t="n">
        <v>0</v>
      </c>
      <c r="O19" s="12" t="n">
        <v>41</v>
      </c>
      <c r="P19" s="18" t="n">
        <v>6010000</v>
      </c>
      <c r="Q19" s="18">
        <f>SUM($G$2:G19)</f>
        <v/>
      </c>
      <c r="R19" s="18">
        <f>SUM($J$2:J19)</f>
        <v/>
      </c>
      <c r="S19" s="18">
        <f>Q19-R19</f>
        <v/>
      </c>
      <c r="T19" s="19">
        <f>IF(R19&gt;0,Q19/R19,"")</f>
        <v/>
      </c>
    </row>
    <row r="20">
      <c r="A20" s="12" t="n">
        <v>19</v>
      </c>
      <c r="B20" s="15" t="n">
        <v>46562</v>
      </c>
      <c r="C20" s="16" t="n">
        <v>9.5</v>
      </c>
      <c r="D20" s="17" t="n">
        <v>6010000</v>
      </c>
      <c r="E20" s="18" t="n">
        <v>300500</v>
      </c>
      <c r="F20" s="12" t="n">
        <v>1</v>
      </c>
      <c r="G20" s="17" t="n">
        <v>32000</v>
      </c>
      <c r="H20" s="18">
        <f>L19+G20</f>
        <v/>
      </c>
      <c r="I20" s="12" t="n">
        <v>0</v>
      </c>
      <c r="J20" s="18" t="n">
        <v>0</v>
      </c>
      <c r="K20" s="12" t="inlineStr"/>
      <c r="L20" s="17">
        <f>H20-J20</f>
        <v/>
      </c>
      <c r="M20" s="12" t="n">
        <v>0</v>
      </c>
      <c r="N20" s="18" t="n">
        <v>0</v>
      </c>
      <c r="O20" s="12" t="n">
        <v>41</v>
      </c>
      <c r="P20" s="18" t="n">
        <v>6010000</v>
      </c>
      <c r="Q20" s="18">
        <f>SUM($G$2:G20)</f>
        <v/>
      </c>
      <c r="R20" s="18">
        <f>SUM($J$2:J20)</f>
        <v/>
      </c>
      <c r="S20" s="18">
        <f>Q20-R20</f>
        <v/>
      </c>
      <c r="T20" s="19">
        <f>IF(R20&gt;0,Q20/R20,"")</f>
        <v/>
      </c>
    </row>
    <row r="21">
      <c r="A21" s="12" t="n">
        <v>20</v>
      </c>
      <c r="B21" s="15" t="n">
        <v>46576</v>
      </c>
      <c r="C21" s="16" t="n">
        <v>10</v>
      </c>
      <c r="D21" s="17" t="n">
        <v>6010000</v>
      </c>
      <c r="E21" s="18" t="n">
        <v>300500</v>
      </c>
      <c r="F21" s="12" t="n">
        <v>40</v>
      </c>
      <c r="G21" s="17" t="n">
        <v>493800</v>
      </c>
      <c r="H21" s="18">
        <f>L20+G21</f>
        <v/>
      </c>
      <c r="I21" s="12" t="n">
        <v>0</v>
      </c>
      <c r="J21" s="18" t="n">
        <v>0</v>
      </c>
      <c r="K21" s="12" t="inlineStr"/>
      <c r="L21" s="17">
        <f>H21-J21</f>
        <v/>
      </c>
      <c r="M21" s="12" t="n">
        <v>0</v>
      </c>
      <c r="N21" s="18" t="n">
        <v>0</v>
      </c>
      <c r="O21" s="12" t="n">
        <v>41</v>
      </c>
      <c r="P21" s="18" t="n">
        <v>6010000</v>
      </c>
      <c r="Q21" s="18">
        <f>SUM($G$2:G21)</f>
        <v/>
      </c>
      <c r="R21" s="18">
        <f>SUM($J$2:J21)</f>
        <v/>
      </c>
      <c r="S21" s="18">
        <f>Q21-R21</f>
        <v/>
      </c>
      <c r="T21" s="19">
        <f>IF(R21&gt;0,Q21/R21,"")</f>
        <v/>
      </c>
    </row>
  </sheetData>
  <autoFilter ref="A1:T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7" customWidth="1" min="3" max="3"/>
    <col width="16" customWidth="1" min="4" max="4"/>
    <col width="28" customWidth="1" min="5" max="5"/>
    <col width="26" customWidth="1" min="6" max="6"/>
    <col width="14" customWidth="1" min="7" max="7"/>
    <col width="16" customWidth="1" min="8" max="8"/>
    <col width="16" customWidth="1" min="9" max="9"/>
    <col width="70" customWidth="1" min="10" max="10"/>
  </cols>
  <sheetData>
    <row r="1" ht="40" customHeight="1">
      <c r="A1" s="11" t="inlineStr">
        <is>
          <t>N°</t>
        </is>
      </c>
      <c r="B1" s="11" t="inlineStr">
        <is>
          <t>Date</t>
        </is>
      </c>
      <c r="C1" s="11" t="inlineStr">
        <is>
          <t>Mois</t>
        </is>
      </c>
      <c r="D1" s="11" t="inlineStr">
        <is>
          <t>Opération</t>
        </is>
      </c>
      <c r="E1" s="11" t="inlineStr">
        <is>
          <t>Prop firm</t>
        </is>
      </c>
      <c r="F1" s="11" t="inlineStr">
        <is>
          <t>Compte</t>
        </is>
      </c>
      <c r="G1" s="11" t="inlineStr">
        <is>
          <t>Taille du compte ($)</t>
        </is>
      </c>
      <c r="H1" s="11" t="inlineStr">
        <is>
          <t>Montant ($) (+ payout / – achat)</t>
        </is>
      </c>
      <c r="I1" s="11" t="inlineStr">
        <is>
          <t>Trésorerie après opération ($)</t>
        </is>
      </c>
      <c r="J1" s="11" t="inlineStr">
        <is>
          <t>Détail</t>
        </is>
      </c>
    </row>
    <row r="2">
      <c r="A2" s="12" t="n">
        <v>1</v>
      </c>
      <c r="B2" s="15" t="n">
        <v>46296</v>
      </c>
      <c r="C2" s="16" t="n">
        <v>0</v>
      </c>
      <c r="D2" s="14" t="inlineStr">
        <is>
          <t>Financement</t>
        </is>
      </c>
      <c r="E2" s="12" t="inlineStr">
        <is>
          <t>FundedNext</t>
        </is>
      </c>
      <c r="F2" s="12" t="inlineStr">
        <is>
          <t>Départ 10k</t>
        </is>
      </c>
      <c r="G2" s="18" t="n">
        <v>10000</v>
      </c>
      <c r="H2" s="18" t="n">
        <v>0</v>
      </c>
      <c r="I2" s="18" t="n">
        <v>0</v>
      </c>
      <c r="J2" s="12" t="inlineStr">
        <is>
          <t>Compte de départ déjà financé</t>
        </is>
      </c>
    </row>
    <row r="3">
      <c r="A3" s="12" t="n">
        <v>2</v>
      </c>
      <c r="B3" s="15" t="n">
        <v>46324</v>
      </c>
      <c r="C3" s="16" t="n">
        <v>1</v>
      </c>
      <c r="D3" s="13" t="inlineStr">
        <is>
          <t>Payout</t>
        </is>
      </c>
      <c r="E3" s="12" t="inlineStr">
        <is>
          <t>FundedNext</t>
        </is>
      </c>
      <c r="F3" s="12" t="inlineStr">
        <is>
          <t>#1 Départ 10k</t>
        </is>
      </c>
      <c r="G3" s="18" t="n">
        <v>10000</v>
      </c>
      <c r="H3" s="18" t="n">
        <v>800</v>
      </c>
      <c r="I3" s="18" t="n">
        <v>800</v>
      </c>
      <c r="J3" s="12" t="inlineStr">
        <is>
          <t>10 % × 10,000 × split 80%</t>
        </is>
      </c>
    </row>
    <row r="4">
      <c r="A4" s="12" t="n">
        <v>3</v>
      </c>
      <c r="B4" s="15" t="n">
        <v>46324</v>
      </c>
      <c r="C4" s="16" t="n">
        <v>1</v>
      </c>
      <c r="D4" s="20" t="inlineStr">
        <is>
          <t>Achat challenge</t>
        </is>
      </c>
      <c r="E4" s="12" t="inlineStr">
        <is>
          <t>Hex Funded</t>
        </is>
      </c>
      <c r="F4" s="12" t="inlineStr">
        <is>
          <t>#2 Instant-Direct 100k</t>
        </is>
      </c>
      <c r="G4" s="18" t="n">
        <v>100000</v>
      </c>
      <c r="H4" s="18" t="n">
        <v>-596</v>
      </c>
      <c r="I4" s="18" t="n">
        <v>204</v>
      </c>
      <c r="J4" s="12" t="inlineStr">
        <is>
          <t>Groupe A – rang 4 – financement prévu le 29/10/2026 (instant)</t>
        </is>
      </c>
    </row>
    <row r="5">
      <c r="A5" s="12" t="n">
        <v>4</v>
      </c>
      <c r="B5" s="15" t="n">
        <v>46324</v>
      </c>
      <c r="C5" s="16" t="n">
        <v>1</v>
      </c>
      <c r="D5" s="14" t="inlineStr">
        <is>
          <t>Financement</t>
        </is>
      </c>
      <c r="E5" s="12" t="inlineStr">
        <is>
          <t>Hex Funded</t>
        </is>
      </c>
      <c r="F5" s="12" t="inlineStr">
        <is>
          <t>#2 Instant-Direct 100k</t>
        </is>
      </c>
      <c r="G5" s="18" t="n">
        <v>100000</v>
      </c>
      <c r="H5" s="18" t="n">
        <v>0</v>
      </c>
      <c r="I5" s="18" t="n">
        <v>204</v>
      </c>
      <c r="J5" s="12" t="inlineStr">
        <is>
          <t>Financé dès l'achat – 1er payout le 26/11/2026</t>
        </is>
      </c>
    </row>
    <row r="6">
      <c r="A6" s="12" t="n">
        <v>5</v>
      </c>
      <c r="B6" s="15" t="n">
        <v>46352</v>
      </c>
      <c r="C6" s="16" t="n">
        <v>2</v>
      </c>
      <c r="D6" s="13" t="inlineStr">
        <is>
          <t>Payout</t>
        </is>
      </c>
      <c r="E6" s="12" t="inlineStr">
        <is>
          <t>FundedNext</t>
        </is>
      </c>
      <c r="F6" s="12" t="inlineStr">
        <is>
          <t>#1 Départ 10k</t>
        </is>
      </c>
      <c r="G6" s="18" t="n">
        <v>10000</v>
      </c>
      <c r="H6" s="18" t="n">
        <v>800</v>
      </c>
      <c r="I6" s="18" t="n">
        <v>1004</v>
      </c>
      <c r="J6" s="12" t="inlineStr">
        <is>
          <t>10 % × 10,000 × split 80%</t>
        </is>
      </c>
    </row>
    <row r="7">
      <c r="A7" s="12" t="n">
        <v>6</v>
      </c>
      <c r="B7" s="15" t="n">
        <v>46352</v>
      </c>
      <c r="C7" s="16" t="n">
        <v>2</v>
      </c>
      <c r="D7" s="13" t="inlineStr">
        <is>
          <t>Payout</t>
        </is>
      </c>
      <c r="E7" s="12" t="inlineStr">
        <is>
          <t>Hex Funded</t>
        </is>
      </c>
      <c r="F7" s="12" t="inlineStr">
        <is>
          <t>#2 Instant-Direct 100k</t>
        </is>
      </c>
      <c r="G7" s="18" t="n">
        <v>100000</v>
      </c>
      <c r="H7" s="18" t="n">
        <v>9000</v>
      </c>
      <c r="I7" s="18" t="n">
        <v>10004</v>
      </c>
      <c r="J7" s="12" t="inlineStr">
        <is>
          <t>10 % × 100,000 × split 90%</t>
        </is>
      </c>
    </row>
    <row r="8">
      <c r="A8" s="12" t="n">
        <v>7</v>
      </c>
      <c r="B8" s="15" t="n">
        <v>46352</v>
      </c>
      <c r="C8" s="16" t="n">
        <v>2</v>
      </c>
      <c r="D8" s="20" t="inlineStr">
        <is>
          <t>Achat challenge</t>
        </is>
      </c>
      <c r="E8" s="12" t="inlineStr">
        <is>
          <t>Kickstart Trading</t>
        </is>
      </c>
      <c r="F8" s="12" t="inlineStr">
        <is>
          <t>#3 Instant-Direct 100k</t>
        </is>
      </c>
      <c r="G8" s="18" t="n">
        <v>100000</v>
      </c>
      <c r="H8" s="18" t="n">
        <v>-5000</v>
      </c>
      <c r="I8" s="18" t="n">
        <v>5004</v>
      </c>
      <c r="J8" s="12" t="inlineStr">
        <is>
          <t>Groupe A – rang 1 – financement prévu le 26/11/2026 (instant)</t>
        </is>
      </c>
    </row>
    <row r="9">
      <c r="A9" s="12" t="n">
        <v>8</v>
      </c>
      <c r="B9" s="15" t="n">
        <v>46352</v>
      </c>
      <c r="C9" s="16" t="n">
        <v>2</v>
      </c>
      <c r="D9" s="20" t="inlineStr">
        <is>
          <t>Achat challenge</t>
        </is>
      </c>
      <c r="E9" s="12" t="inlineStr">
        <is>
          <t>Kickstart Trading</t>
        </is>
      </c>
      <c r="F9" s="12" t="inlineStr">
        <is>
          <t>#4 Instant-Direct 100k</t>
        </is>
      </c>
      <c r="G9" s="18" t="n">
        <v>100000</v>
      </c>
      <c r="H9" s="18" t="n">
        <v>-5000</v>
      </c>
      <c r="I9" s="18" t="n">
        <v>4</v>
      </c>
      <c r="J9" s="12" t="inlineStr">
        <is>
          <t>Groupe A – rang 1 – financement prévu le 26/11/2026 (instant)</t>
        </is>
      </c>
    </row>
    <row r="10">
      <c r="A10" s="12" t="n">
        <v>9</v>
      </c>
      <c r="B10" s="15" t="n">
        <v>46352</v>
      </c>
      <c r="C10" s="16" t="n">
        <v>2</v>
      </c>
      <c r="D10" s="14" t="inlineStr">
        <is>
          <t>Financement</t>
        </is>
      </c>
      <c r="E10" s="12" t="inlineStr">
        <is>
          <t>Kickstart Trading</t>
        </is>
      </c>
      <c r="F10" s="12" t="inlineStr">
        <is>
          <t>#3 Instant-Direct 100k</t>
        </is>
      </c>
      <c r="G10" s="18" t="n">
        <v>100000</v>
      </c>
      <c r="H10" s="18" t="n">
        <v>0</v>
      </c>
      <c r="I10" s="18" t="n">
        <v>4</v>
      </c>
      <c r="J10" s="12" t="inlineStr">
        <is>
          <t>Financé dès l'achat – 1er payout le 24/12/2026</t>
        </is>
      </c>
    </row>
    <row r="11">
      <c r="A11" s="12" t="n">
        <v>10</v>
      </c>
      <c r="B11" s="15" t="n">
        <v>46352</v>
      </c>
      <c r="C11" s="16" t="n">
        <v>2</v>
      </c>
      <c r="D11" s="14" t="inlineStr">
        <is>
          <t>Financement</t>
        </is>
      </c>
      <c r="E11" s="12" t="inlineStr">
        <is>
          <t>Kickstart Trading</t>
        </is>
      </c>
      <c r="F11" s="12" t="inlineStr">
        <is>
          <t>#4 Instant-Direct 100k</t>
        </is>
      </c>
      <c r="G11" s="18" t="n">
        <v>100000</v>
      </c>
      <c r="H11" s="18" t="n">
        <v>0</v>
      </c>
      <c r="I11" s="18" t="n">
        <v>4</v>
      </c>
      <c r="J11" s="12" t="inlineStr">
        <is>
          <t>Financé dès l'achat – 1er payout le 24/12/2026</t>
        </is>
      </c>
    </row>
    <row r="12">
      <c r="A12" s="12" t="n">
        <v>11</v>
      </c>
      <c r="B12" s="15" t="n">
        <v>46380</v>
      </c>
      <c r="C12" s="16" t="n">
        <v>3</v>
      </c>
      <c r="D12" s="13" t="inlineStr">
        <is>
          <t>Payout</t>
        </is>
      </c>
      <c r="E12" s="12" t="inlineStr">
        <is>
          <t>FundedNext</t>
        </is>
      </c>
      <c r="F12" s="12" t="inlineStr">
        <is>
          <t>#1 Départ 10k</t>
        </is>
      </c>
      <c r="G12" s="18" t="n">
        <v>10000</v>
      </c>
      <c r="H12" s="18" t="n">
        <v>800</v>
      </c>
      <c r="I12" s="18" t="n">
        <v>804</v>
      </c>
      <c r="J12" s="12" t="inlineStr">
        <is>
          <t>10 % × 10,000 × split 80%</t>
        </is>
      </c>
    </row>
    <row r="13">
      <c r="A13" s="12" t="n">
        <v>12</v>
      </c>
      <c r="B13" s="15" t="n">
        <v>46380</v>
      </c>
      <c r="C13" s="16" t="n">
        <v>3</v>
      </c>
      <c r="D13" s="13" t="inlineStr">
        <is>
          <t>Payout</t>
        </is>
      </c>
      <c r="E13" s="12" t="inlineStr">
        <is>
          <t>Hex Funded</t>
        </is>
      </c>
      <c r="F13" s="12" t="inlineStr">
        <is>
          <t>#2 Instant-Direct 100k</t>
        </is>
      </c>
      <c r="G13" s="18" t="n">
        <v>100000</v>
      </c>
      <c r="H13" s="18" t="n">
        <v>9000</v>
      </c>
      <c r="I13" s="18" t="n">
        <v>9804</v>
      </c>
      <c r="J13" s="12" t="inlineStr">
        <is>
          <t>10 % × 100,000 × split 90%</t>
        </is>
      </c>
    </row>
    <row r="14">
      <c r="A14" s="12" t="n">
        <v>13</v>
      </c>
      <c r="B14" s="15" t="n">
        <v>46380</v>
      </c>
      <c r="C14" s="16" t="n">
        <v>3</v>
      </c>
      <c r="D14" s="13" t="inlineStr">
        <is>
          <t>Payout</t>
        </is>
      </c>
      <c r="E14" s="12" t="inlineStr">
        <is>
          <t>Kickstart Trading</t>
        </is>
      </c>
      <c r="F14" s="12" t="inlineStr">
        <is>
          <t>#3 Instant-Direct 100k</t>
        </is>
      </c>
      <c r="G14" s="18" t="n">
        <v>100000</v>
      </c>
      <c r="H14" s="18" t="n">
        <v>8000</v>
      </c>
      <c r="I14" s="18" t="n">
        <v>17804</v>
      </c>
      <c r="J14" s="12" t="inlineStr">
        <is>
          <t>10 % × 100,000 × split 80%</t>
        </is>
      </c>
    </row>
    <row r="15">
      <c r="A15" s="12" t="n">
        <v>14</v>
      </c>
      <c r="B15" s="15" t="n">
        <v>46380</v>
      </c>
      <c r="C15" s="16" t="n">
        <v>3</v>
      </c>
      <c r="D15" s="13" t="inlineStr">
        <is>
          <t>Payout</t>
        </is>
      </c>
      <c r="E15" s="12" t="inlineStr">
        <is>
          <t>Kickstart Trading</t>
        </is>
      </c>
      <c r="F15" s="12" t="inlineStr">
        <is>
          <t>#4 Instant-Direct 100k</t>
        </is>
      </c>
      <c r="G15" s="18" t="n">
        <v>100000</v>
      </c>
      <c r="H15" s="18" t="n">
        <v>8000</v>
      </c>
      <c r="I15" s="18" t="n">
        <v>25804</v>
      </c>
      <c r="J15" s="12" t="inlineStr">
        <is>
          <t>10 % × 100,000 × split 80%</t>
        </is>
      </c>
    </row>
    <row r="16">
      <c r="A16" s="12" t="n">
        <v>15</v>
      </c>
      <c r="B16" s="15" t="n">
        <v>46380</v>
      </c>
      <c r="C16" s="16" t="n">
        <v>3</v>
      </c>
      <c r="D16" s="20" t="inlineStr">
        <is>
          <t>Achat challenge</t>
        </is>
      </c>
      <c r="E16" s="12" t="inlineStr">
        <is>
          <t>Kickstart Trading</t>
        </is>
      </c>
      <c r="F16" s="12" t="inlineStr">
        <is>
          <t>#5 Instant-Direct 100k</t>
        </is>
      </c>
      <c r="G16" s="18" t="n">
        <v>100000</v>
      </c>
      <c r="H16" s="18" t="n">
        <v>-5000</v>
      </c>
      <c r="I16" s="18" t="n">
        <v>20804</v>
      </c>
      <c r="J16" s="12" t="inlineStr">
        <is>
          <t>Groupe A – rang 1 – financement prévu le 24/12/2026 (instant)</t>
        </is>
      </c>
    </row>
    <row r="17">
      <c r="A17" s="12" t="n">
        <v>16</v>
      </c>
      <c r="B17" s="15" t="n">
        <v>46380</v>
      </c>
      <c r="C17" s="16" t="n">
        <v>3</v>
      </c>
      <c r="D17" s="20" t="inlineStr">
        <is>
          <t>Achat challenge</t>
        </is>
      </c>
      <c r="E17" s="12" t="inlineStr">
        <is>
          <t>Kickstart Trading</t>
        </is>
      </c>
      <c r="F17" s="12" t="inlineStr">
        <is>
          <t>#6 Instant-Direct 100k</t>
        </is>
      </c>
      <c r="G17" s="18" t="n">
        <v>100000</v>
      </c>
      <c r="H17" s="18" t="n">
        <v>-5000</v>
      </c>
      <c r="I17" s="18" t="n">
        <v>15804</v>
      </c>
      <c r="J17" s="12" t="inlineStr">
        <is>
          <t>Groupe A – rang 1 – financement prévu le 24/12/2026 (instant)</t>
        </is>
      </c>
    </row>
    <row r="18">
      <c r="A18" s="12" t="n">
        <v>17</v>
      </c>
      <c r="B18" s="15" t="n">
        <v>46380</v>
      </c>
      <c r="C18" s="16" t="n">
        <v>3</v>
      </c>
      <c r="D18" s="20" t="inlineStr">
        <is>
          <t>Achat challenge</t>
        </is>
      </c>
      <c r="E18" s="12" t="inlineStr">
        <is>
          <t>Kickstart Trading</t>
        </is>
      </c>
      <c r="F18" s="12" t="inlineStr">
        <is>
          <t>#7 Instant-Direct 100k</t>
        </is>
      </c>
      <c r="G18" s="18" t="n">
        <v>100000</v>
      </c>
      <c r="H18" s="18" t="n">
        <v>-5000</v>
      </c>
      <c r="I18" s="18" t="n">
        <v>10804</v>
      </c>
      <c r="J18" s="12" t="inlineStr">
        <is>
          <t>Groupe A – rang 1 – financement prévu le 24/12/2026 (instant)</t>
        </is>
      </c>
    </row>
    <row r="19">
      <c r="A19" s="12" t="n">
        <v>18</v>
      </c>
      <c r="B19" s="15" t="n">
        <v>46380</v>
      </c>
      <c r="C19" s="16" t="n">
        <v>3</v>
      </c>
      <c r="D19" s="20" t="inlineStr">
        <is>
          <t>Achat challenge</t>
        </is>
      </c>
      <c r="E19" s="12" t="inlineStr">
        <is>
          <t>Kickstart Trading</t>
        </is>
      </c>
      <c r="F19" s="12" t="inlineStr">
        <is>
          <t>#8 Instant-Direct 100k</t>
        </is>
      </c>
      <c r="G19" s="18" t="n">
        <v>100000</v>
      </c>
      <c r="H19" s="18" t="n">
        <v>-5000</v>
      </c>
      <c r="I19" s="18" t="n">
        <v>5804</v>
      </c>
      <c r="J19" s="12" t="inlineStr">
        <is>
          <t>Groupe A – rang 1 – financement prévu le 24/12/2026 (instant)</t>
        </is>
      </c>
    </row>
    <row r="20">
      <c r="A20" s="12" t="n">
        <v>19</v>
      </c>
      <c r="B20" s="15" t="n">
        <v>46380</v>
      </c>
      <c r="C20" s="16" t="n">
        <v>3</v>
      </c>
      <c r="D20" s="20" t="inlineStr">
        <is>
          <t>Achat challenge</t>
        </is>
      </c>
      <c r="E20" s="12" t="inlineStr">
        <is>
          <t>Kickstart Trading</t>
        </is>
      </c>
      <c r="F20" s="12" t="inlineStr">
        <is>
          <t>#9 Instant-Direct 100k</t>
        </is>
      </c>
      <c r="G20" s="18" t="n">
        <v>100000</v>
      </c>
      <c r="H20" s="18" t="n">
        <v>-5000</v>
      </c>
      <c r="I20" s="18" t="n">
        <v>804</v>
      </c>
      <c r="J20" s="12" t="inlineStr">
        <is>
          <t>Groupe A – rang 1 – financement prévu le 24/12/2026 (instant)</t>
        </is>
      </c>
    </row>
    <row r="21">
      <c r="A21" s="12" t="n">
        <v>20</v>
      </c>
      <c r="B21" s="15" t="n">
        <v>46380</v>
      </c>
      <c r="C21" s="16" t="n">
        <v>3</v>
      </c>
      <c r="D21" s="20" t="inlineStr">
        <is>
          <t>Achat challenge</t>
        </is>
      </c>
      <c r="E21" s="12" t="inlineStr">
        <is>
          <t>FundingRock</t>
        </is>
      </c>
      <c r="F21" s="12" t="inlineStr">
        <is>
          <t>#10 Instant-Direct 100k</t>
        </is>
      </c>
      <c r="G21" s="18" t="n">
        <v>100000</v>
      </c>
      <c r="H21" s="18" t="n">
        <v>-600</v>
      </c>
      <c r="I21" s="18" t="n">
        <v>204</v>
      </c>
      <c r="J21" s="12" t="inlineStr">
        <is>
          <t>Groupe A – rang 5 – financement prévu le 24/12/2026 (instant)</t>
        </is>
      </c>
    </row>
    <row r="22">
      <c r="A22" s="12" t="n">
        <v>21</v>
      </c>
      <c r="B22" s="15" t="n">
        <v>46380</v>
      </c>
      <c r="C22" s="16" t="n">
        <v>3</v>
      </c>
      <c r="D22" s="14" t="inlineStr">
        <is>
          <t>Financement</t>
        </is>
      </c>
      <c r="E22" s="12" t="inlineStr">
        <is>
          <t>Kickstart Trading</t>
        </is>
      </c>
      <c r="F22" s="12" t="inlineStr">
        <is>
          <t>#5 Instant-Direct 100k</t>
        </is>
      </c>
      <c r="G22" s="18" t="n">
        <v>100000</v>
      </c>
      <c r="H22" s="18" t="n">
        <v>0</v>
      </c>
      <c r="I22" s="18" t="n">
        <v>204</v>
      </c>
      <c r="J22" s="12" t="inlineStr">
        <is>
          <t>Financé dès l'achat – 1er payout le 21/01/2027</t>
        </is>
      </c>
    </row>
    <row r="23">
      <c r="A23" s="12" t="n">
        <v>22</v>
      </c>
      <c r="B23" s="15" t="n">
        <v>46380</v>
      </c>
      <c r="C23" s="16" t="n">
        <v>3</v>
      </c>
      <c r="D23" s="14" t="inlineStr">
        <is>
          <t>Financement</t>
        </is>
      </c>
      <c r="E23" s="12" t="inlineStr">
        <is>
          <t>Kickstart Trading</t>
        </is>
      </c>
      <c r="F23" s="12" t="inlineStr">
        <is>
          <t>#6 Instant-Direct 100k</t>
        </is>
      </c>
      <c r="G23" s="18" t="n">
        <v>100000</v>
      </c>
      <c r="H23" s="18" t="n">
        <v>0</v>
      </c>
      <c r="I23" s="18" t="n">
        <v>204</v>
      </c>
      <c r="J23" s="12" t="inlineStr">
        <is>
          <t>Financé dès l'achat – 1er payout le 21/01/2027</t>
        </is>
      </c>
    </row>
    <row r="24">
      <c r="A24" s="12" t="n">
        <v>23</v>
      </c>
      <c r="B24" s="15" t="n">
        <v>46380</v>
      </c>
      <c r="C24" s="16" t="n">
        <v>3</v>
      </c>
      <c r="D24" s="14" t="inlineStr">
        <is>
          <t>Financement</t>
        </is>
      </c>
      <c r="E24" s="12" t="inlineStr">
        <is>
          <t>Kickstart Trading</t>
        </is>
      </c>
      <c r="F24" s="12" t="inlineStr">
        <is>
          <t>#7 Instant-Direct 100k</t>
        </is>
      </c>
      <c r="G24" s="18" t="n">
        <v>100000</v>
      </c>
      <c r="H24" s="18" t="n">
        <v>0</v>
      </c>
      <c r="I24" s="18" t="n">
        <v>204</v>
      </c>
      <c r="J24" s="12" t="inlineStr">
        <is>
          <t>Financé dès l'achat – 1er payout le 21/01/2027</t>
        </is>
      </c>
    </row>
    <row r="25">
      <c r="A25" s="12" t="n">
        <v>24</v>
      </c>
      <c r="B25" s="15" t="n">
        <v>46380</v>
      </c>
      <c r="C25" s="16" t="n">
        <v>3</v>
      </c>
      <c r="D25" s="14" t="inlineStr">
        <is>
          <t>Financement</t>
        </is>
      </c>
      <c r="E25" s="12" t="inlineStr">
        <is>
          <t>Kickstart Trading</t>
        </is>
      </c>
      <c r="F25" s="12" t="inlineStr">
        <is>
          <t>#8 Instant-Direct 100k</t>
        </is>
      </c>
      <c r="G25" s="18" t="n">
        <v>100000</v>
      </c>
      <c r="H25" s="18" t="n">
        <v>0</v>
      </c>
      <c r="I25" s="18" t="n">
        <v>204</v>
      </c>
      <c r="J25" s="12" t="inlineStr">
        <is>
          <t>Financé dès l'achat – 1er payout le 21/01/2027</t>
        </is>
      </c>
    </row>
    <row r="26">
      <c r="A26" s="12" t="n">
        <v>25</v>
      </c>
      <c r="B26" s="15" t="n">
        <v>46380</v>
      </c>
      <c r="C26" s="16" t="n">
        <v>3</v>
      </c>
      <c r="D26" s="14" t="inlineStr">
        <is>
          <t>Financement</t>
        </is>
      </c>
      <c r="E26" s="12" t="inlineStr">
        <is>
          <t>Kickstart Trading</t>
        </is>
      </c>
      <c r="F26" s="12" t="inlineStr">
        <is>
          <t>#9 Instant-Direct 100k</t>
        </is>
      </c>
      <c r="G26" s="18" t="n">
        <v>100000</v>
      </c>
      <c r="H26" s="18" t="n">
        <v>0</v>
      </c>
      <c r="I26" s="18" t="n">
        <v>204</v>
      </c>
      <c r="J26" s="12" t="inlineStr">
        <is>
          <t>Financé dès l'achat – 1er payout le 21/01/2027</t>
        </is>
      </c>
    </row>
    <row r="27">
      <c r="A27" s="12" t="n">
        <v>26</v>
      </c>
      <c r="B27" s="15" t="n">
        <v>46380</v>
      </c>
      <c r="C27" s="16" t="n">
        <v>3</v>
      </c>
      <c r="D27" s="14" t="inlineStr">
        <is>
          <t>Financement</t>
        </is>
      </c>
      <c r="E27" s="12" t="inlineStr">
        <is>
          <t>FundingRock</t>
        </is>
      </c>
      <c r="F27" s="12" t="inlineStr">
        <is>
          <t>#10 Instant-Direct 100k</t>
        </is>
      </c>
      <c r="G27" s="18" t="n">
        <v>100000</v>
      </c>
      <c r="H27" s="18" t="n">
        <v>0</v>
      </c>
      <c r="I27" s="18" t="n">
        <v>204</v>
      </c>
      <c r="J27" s="12" t="inlineStr">
        <is>
          <t>Financé dès l'achat – 1er payout le 21/01/2027</t>
        </is>
      </c>
    </row>
    <row r="28">
      <c r="A28" s="12" t="n">
        <v>27</v>
      </c>
      <c r="B28" s="15" t="n">
        <v>46408</v>
      </c>
      <c r="C28" s="16" t="n">
        <v>4</v>
      </c>
      <c r="D28" s="13" t="inlineStr">
        <is>
          <t>Payout</t>
        </is>
      </c>
      <c r="E28" s="12" t="inlineStr">
        <is>
          <t>FundedNext</t>
        </is>
      </c>
      <c r="F28" s="12" t="inlineStr">
        <is>
          <t>#1 Départ 10k</t>
        </is>
      </c>
      <c r="G28" s="18" t="n">
        <v>10000</v>
      </c>
      <c r="H28" s="18" t="n">
        <v>800</v>
      </c>
      <c r="I28" s="18" t="n">
        <v>1004</v>
      </c>
      <c r="J28" s="12" t="inlineStr">
        <is>
          <t>10 % × 10,000 × split 80%</t>
        </is>
      </c>
    </row>
    <row r="29">
      <c r="A29" s="12" t="n">
        <v>28</v>
      </c>
      <c r="B29" s="15" t="n">
        <v>46408</v>
      </c>
      <c r="C29" s="16" t="n">
        <v>4</v>
      </c>
      <c r="D29" s="13" t="inlineStr">
        <is>
          <t>Payout</t>
        </is>
      </c>
      <c r="E29" s="12" t="inlineStr">
        <is>
          <t>Hex Funded</t>
        </is>
      </c>
      <c r="F29" s="12" t="inlineStr">
        <is>
          <t>#2 Instant-Direct 100k</t>
        </is>
      </c>
      <c r="G29" s="18" t="n">
        <v>100000</v>
      </c>
      <c r="H29" s="18" t="n">
        <v>9000</v>
      </c>
      <c r="I29" s="18" t="n">
        <v>10004</v>
      </c>
      <c r="J29" s="12" t="inlineStr">
        <is>
          <t>10 % × 100,000 × split 90%</t>
        </is>
      </c>
    </row>
    <row r="30">
      <c r="A30" s="12" t="n">
        <v>29</v>
      </c>
      <c r="B30" s="15" t="n">
        <v>46408</v>
      </c>
      <c r="C30" s="16" t="n">
        <v>4</v>
      </c>
      <c r="D30" s="13" t="inlineStr">
        <is>
          <t>Payout</t>
        </is>
      </c>
      <c r="E30" s="12" t="inlineStr">
        <is>
          <t>Kickstart Trading</t>
        </is>
      </c>
      <c r="F30" s="12" t="inlineStr">
        <is>
          <t>#3 Instant-Direct 100k</t>
        </is>
      </c>
      <c r="G30" s="18" t="n">
        <v>100000</v>
      </c>
      <c r="H30" s="18" t="n">
        <v>8000</v>
      </c>
      <c r="I30" s="18" t="n">
        <v>18004</v>
      </c>
      <c r="J30" s="12" t="inlineStr">
        <is>
          <t>10 % × 100,000 × split 80%</t>
        </is>
      </c>
    </row>
    <row r="31">
      <c r="A31" s="12" t="n">
        <v>30</v>
      </c>
      <c r="B31" s="15" t="n">
        <v>46408</v>
      </c>
      <c r="C31" s="16" t="n">
        <v>4</v>
      </c>
      <c r="D31" s="13" t="inlineStr">
        <is>
          <t>Payout</t>
        </is>
      </c>
      <c r="E31" s="12" t="inlineStr">
        <is>
          <t>Kickstart Trading</t>
        </is>
      </c>
      <c r="F31" s="12" t="inlineStr">
        <is>
          <t>#4 Instant-Direct 100k</t>
        </is>
      </c>
      <c r="G31" s="18" t="n">
        <v>100000</v>
      </c>
      <c r="H31" s="18" t="n">
        <v>8000</v>
      </c>
      <c r="I31" s="18" t="n">
        <v>26004</v>
      </c>
      <c r="J31" s="12" t="inlineStr">
        <is>
          <t>10 % × 100,000 × split 80%</t>
        </is>
      </c>
    </row>
    <row r="32">
      <c r="A32" s="12" t="n">
        <v>31</v>
      </c>
      <c r="B32" s="15" t="n">
        <v>46408</v>
      </c>
      <c r="C32" s="16" t="n">
        <v>4</v>
      </c>
      <c r="D32" s="13" t="inlineStr">
        <is>
          <t>Payout</t>
        </is>
      </c>
      <c r="E32" s="12" t="inlineStr">
        <is>
          <t>Kickstart Trading</t>
        </is>
      </c>
      <c r="F32" s="12" t="inlineStr">
        <is>
          <t>#5 Instant-Direct 100k</t>
        </is>
      </c>
      <c r="G32" s="18" t="n">
        <v>100000</v>
      </c>
      <c r="H32" s="18" t="n">
        <v>8000</v>
      </c>
      <c r="I32" s="18" t="n">
        <v>34004</v>
      </c>
      <c r="J32" s="12" t="inlineStr">
        <is>
          <t>10 % × 100,000 × split 80%</t>
        </is>
      </c>
    </row>
    <row r="33">
      <c r="A33" s="12" t="n">
        <v>32</v>
      </c>
      <c r="B33" s="15" t="n">
        <v>46408</v>
      </c>
      <c r="C33" s="16" t="n">
        <v>4</v>
      </c>
      <c r="D33" s="13" t="inlineStr">
        <is>
          <t>Payout</t>
        </is>
      </c>
      <c r="E33" s="12" t="inlineStr">
        <is>
          <t>Kickstart Trading</t>
        </is>
      </c>
      <c r="F33" s="12" t="inlineStr">
        <is>
          <t>#6 Instant-Direct 100k</t>
        </is>
      </c>
      <c r="G33" s="18" t="n">
        <v>100000</v>
      </c>
      <c r="H33" s="18" t="n">
        <v>8000</v>
      </c>
      <c r="I33" s="18" t="n">
        <v>42004</v>
      </c>
      <c r="J33" s="12" t="inlineStr">
        <is>
          <t>10 % × 100,000 × split 80%</t>
        </is>
      </c>
    </row>
    <row r="34">
      <c r="A34" s="12" t="n">
        <v>33</v>
      </c>
      <c r="B34" s="15" t="n">
        <v>46408</v>
      </c>
      <c r="C34" s="16" t="n">
        <v>4</v>
      </c>
      <c r="D34" s="13" t="inlineStr">
        <is>
          <t>Payout</t>
        </is>
      </c>
      <c r="E34" s="12" t="inlineStr">
        <is>
          <t>Kickstart Trading</t>
        </is>
      </c>
      <c r="F34" s="12" t="inlineStr">
        <is>
          <t>#7 Instant-Direct 100k</t>
        </is>
      </c>
      <c r="G34" s="18" t="n">
        <v>100000</v>
      </c>
      <c r="H34" s="18" t="n">
        <v>8000</v>
      </c>
      <c r="I34" s="18" t="n">
        <v>50004</v>
      </c>
      <c r="J34" s="12" t="inlineStr">
        <is>
          <t>10 % × 100,000 × split 80%</t>
        </is>
      </c>
    </row>
    <row r="35">
      <c r="A35" s="12" t="n">
        <v>34</v>
      </c>
      <c r="B35" s="15" t="n">
        <v>46408</v>
      </c>
      <c r="C35" s="16" t="n">
        <v>4</v>
      </c>
      <c r="D35" s="13" t="inlineStr">
        <is>
          <t>Payout</t>
        </is>
      </c>
      <c r="E35" s="12" t="inlineStr">
        <is>
          <t>Kickstart Trading</t>
        </is>
      </c>
      <c r="F35" s="12" t="inlineStr">
        <is>
          <t>#8 Instant-Direct 100k</t>
        </is>
      </c>
      <c r="G35" s="18" t="n">
        <v>100000</v>
      </c>
      <c r="H35" s="18" t="n">
        <v>8000</v>
      </c>
      <c r="I35" s="18" t="n">
        <v>58004</v>
      </c>
      <c r="J35" s="12" t="inlineStr">
        <is>
          <t>10 % × 100,000 × split 80%</t>
        </is>
      </c>
    </row>
    <row r="36">
      <c r="A36" s="12" t="n">
        <v>35</v>
      </c>
      <c r="B36" s="15" t="n">
        <v>46408</v>
      </c>
      <c r="C36" s="16" t="n">
        <v>4</v>
      </c>
      <c r="D36" s="13" t="inlineStr">
        <is>
          <t>Payout</t>
        </is>
      </c>
      <c r="E36" s="12" t="inlineStr">
        <is>
          <t>Kickstart Trading</t>
        </is>
      </c>
      <c r="F36" s="12" t="inlineStr">
        <is>
          <t>#9 Instant-Direct 100k</t>
        </is>
      </c>
      <c r="G36" s="18" t="n">
        <v>100000</v>
      </c>
      <c r="H36" s="18" t="n">
        <v>8000</v>
      </c>
      <c r="I36" s="18" t="n">
        <v>66004</v>
      </c>
      <c r="J36" s="12" t="inlineStr">
        <is>
          <t>10 % × 100,000 × split 80%</t>
        </is>
      </c>
    </row>
    <row r="37">
      <c r="A37" s="12" t="n">
        <v>36</v>
      </c>
      <c r="B37" s="15" t="n">
        <v>46408</v>
      </c>
      <c r="C37" s="16" t="n">
        <v>4</v>
      </c>
      <c r="D37" s="13" t="inlineStr">
        <is>
          <t>Payout</t>
        </is>
      </c>
      <c r="E37" s="12" t="inlineStr">
        <is>
          <t>FundingRock</t>
        </is>
      </c>
      <c r="F37" s="12" t="inlineStr">
        <is>
          <t>#10 Instant-Direct 100k</t>
        </is>
      </c>
      <c r="G37" s="18" t="n">
        <v>100000</v>
      </c>
      <c r="H37" s="18" t="n">
        <v>8000</v>
      </c>
      <c r="I37" s="18" t="n">
        <v>74004</v>
      </c>
      <c r="J37" s="12" t="inlineStr">
        <is>
          <t>10 % × 100,000 × split 80%</t>
        </is>
      </c>
    </row>
    <row r="38">
      <c r="A38" s="12" t="n">
        <v>37</v>
      </c>
      <c r="B38" s="15" t="n">
        <v>46408</v>
      </c>
      <c r="C38" s="16" t="n">
        <v>4</v>
      </c>
      <c r="D38" s="20" t="inlineStr">
        <is>
          <t>Achat challenge</t>
        </is>
      </c>
      <c r="E38" s="12" t="inlineStr">
        <is>
          <t>Kickstart Trading</t>
        </is>
      </c>
      <c r="F38" s="12" t="inlineStr">
        <is>
          <t>#11 Instant-Direct 100k</t>
        </is>
      </c>
      <c r="G38" s="18" t="n">
        <v>100000</v>
      </c>
      <c r="H38" s="18" t="n">
        <v>-5000</v>
      </c>
      <c r="I38" s="18" t="n">
        <v>69004</v>
      </c>
      <c r="J38" s="12" t="inlineStr">
        <is>
          <t>Groupe A – rang 1 – financement prévu le 21/01/2027 (instant)</t>
        </is>
      </c>
    </row>
    <row r="39">
      <c r="A39" s="12" t="n">
        <v>38</v>
      </c>
      <c r="B39" s="15" t="n">
        <v>46408</v>
      </c>
      <c r="C39" s="16" t="n">
        <v>4</v>
      </c>
      <c r="D39" s="20" t="inlineStr">
        <is>
          <t>Achat challenge</t>
        </is>
      </c>
      <c r="E39" s="12" t="inlineStr">
        <is>
          <t>Kickstart Trading</t>
        </is>
      </c>
      <c r="F39" s="12" t="inlineStr">
        <is>
          <t>#12 Instant-Direct 100k</t>
        </is>
      </c>
      <c r="G39" s="18" t="n">
        <v>100000</v>
      </c>
      <c r="H39" s="18" t="n">
        <v>-5000</v>
      </c>
      <c r="I39" s="18" t="n">
        <v>64004</v>
      </c>
      <c r="J39" s="12" t="inlineStr">
        <is>
          <t>Groupe A – rang 1 – financement prévu le 21/01/2027 (instant)</t>
        </is>
      </c>
    </row>
    <row r="40">
      <c r="A40" s="12" t="n">
        <v>39</v>
      </c>
      <c r="B40" s="15" t="n">
        <v>46408</v>
      </c>
      <c r="C40" s="16" t="n">
        <v>4</v>
      </c>
      <c r="D40" s="20" t="inlineStr">
        <is>
          <t>Achat challenge</t>
        </is>
      </c>
      <c r="E40" s="12" t="inlineStr">
        <is>
          <t>Kickstart Trading</t>
        </is>
      </c>
      <c r="F40" s="12" t="inlineStr">
        <is>
          <t>#13 Instant-Direct 100k</t>
        </is>
      </c>
      <c r="G40" s="18" t="n">
        <v>100000</v>
      </c>
      <c r="H40" s="18" t="n">
        <v>-5000</v>
      </c>
      <c r="I40" s="18" t="n">
        <v>59004</v>
      </c>
      <c r="J40" s="12" t="inlineStr">
        <is>
          <t>Groupe A – rang 1 – financement prévu le 21/01/2027 (instant)</t>
        </is>
      </c>
    </row>
    <row r="41">
      <c r="A41" s="12" t="n">
        <v>40</v>
      </c>
      <c r="B41" s="15" t="n">
        <v>46408</v>
      </c>
      <c r="C41" s="16" t="n">
        <v>4</v>
      </c>
      <c r="D41" s="20" t="inlineStr">
        <is>
          <t>Achat challenge</t>
        </is>
      </c>
      <c r="E41" s="12" t="inlineStr">
        <is>
          <t>Funding Traders</t>
        </is>
      </c>
      <c r="F41" s="12" t="inlineStr">
        <is>
          <t>#14 Instant-Direct 400k</t>
        </is>
      </c>
      <c r="G41" s="18" t="n">
        <v>400000</v>
      </c>
      <c r="H41" s="18" t="n">
        <v>-2349</v>
      </c>
      <c r="I41" s="18" t="n">
        <v>56655</v>
      </c>
      <c r="J41" s="12" t="inlineStr">
        <is>
          <t>Groupe A – rang 2 – financement prévu le 21/01/2027 (instant)</t>
        </is>
      </c>
    </row>
    <row r="42">
      <c r="A42" s="12" t="n">
        <v>41</v>
      </c>
      <c r="B42" s="15" t="n">
        <v>46408</v>
      </c>
      <c r="C42" s="16" t="n">
        <v>4</v>
      </c>
      <c r="D42" s="20" t="inlineStr">
        <is>
          <t>Achat challenge</t>
        </is>
      </c>
      <c r="E42" s="12" t="inlineStr">
        <is>
          <t>Blue Guardian</t>
        </is>
      </c>
      <c r="F42" s="12" t="inlineStr">
        <is>
          <t>#15 Instant-Direct 400k</t>
        </is>
      </c>
      <c r="G42" s="18" t="n">
        <v>400000</v>
      </c>
      <c r="H42" s="18" t="n">
        <v>-2200</v>
      </c>
      <c r="I42" s="18" t="n">
        <v>54455</v>
      </c>
      <c r="J42" s="12" t="inlineStr">
        <is>
          <t>Groupe A – rang 3 – financement prévu le 21/01/2027 (instant)</t>
        </is>
      </c>
    </row>
    <row r="43">
      <c r="A43" s="12" t="n">
        <v>42</v>
      </c>
      <c r="B43" s="15" t="n">
        <v>46408</v>
      </c>
      <c r="C43" s="16" t="n">
        <v>4</v>
      </c>
      <c r="D43" s="20" t="inlineStr">
        <is>
          <t>Achat challenge</t>
        </is>
      </c>
      <c r="E43" s="12" t="inlineStr">
        <is>
          <t>Finotive Futures</t>
        </is>
      </c>
      <c r="F43" s="12" t="inlineStr">
        <is>
          <t>#16 1 Step 150k</t>
        </is>
      </c>
      <c r="G43" s="18" t="n">
        <v>150000</v>
      </c>
      <c r="H43" s="18" t="n">
        <v>-399</v>
      </c>
      <c r="I43" s="18" t="n">
        <v>54056</v>
      </c>
      <c r="J43" s="12" t="inlineStr">
        <is>
          <t>Groupe B – rang 6 – financement prévu le 18/02/2027 (objectif objectif par défaut (non renseigné))</t>
        </is>
      </c>
    </row>
    <row r="44">
      <c r="A44" s="12" t="n">
        <v>43</v>
      </c>
      <c r="B44" s="15" t="n">
        <v>46408</v>
      </c>
      <c r="C44" s="16" t="n">
        <v>4</v>
      </c>
      <c r="D44" s="20" t="inlineStr">
        <is>
          <t>Achat challenge</t>
        </is>
      </c>
      <c r="E44" s="12" t="inlineStr">
        <is>
          <t>Finotive Futures</t>
        </is>
      </c>
      <c r="F44" s="12" t="inlineStr">
        <is>
          <t>#17 1 Step 150k</t>
        </is>
      </c>
      <c r="G44" s="18" t="n">
        <v>150000</v>
      </c>
      <c r="H44" s="18" t="n">
        <v>-399</v>
      </c>
      <c r="I44" s="18" t="n">
        <v>53657</v>
      </c>
      <c r="J44" s="12" t="inlineStr">
        <is>
          <t>Groupe B – rang 6 – financement prévu le 18/02/2027 (objectif objectif par défaut (non renseigné))</t>
        </is>
      </c>
    </row>
    <row r="45">
      <c r="A45" s="12" t="n">
        <v>44</v>
      </c>
      <c r="B45" s="15" t="n">
        <v>46408</v>
      </c>
      <c r="C45" s="16" t="n">
        <v>4</v>
      </c>
      <c r="D45" s="20" t="inlineStr">
        <is>
          <t>Achat challenge</t>
        </is>
      </c>
      <c r="E45" s="12" t="inlineStr">
        <is>
          <t>Finotive Futures</t>
        </is>
      </c>
      <c r="F45" s="12" t="inlineStr">
        <is>
          <t>#18 1 Step 150k</t>
        </is>
      </c>
      <c r="G45" s="18" t="n">
        <v>150000</v>
      </c>
      <c r="H45" s="18" t="n">
        <v>-399</v>
      </c>
      <c r="I45" s="18" t="n">
        <v>53258</v>
      </c>
      <c r="J45" s="12" t="inlineStr">
        <is>
          <t>Groupe B – rang 6 – financement prévu le 18/02/2027 (objectif objectif par défaut (non renseigné))</t>
        </is>
      </c>
    </row>
    <row r="46">
      <c r="A46" s="12" t="n">
        <v>45</v>
      </c>
      <c r="B46" s="15" t="n">
        <v>46408</v>
      </c>
      <c r="C46" s="16" t="n">
        <v>4</v>
      </c>
      <c r="D46" s="20" t="inlineStr">
        <is>
          <t>Achat challenge</t>
        </is>
      </c>
      <c r="E46" s="12" t="inlineStr">
        <is>
          <t>Finotive Futures</t>
        </is>
      </c>
      <c r="F46" s="12" t="inlineStr">
        <is>
          <t>#19 1 Step 150k</t>
        </is>
      </c>
      <c r="G46" s="18" t="n">
        <v>150000</v>
      </c>
      <c r="H46" s="18" t="n">
        <v>-399</v>
      </c>
      <c r="I46" s="18" t="n">
        <v>52859</v>
      </c>
      <c r="J46" s="12" t="inlineStr">
        <is>
          <t>Groupe B – rang 6 – financement prévu le 18/02/2027 (objectif objectif par défaut (non renseigné))</t>
        </is>
      </c>
    </row>
    <row r="47">
      <c r="A47" s="12" t="n">
        <v>46</v>
      </c>
      <c r="B47" s="15" t="n">
        <v>46408</v>
      </c>
      <c r="C47" s="16" t="n">
        <v>4</v>
      </c>
      <c r="D47" s="20" t="inlineStr">
        <is>
          <t>Achat challenge</t>
        </is>
      </c>
      <c r="E47" s="12" t="inlineStr">
        <is>
          <t>Finotive Futures</t>
        </is>
      </c>
      <c r="F47" s="12" t="inlineStr">
        <is>
          <t>#20 1 Step 150k</t>
        </is>
      </c>
      <c r="G47" s="18" t="n">
        <v>150000</v>
      </c>
      <c r="H47" s="18" t="n">
        <v>-399</v>
      </c>
      <c r="I47" s="18" t="n">
        <v>52460</v>
      </c>
      <c r="J47" s="12" t="inlineStr">
        <is>
          <t>Groupe B – rang 6 – financement prévu le 18/02/2027 (objectif objectif par défaut (non renseigné))</t>
        </is>
      </c>
    </row>
    <row r="48">
      <c r="A48" s="12" t="n">
        <v>47</v>
      </c>
      <c r="B48" s="15" t="n">
        <v>46408</v>
      </c>
      <c r="C48" s="16" t="n">
        <v>4</v>
      </c>
      <c r="D48" s="20" t="inlineStr">
        <is>
          <t>Achat challenge</t>
        </is>
      </c>
      <c r="E48" s="12" t="inlineStr">
        <is>
          <t>Finotive Futures</t>
        </is>
      </c>
      <c r="F48" s="12" t="inlineStr">
        <is>
          <t>#21 1 Step 150k</t>
        </is>
      </c>
      <c r="G48" s="18" t="n">
        <v>150000</v>
      </c>
      <c r="H48" s="18" t="n">
        <v>-399</v>
      </c>
      <c r="I48" s="18" t="n">
        <v>52061</v>
      </c>
      <c r="J48" s="12" t="inlineStr">
        <is>
          <t>Groupe B – rang 6 – financement prévu le 18/02/2027 (objectif objectif par défaut (non renseigné))</t>
        </is>
      </c>
    </row>
    <row r="49">
      <c r="A49" s="12" t="n">
        <v>48</v>
      </c>
      <c r="B49" s="15" t="n">
        <v>46408</v>
      </c>
      <c r="C49" s="16" t="n">
        <v>4</v>
      </c>
      <c r="D49" s="20" t="inlineStr">
        <is>
          <t>Achat challenge</t>
        </is>
      </c>
      <c r="E49" s="12" t="inlineStr">
        <is>
          <t>10FOUR</t>
        </is>
      </c>
      <c r="F49" s="12" t="inlineStr">
        <is>
          <t>#22 1 Step 150k</t>
        </is>
      </c>
      <c r="G49" s="18" t="n">
        <v>150000</v>
      </c>
      <c r="H49" s="18" t="n">
        <v>-248.57</v>
      </c>
      <c r="I49" s="18" t="n">
        <v>51812.43</v>
      </c>
      <c r="J49" s="12" t="inlineStr">
        <is>
          <t>Groupe B – rang 7 – financement prévu le 18/02/2027 (objectif objectif par défaut (non renseigné))</t>
        </is>
      </c>
    </row>
    <row r="50">
      <c r="A50" s="12" t="n">
        <v>49</v>
      </c>
      <c r="B50" s="15" t="n">
        <v>46408</v>
      </c>
      <c r="C50" s="16" t="n">
        <v>4</v>
      </c>
      <c r="D50" s="20" t="inlineStr">
        <is>
          <t>Achat challenge</t>
        </is>
      </c>
      <c r="E50" s="12" t="inlineStr">
        <is>
          <t>10FOUR</t>
        </is>
      </c>
      <c r="F50" s="12" t="inlineStr">
        <is>
          <t>#23 1 Step 150k</t>
        </is>
      </c>
      <c r="G50" s="18" t="n">
        <v>150000</v>
      </c>
      <c r="H50" s="18" t="n">
        <v>-248.57</v>
      </c>
      <c r="I50" s="18" t="n">
        <v>51563.86</v>
      </c>
      <c r="J50" s="12" t="inlineStr">
        <is>
          <t>Groupe B – rang 7 – financement prévu le 18/02/2027 (objectif objectif par défaut (non renseigné))</t>
        </is>
      </c>
    </row>
    <row r="51">
      <c r="A51" s="12" t="n">
        <v>50</v>
      </c>
      <c r="B51" s="15" t="n">
        <v>46408</v>
      </c>
      <c r="C51" s="16" t="n">
        <v>4</v>
      </c>
      <c r="D51" s="20" t="inlineStr">
        <is>
          <t>Achat challenge</t>
        </is>
      </c>
      <c r="E51" s="12" t="inlineStr">
        <is>
          <t>10FOUR</t>
        </is>
      </c>
      <c r="F51" s="12" t="inlineStr">
        <is>
          <t>#24 1 Step 150k</t>
        </is>
      </c>
      <c r="G51" s="18" t="n">
        <v>150000</v>
      </c>
      <c r="H51" s="18" t="n">
        <v>-248.57</v>
      </c>
      <c r="I51" s="18" t="n">
        <v>51315.29</v>
      </c>
      <c r="J51" s="12" t="inlineStr">
        <is>
          <t>Groupe B – rang 7 – financement prévu le 18/02/2027 (objectif objectif par défaut (non renseigné))</t>
        </is>
      </c>
    </row>
    <row r="52">
      <c r="A52" s="12" t="n">
        <v>51</v>
      </c>
      <c r="B52" s="15" t="n">
        <v>46408</v>
      </c>
      <c r="C52" s="16" t="n">
        <v>4</v>
      </c>
      <c r="D52" s="20" t="inlineStr">
        <is>
          <t>Achat challenge</t>
        </is>
      </c>
      <c r="E52" s="12" t="inlineStr">
        <is>
          <t>10FOUR</t>
        </is>
      </c>
      <c r="F52" s="12" t="inlineStr">
        <is>
          <t>#25 1 Step 150k</t>
        </is>
      </c>
      <c r="G52" s="18" t="n">
        <v>150000</v>
      </c>
      <c r="H52" s="18" t="n">
        <v>-248.57</v>
      </c>
      <c r="I52" s="18" t="n">
        <v>51066.72</v>
      </c>
      <c r="J52" s="12" t="inlineStr">
        <is>
          <t>Groupe B – rang 7 – financement prévu le 18/02/2027 (objectif objectif par défaut (non renseigné))</t>
        </is>
      </c>
    </row>
    <row r="53">
      <c r="A53" s="12" t="n">
        <v>52</v>
      </c>
      <c r="B53" s="15" t="n">
        <v>46408</v>
      </c>
      <c r="C53" s="16" t="n">
        <v>4</v>
      </c>
      <c r="D53" s="20" t="inlineStr">
        <is>
          <t>Achat challenge</t>
        </is>
      </c>
      <c r="E53" s="12" t="inlineStr">
        <is>
          <t>10FOUR</t>
        </is>
      </c>
      <c r="F53" s="12" t="inlineStr">
        <is>
          <t>#26 1 Step 150k</t>
        </is>
      </c>
      <c r="G53" s="18" t="n">
        <v>150000</v>
      </c>
      <c r="H53" s="18" t="n">
        <v>-248.57</v>
      </c>
      <c r="I53" s="18" t="n">
        <v>50818.15</v>
      </c>
      <c r="J53" s="12" t="inlineStr">
        <is>
          <t>Groupe B – rang 7 – financement prévu le 18/02/2027 (objectif objectif par défaut (non renseigné))</t>
        </is>
      </c>
    </row>
    <row r="54">
      <c r="A54" s="12" t="n">
        <v>53</v>
      </c>
      <c r="B54" s="15" t="n">
        <v>46408</v>
      </c>
      <c r="C54" s="16" t="n">
        <v>4</v>
      </c>
      <c r="D54" s="20" t="inlineStr">
        <is>
          <t>Achat challenge</t>
        </is>
      </c>
      <c r="E54" s="12" t="inlineStr">
        <is>
          <t>Blue Guardian Futures</t>
        </is>
      </c>
      <c r="F54" s="12" t="inlineStr">
        <is>
          <t>#27 1 Step 100k</t>
        </is>
      </c>
      <c r="G54" s="18" t="n">
        <v>100000</v>
      </c>
      <c r="H54" s="18" t="n">
        <v>-2200</v>
      </c>
      <c r="I54" s="18" t="n">
        <v>48618.15</v>
      </c>
      <c r="J54" s="12" t="inlineStr">
        <is>
          <t>Groupe B – rang 8 – financement prévu le 18/02/2027 (objectif objectif par défaut (non renseigné))</t>
        </is>
      </c>
    </row>
    <row r="55">
      <c r="A55" s="12" t="n">
        <v>54</v>
      </c>
      <c r="B55" s="15" t="n">
        <v>46408</v>
      </c>
      <c r="C55" s="16" t="n">
        <v>4</v>
      </c>
      <c r="D55" s="20" t="inlineStr">
        <is>
          <t>Achat challenge</t>
        </is>
      </c>
      <c r="E55" s="12" t="inlineStr">
        <is>
          <t>Blue Guardian Futures</t>
        </is>
      </c>
      <c r="F55" s="12" t="inlineStr">
        <is>
          <t>#28 1 Step 100k</t>
        </is>
      </c>
      <c r="G55" s="18" t="n">
        <v>100000</v>
      </c>
      <c r="H55" s="18" t="n">
        <v>-2200</v>
      </c>
      <c r="I55" s="18" t="n">
        <v>46418.15</v>
      </c>
      <c r="J55" s="12" t="inlineStr">
        <is>
          <t>Groupe B – rang 8 – financement prévu le 18/02/2027 (objectif objectif par défaut (non renseigné))</t>
        </is>
      </c>
    </row>
    <row r="56">
      <c r="A56" s="12" t="n">
        <v>55</v>
      </c>
      <c r="B56" s="15" t="n">
        <v>46408</v>
      </c>
      <c r="C56" s="16" t="n">
        <v>4</v>
      </c>
      <c r="D56" s="20" t="inlineStr">
        <is>
          <t>Achat challenge</t>
        </is>
      </c>
      <c r="E56" s="12" t="inlineStr">
        <is>
          <t>Blue Guardian Futures</t>
        </is>
      </c>
      <c r="F56" s="12" t="inlineStr">
        <is>
          <t>#29 1 Step 100k</t>
        </is>
      </c>
      <c r="G56" s="18" t="n">
        <v>100000</v>
      </c>
      <c r="H56" s="18" t="n">
        <v>-2200</v>
      </c>
      <c r="I56" s="18" t="n">
        <v>44218.15</v>
      </c>
      <c r="J56" s="12" t="inlineStr">
        <is>
          <t>Groupe B – rang 8 – financement prévu le 18/02/2027 (objectif objectif par défaut (non renseigné))</t>
        </is>
      </c>
    </row>
    <row r="57">
      <c r="A57" s="12" t="n">
        <v>56</v>
      </c>
      <c r="B57" s="15" t="n">
        <v>46408</v>
      </c>
      <c r="C57" s="16" t="n">
        <v>4</v>
      </c>
      <c r="D57" s="20" t="inlineStr">
        <is>
          <t>Achat challenge</t>
        </is>
      </c>
      <c r="E57" s="12" t="inlineStr">
        <is>
          <t>Blue Guardian Futures</t>
        </is>
      </c>
      <c r="F57" s="12" t="inlineStr">
        <is>
          <t>#30 1 Step 100k</t>
        </is>
      </c>
      <c r="G57" s="18" t="n">
        <v>100000</v>
      </c>
      <c r="H57" s="18" t="n">
        <v>-2200</v>
      </c>
      <c r="I57" s="18" t="n">
        <v>42018.15</v>
      </c>
      <c r="J57" s="12" t="inlineStr">
        <is>
          <t>Groupe B – rang 8 – financement prévu le 18/02/2027 (objectif objectif par défaut (non renseigné))</t>
        </is>
      </c>
    </row>
    <row r="58">
      <c r="A58" s="12" t="n">
        <v>57</v>
      </c>
      <c r="B58" s="15" t="n">
        <v>46408</v>
      </c>
      <c r="C58" s="16" t="n">
        <v>4</v>
      </c>
      <c r="D58" s="20" t="inlineStr">
        <is>
          <t>Achat challenge</t>
        </is>
      </c>
      <c r="E58" s="12" t="inlineStr">
        <is>
          <t>Blue Guardian Futures</t>
        </is>
      </c>
      <c r="F58" s="12" t="inlineStr">
        <is>
          <t>#31 1 Step 100k</t>
        </is>
      </c>
      <c r="G58" s="18" t="n">
        <v>100000</v>
      </c>
      <c r="H58" s="18" t="n">
        <v>-2200</v>
      </c>
      <c r="I58" s="18" t="n">
        <v>39818.15</v>
      </c>
      <c r="J58" s="12" t="inlineStr">
        <is>
          <t>Groupe B – rang 8 – financement prévu le 18/02/2027 (objectif objectif par défaut (non renseigné))</t>
        </is>
      </c>
    </row>
    <row r="59">
      <c r="A59" s="12" t="n">
        <v>58</v>
      </c>
      <c r="B59" s="15" t="n">
        <v>46408</v>
      </c>
      <c r="C59" s="16" t="n">
        <v>4</v>
      </c>
      <c r="D59" s="20" t="inlineStr">
        <is>
          <t>Achat challenge</t>
        </is>
      </c>
      <c r="E59" s="12" t="inlineStr">
        <is>
          <t>Blue Guardian Futures</t>
        </is>
      </c>
      <c r="F59" s="12" t="inlineStr">
        <is>
          <t>#32 1 Step 100k</t>
        </is>
      </c>
      <c r="G59" s="18" t="n">
        <v>100000</v>
      </c>
      <c r="H59" s="18" t="n">
        <v>-2200</v>
      </c>
      <c r="I59" s="18" t="n">
        <v>37618.15</v>
      </c>
      <c r="J59" s="12" t="inlineStr">
        <is>
          <t>Groupe B – rang 8 – financement prévu le 18/02/2027 (objectif objectif par défaut (non renseigné))</t>
        </is>
      </c>
    </row>
    <row r="60">
      <c r="A60" s="12" t="n">
        <v>59</v>
      </c>
      <c r="B60" s="15" t="n">
        <v>46408</v>
      </c>
      <c r="C60" s="16" t="n">
        <v>4</v>
      </c>
      <c r="D60" s="20" t="inlineStr">
        <is>
          <t>Achat challenge</t>
        </is>
      </c>
      <c r="E60" s="12" t="inlineStr">
        <is>
          <t>Blue Guardian Futures</t>
        </is>
      </c>
      <c r="F60" s="12" t="inlineStr">
        <is>
          <t>#33 1 Step 100k</t>
        </is>
      </c>
      <c r="G60" s="18" t="n">
        <v>100000</v>
      </c>
      <c r="H60" s="18" t="n">
        <v>-2200</v>
      </c>
      <c r="I60" s="18" t="n">
        <v>35418.15</v>
      </c>
      <c r="J60" s="12" t="inlineStr">
        <is>
          <t>Groupe B – rang 8 – financement prévu le 18/02/2027 (objectif objectif par défaut (non renseigné))</t>
        </is>
      </c>
    </row>
    <row r="61">
      <c r="A61" s="12" t="n">
        <v>60</v>
      </c>
      <c r="B61" s="15" t="n">
        <v>46408</v>
      </c>
      <c r="C61" s="16" t="n">
        <v>4</v>
      </c>
      <c r="D61" s="20" t="inlineStr">
        <is>
          <t>Achat challenge</t>
        </is>
      </c>
      <c r="E61" s="12" t="inlineStr">
        <is>
          <t>FTMO Futures</t>
        </is>
      </c>
      <c r="F61" s="12" t="inlineStr">
        <is>
          <t>#34 1 Step 150k</t>
        </is>
      </c>
      <c r="G61" s="18" t="n">
        <v>150000</v>
      </c>
      <c r="H61" s="18" t="n">
        <v>-229</v>
      </c>
      <c r="I61" s="18" t="n">
        <v>35189.15</v>
      </c>
      <c r="J61" s="12" t="inlineStr">
        <is>
          <t>Groupe B – rang 9 – financement prévu le 18/02/2027 (objectif 6%)</t>
        </is>
      </c>
    </row>
    <row r="62">
      <c r="A62" s="12" t="n">
        <v>61</v>
      </c>
      <c r="B62" s="15" t="n">
        <v>46408</v>
      </c>
      <c r="C62" s="16" t="n">
        <v>4</v>
      </c>
      <c r="D62" s="20" t="inlineStr">
        <is>
          <t>Achat challenge</t>
        </is>
      </c>
      <c r="E62" s="12" t="inlineStr">
        <is>
          <t>FTMO Futures</t>
        </is>
      </c>
      <c r="F62" s="12" t="inlineStr">
        <is>
          <t>#35 1 Step 150k</t>
        </is>
      </c>
      <c r="G62" s="18" t="n">
        <v>150000</v>
      </c>
      <c r="H62" s="18" t="n">
        <v>-229</v>
      </c>
      <c r="I62" s="18" t="n">
        <v>34960.15</v>
      </c>
      <c r="J62" s="12" t="inlineStr">
        <is>
          <t>Groupe B – rang 9 – financement prévu le 18/02/2027 (objectif 6%)</t>
        </is>
      </c>
    </row>
    <row r="63">
      <c r="A63" s="12" t="n">
        <v>62</v>
      </c>
      <c r="B63" s="15" t="n">
        <v>46408</v>
      </c>
      <c r="C63" s="16" t="n">
        <v>4</v>
      </c>
      <c r="D63" s="20" t="inlineStr">
        <is>
          <t>Achat challenge</t>
        </is>
      </c>
      <c r="E63" s="12" t="inlineStr">
        <is>
          <t>FTMO Futures</t>
        </is>
      </c>
      <c r="F63" s="12" t="inlineStr">
        <is>
          <t>#36 1 Step 150k</t>
        </is>
      </c>
      <c r="G63" s="18" t="n">
        <v>150000</v>
      </c>
      <c r="H63" s="18" t="n">
        <v>-229</v>
      </c>
      <c r="I63" s="18" t="n">
        <v>34731.15</v>
      </c>
      <c r="J63" s="12" t="inlineStr">
        <is>
          <t>Groupe B – rang 9 – financement prévu le 18/02/2027 (objectif 6%)</t>
        </is>
      </c>
    </row>
    <row r="64">
      <c r="A64" s="12" t="n">
        <v>63</v>
      </c>
      <c r="B64" s="15" t="n">
        <v>46408</v>
      </c>
      <c r="C64" s="16" t="n">
        <v>4</v>
      </c>
      <c r="D64" s="20" t="inlineStr">
        <is>
          <t>Achat challenge</t>
        </is>
      </c>
      <c r="E64" s="12" t="inlineStr">
        <is>
          <t>BrightFunded</t>
        </is>
      </c>
      <c r="F64" s="12" t="inlineStr">
        <is>
          <t>#37 1 Step 200k</t>
        </is>
      </c>
      <c r="G64" s="18" t="n">
        <v>200000</v>
      </c>
      <c r="H64" s="18" t="n">
        <v>-1032</v>
      </c>
      <c r="I64" s="18" t="n">
        <v>33699.15</v>
      </c>
      <c r="J64" s="12" t="inlineStr">
        <is>
          <t>Groupe B – rang 10 – financement prévu le 18/02/2027 (objectif 10%)</t>
        </is>
      </c>
    </row>
    <row r="65">
      <c r="A65" s="12" t="n">
        <v>64</v>
      </c>
      <c r="B65" s="15" t="n">
        <v>46408</v>
      </c>
      <c r="C65" s="16" t="n">
        <v>4</v>
      </c>
      <c r="D65" s="20" t="inlineStr">
        <is>
          <t>Achat challenge</t>
        </is>
      </c>
      <c r="E65" s="12" t="inlineStr">
        <is>
          <t>BrightFunded</t>
        </is>
      </c>
      <c r="F65" s="12" t="inlineStr">
        <is>
          <t>#38 1 Step 200k</t>
        </is>
      </c>
      <c r="G65" s="18" t="n">
        <v>200000</v>
      </c>
      <c r="H65" s="18" t="n">
        <v>-1032</v>
      </c>
      <c r="I65" s="18" t="n">
        <v>32667.15</v>
      </c>
      <c r="J65" s="12" t="inlineStr">
        <is>
          <t>Groupe B – rang 10 – financement prévu le 18/02/2027 (objectif 10%)</t>
        </is>
      </c>
    </row>
    <row r="66">
      <c r="A66" s="12" t="n">
        <v>65</v>
      </c>
      <c r="B66" s="15" t="n">
        <v>46408</v>
      </c>
      <c r="C66" s="16" t="n">
        <v>4</v>
      </c>
      <c r="D66" s="20" t="inlineStr">
        <is>
          <t>Achat challenge</t>
        </is>
      </c>
      <c r="E66" s="12" t="inlineStr">
        <is>
          <t>FTMO</t>
        </is>
      </c>
      <c r="F66" s="12" t="inlineStr">
        <is>
          <t>#39 1 Step 200k</t>
        </is>
      </c>
      <c r="G66" s="18" t="n">
        <v>200000</v>
      </c>
      <c r="H66" s="18" t="n">
        <v>-1177</v>
      </c>
      <c r="I66" s="18" t="n">
        <v>31490.15</v>
      </c>
      <c r="J66" s="12" t="inlineStr">
        <is>
          <t>Groupe B – rang 11 – financement prévu le 18/02/2027 (objectif 10%)</t>
        </is>
      </c>
    </row>
    <row r="67">
      <c r="A67" s="12" t="n">
        <v>66</v>
      </c>
      <c r="B67" s="15" t="n">
        <v>46408</v>
      </c>
      <c r="C67" s="16" t="n">
        <v>4</v>
      </c>
      <c r="D67" s="20" t="inlineStr">
        <is>
          <t>Achat challenge</t>
        </is>
      </c>
      <c r="E67" s="12" t="inlineStr">
        <is>
          <t>FTMO</t>
        </is>
      </c>
      <c r="F67" s="12" t="inlineStr">
        <is>
          <t>#40 1 Step 200k</t>
        </is>
      </c>
      <c r="G67" s="18" t="n">
        <v>200000</v>
      </c>
      <c r="H67" s="18" t="n">
        <v>-1177</v>
      </c>
      <c r="I67" s="18" t="n">
        <v>30313.15</v>
      </c>
      <c r="J67" s="12" t="inlineStr">
        <is>
          <t>Groupe B – rang 11 – financement prévu le 18/02/2027 (objectif 10%)</t>
        </is>
      </c>
    </row>
    <row r="68">
      <c r="A68" s="12" t="n">
        <v>67</v>
      </c>
      <c r="B68" s="15" t="n">
        <v>46408</v>
      </c>
      <c r="C68" s="16" t="n">
        <v>4</v>
      </c>
      <c r="D68" s="20" t="inlineStr">
        <is>
          <t>Achat challenge</t>
        </is>
      </c>
      <c r="E68" s="12" t="inlineStr">
        <is>
          <t>Fundora</t>
        </is>
      </c>
      <c r="F68" s="12" t="inlineStr">
        <is>
          <t>#41 2 Step 400k</t>
        </is>
      </c>
      <c r="G68" s="18" t="n">
        <v>400000</v>
      </c>
      <c r="H68" s="18" t="n">
        <v>-2133</v>
      </c>
      <c r="I68" s="18" t="n">
        <v>28180.15</v>
      </c>
      <c r="J68" s="12" t="inlineStr">
        <is>
          <t>Groupe B – rang 12 – financement prévu le 04/03/2027 (objectif objectif par défaut (non renseigné))</t>
        </is>
      </c>
    </row>
    <row r="69">
      <c r="A69" s="12" t="n">
        <v>68</v>
      </c>
      <c r="B69" s="15" t="n">
        <v>46408</v>
      </c>
      <c r="C69" s="16" t="n">
        <v>4</v>
      </c>
      <c r="D69" s="14" t="inlineStr">
        <is>
          <t>Financement</t>
        </is>
      </c>
      <c r="E69" s="12" t="inlineStr">
        <is>
          <t>Kickstart Trading</t>
        </is>
      </c>
      <c r="F69" s="12" t="inlineStr">
        <is>
          <t>#11 Instant-Direct 100k</t>
        </is>
      </c>
      <c r="G69" s="18" t="n">
        <v>100000</v>
      </c>
      <c r="H69" s="18" t="n">
        <v>0</v>
      </c>
      <c r="I69" s="18" t="n">
        <v>28180.15</v>
      </c>
      <c r="J69" s="12" t="inlineStr">
        <is>
          <t>Financé dès l'achat – 1er payout le 18/02/2027</t>
        </is>
      </c>
    </row>
    <row r="70">
      <c r="A70" s="12" t="n">
        <v>69</v>
      </c>
      <c r="B70" s="15" t="n">
        <v>46408</v>
      </c>
      <c r="C70" s="16" t="n">
        <v>4</v>
      </c>
      <c r="D70" s="14" t="inlineStr">
        <is>
          <t>Financement</t>
        </is>
      </c>
      <c r="E70" s="12" t="inlineStr">
        <is>
          <t>Kickstart Trading</t>
        </is>
      </c>
      <c r="F70" s="12" t="inlineStr">
        <is>
          <t>#12 Instant-Direct 100k</t>
        </is>
      </c>
      <c r="G70" s="18" t="n">
        <v>100000</v>
      </c>
      <c r="H70" s="18" t="n">
        <v>0</v>
      </c>
      <c r="I70" s="18" t="n">
        <v>28180.15</v>
      </c>
      <c r="J70" s="12" t="inlineStr">
        <is>
          <t>Financé dès l'achat – 1er payout le 18/02/2027</t>
        </is>
      </c>
    </row>
    <row r="71">
      <c r="A71" s="12" t="n">
        <v>70</v>
      </c>
      <c r="B71" s="15" t="n">
        <v>46408</v>
      </c>
      <c r="C71" s="16" t="n">
        <v>4</v>
      </c>
      <c r="D71" s="14" t="inlineStr">
        <is>
          <t>Financement</t>
        </is>
      </c>
      <c r="E71" s="12" t="inlineStr">
        <is>
          <t>Kickstart Trading</t>
        </is>
      </c>
      <c r="F71" s="12" t="inlineStr">
        <is>
          <t>#13 Instant-Direct 100k</t>
        </is>
      </c>
      <c r="G71" s="18" t="n">
        <v>100000</v>
      </c>
      <c r="H71" s="18" t="n">
        <v>0</v>
      </c>
      <c r="I71" s="18" t="n">
        <v>28180.15</v>
      </c>
      <c r="J71" s="12" t="inlineStr">
        <is>
          <t>Financé dès l'achat – 1er payout le 18/02/2027</t>
        </is>
      </c>
    </row>
    <row r="72">
      <c r="A72" s="12" t="n">
        <v>71</v>
      </c>
      <c r="B72" s="15" t="n">
        <v>46408</v>
      </c>
      <c r="C72" s="16" t="n">
        <v>4</v>
      </c>
      <c r="D72" s="14" t="inlineStr">
        <is>
          <t>Financement</t>
        </is>
      </c>
      <c r="E72" s="12" t="inlineStr">
        <is>
          <t>Funding Traders</t>
        </is>
      </c>
      <c r="F72" s="12" t="inlineStr">
        <is>
          <t>#14 Instant-Direct 400k</t>
        </is>
      </c>
      <c r="G72" s="18" t="n">
        <v>400000</v>
      </c>
      <c r="H72" s="18" t="n">
        <v>0</v>
      </c>
      <c r="I72" s="18" t="n">
        <v>28180.15</v>
      </c>
      <c r="J72" s="12" t="inlineStr">
        <is>
          <t>Financé dès l'achat – 1er payout le 18/02/2027</t>
        </is>
      </c>
    </row>
    <row r="73">
      <c r="A73" s="12" t="n">
        <v>72</v>
      </c>
      <c r="B73" s="15" t="n">
        <v>46408</v>
      </c>
      <c r="C73" s="16" t="n">
        <v>4</v>
      </c>
      <c r="D73" s="14" t="inlineStr">
        <is>
          <t>Financement</t>
        </is>
      </c>
      <c r="E73" s="12" t="inlineStr">
        <is>
          <t>Blue Guardian</t>
        </is>
      </c>
      <c r="F73" s="12" t="inlineStr">
        <is>
          <t>#15 Instant-Direct 400k</t>
        </is>
      </c>
      <c r="G73" s="18" t="n">
        <v>400000</v>
      </c>
      <c r="H73" s="18" t="n">
        <v>0</v>
      </c>
      <c r="I73" s="18" t="n">
        <v>28180.15</v>
      </c>
      <c r="J73" s="12" t="inlineStr">
        <is>
          <t>Financé dès l'achat – 1er payout le 18/02/2027</t>
        </is>
      </c>
    </row>
    <row r="74">
      <c r="A74" s="12" t="n">
        <v>73</v>
      </c>
      <c r="B74" s="15" t="n">
        <v>46436</v>
      </c>
      <c r="C74" s="16" t="n">
        <v>5</v>
      </c>
      <c r="D74" s="14" t="inlineStr">
        <is>
          <t>Financement</t>
        </is>
      </c>
      <c r="E74" s="12" t="inlineStr">
        <is>
          <t>Finotive Futures</t>
        </is>
      </c>
      <c r="F74" s="12" t="inlineStr">
        <is>
          <t>#16 1 Step 150k</t>
        </is>
      </c>
      <c r="G74" s="18" t="n">
        <v>150000</v>
      </c>
      <c r="H74" s="18" t="n">
        <v>0</v>
      </c>
      <c r="I74" s="18" t="n">
        <v>28180.15</v>
      </c>
      <c r="J74" s="12" t="inlineStr">
        <is>
          <t>Évaluation réussie (objectif par défaut (non renseigné)) – 1er payout le 18/03/2027</t>
        </is>
      </c>
    </row>
    <row r="75">
      <c r="A75" s="12" t="n">
        <v>74</v>
      </c>
      <c r="B75" s="15" t="n">
        <v>46436</v>
      </c>
      <c r="C75" s="16" t="n">
        <v>5</v>
      </c>
      <c r="D75" s="14" t="inlineStr">
        <is>
          <t>Financement</t>
        </is>
      </c>
      <c r="E75" s="12" t="inlineStr">
        <is>
          <t>Finotive Futures</t>
        </is>
      </c>
      <c r="F75" s="12" t="inlineStr">
        <is>
          <t>#17 1 Step 150k</t>
        </is>
      </c>
      <c r="G75" s="18" t="n">
        <v>150000</v>
      </c>
      <c r="H75" s="18" t="n">
        <v>0</v>
      </c>
      <c r="I75" s="18" t="n">
        <v>28180.15</v>
      </c>
      <c r="J75" s="12" t="inlineStr">
        <is>
          <t>Évaluation réussie (objectif par défaut (non renseigné)) – 1er payout le 18/03/2027</t>
        </is>
      </c>
    </row>
    <row r="76">
      <c r="A76" s="12" t="n">
        <v>75</v>
      </c>
      <c r="B76" s="15" t="n">
        <v>46436</v>
      </c>
      <c r="C76" s="16" t="n">
        <v>5</v>
      </c>
      <c r="D76" s="14" t="inlineStr">
        <is>
          <t>Financement</t>
        </is>
      </c>
      <c r="E76" s="12" t="inlineStr">
        <is>
          <t>Finotive Futures</t>
        </is>
      </c>
      <c r="F76" s="12" t="inlineStr">
        <is>
          <t>#18 1 Step 150k</t>
        </is>
      </c>
      <c r="G76" s="18" t="n">
        <v>150000</v>
      </c>
      <c r="H76" s="18" t="n">
        <v>0</v>
      </c>
      <c r="I76" s="18" t="n">
        <v>28180.15</v>
      </c>
      <c r="J76" s="12" t="inlineStr">
        <is>
          <t>Évaluation réussie (objectif par défaut (non renseigné)) – 1er payout le 18/03/2027</t>
        </is>
      </c>
    </row>
    <row r="77">
      <c r="A77" s="12" t="n">
        <v>76</v>
      </c>
      <c r="B77" s="15" t="n">
        <v>46436</v>
      </c>
      <c r="C77" s="16" t="n">
        <v>5</v>
      </c>
      <c r="D77" s="14" t="inlineStr">
        <is>
          <t>Financement</t>
        </is>
      </c>
      <c r="E77" s="12" t="inlineStr">
        <is>
          <t>Finotive Futures</t>
        </is>
      </c>
      <c r="F77" s="12" t="inlineStr">
        <is>
          <t>#19 1 Step 150k</t>
        </is>
      </c>
      <c r="G77" s="18" t="n">
        <v>150000</v>
      </c>
      <c r="H77" s="18" t="n">
        <v>0</v>
      </c>
      <c r="I77" s="18" t="n">
        <v>28180.15</v>
      </c>
      <c r="J77" s="12" t="inlineStr">
        <is>
          <t>Évaluation réussie (objectif par défaut (non renseigné)) – 1er payout le 18/03/2027</t>
        </is>
      </c>
    </row>
    <row r="78">
      <c r="A78" s="12" t="n">
        <v>77</v>
      </c>
      <c r="B78" s="15" t="n">
        <v>46436</v>
      </c>
      <c r="C78" s="16" t="n">
        <v>5</v>
      </c>
      <c r="D78" s="14" t="inlineStr">
        <is>
          <t>Financement</t>
        </is>
      </c>
      <c r="E78" s="12" t="inlineStr">
        <is>
          <t>Finotive Futures</t>
        </is>
      </c>
      <c r="F78" s="12" t="inlineStr">
        <is>
          <t>#20 1 Step 150k</t>
        </is>
      </c>
      <c r="G78" s="18" t="n">
        <v>150000</v>
      </c>
      <c r="H78" s="18" t="n">
        <v>0</v>
      </c>
      <c r="I78" s="18" t="n">
        <v>28180.15</v>
      </c>
      <c r="J78" s="12" t="inlineStr">
        <is>
          <t>Évaluation réussie (objectif par défaut (non renseigné)) – 1er payout le 18/03/2027</t>
        </is>
      </c>
    </row>
    <row r="79">
      <c r="A79" s="12" t="n">
        <v>78</v>
      </c>
      <c r="B79" s="15" t="n">
        <v>46436</v>
      </c>
      <c r="C79" s="16" t="n">
        <v>5</v>
      </c>
      <c r="D79" s="14" t="inlineStr">
        <is>
          <t>Financement</t>
        </is>
      </c>
      <c r="E79" s="12" t="inlineStr">
        <is>
          <t>Finotive Futures</t>
        </is>
      </c>
      <c r="F79" s="12" t="inlineStr">
        <is>
          <t>#21 1 Step 150k</t>
        </is>
      </c>
      <c r="G79" s="18" t="n">
        <v>150000</v>
      </c>
      <c r="H79" s="18" t="n">
        <v>0</v>
      </c>
      <c r="I79" s="18" t="n">
        <v>28180.15</v>
      </c>
      <c r="J79" s="12" t="inlineStr">
        <is>
          <t>Évaluation réussie (objectif par défaut (non renseigné)) – 1er payout le 18/03/2027</t>
        </is>
      </c>
    </row>
    <row r="80">
      <c r="A80" s="12" t="n">
        <v>79</v>
      </c>
      <c r="B80" s="15" t="n">
        <v>46436</v>
      </c>
      <c r="C80" s="16" t="n">
        <v>5</v>
      </c>
      <c r="D80" s="14" t="inlineStr">
        <is>
          <t>Financement</t>
        </is>
      </c>
      <c r="E80" s="12" t="inlineStr">
        <is>
          <t>10FOUR</t>
        </is>
      </c>
      <c r="F80" s="12" t="inlineStr">
        <is>
          <t>#22 1 Step 150k</t>
        </is>
      </c>
      <c r="G80" s="18" t="n">
        <v>150000</v>
      </c>
      <c r="H80" s="18" t="n">
        <v>0</v>
      </c>
      <c r="I80" s="18" t="n">
        <v>28180.15</v>
      </c>
      <c r="J80" s="12" t="inlineStr">
        <is>
          <t>Évaluation réussie (objectif par défaut (non renseigné)) – 1er payout le 18/03/2027</t>
        </is>
      </c>
    </row>
    <row r="81">
      <c r="A81" s="12" t="n">
        <v>80</v>
      </c>
      <c r="B81" s="15" t="n">
        <v>46436</v>
      </c>
      <c r="C81" s="16" t="n">
        <v>5</v>
      </c>
      <c r="D81" s="14" t="inlineStr">
        <is>
          <t>Financement</t>
        </is>
      </c>
      <c r="E81" s="12" t="inlineStr">
        <is>
          <t>10FOUR</t>
        </is>
      </c>
      <c r="F81" s="12" t="inlineStr">
        <is>
          <t>#23 1 Step 150k</t>
        </is>
      </c>
      <c r="G81" s="18" t="n">
        <v>150000</v>
      </c>
      <c r="H81" s="18" t="n">
        <v>0</v>
      </c>
      <c r="I81" s="18" t="n">
        <v>28180.15</v>
      </c>
      <c r="J81" s="12" t="inlineStr">
        <is>
          <t>Évaluation réussie (objectif par défaut (non renseigné)) – 1er payout le 18/03/2027</t>
        </is>
      </c>
    </row>
    <row r="82">
      <c r="A82" s="12" t="n">
        <v>81</v>
      </c>
      <c r="B82" s="15" t="n">
        <v>46436</v>
      </c>
      <c r="C82" s="16" t="n">
        <v>5</v>
      </c>
      <c r="D82" s="14" t="inlineStr">
        <is>
          <t>Financement</t>
        </is>
      </c>
      <c r="E82" s="12" t="inlineStr">
        <is>
          <t>10FOUR</t>
        </is>
      </c>
      <c r="F82" s="12" t="inlineStr">
        <is>
          <t>#24 1 Step 150k</t>
        </is>
      </c>
      <c r="G82" s="18" t="n">
        <v>150000</v>
      </c>
      <c r="H82" s="18" t="n">
        <v>0</v>
      </c>
      <c r="I82" s="18" t="n">
        <v>28180.15</v>
      </c>
      <c r="J82" s="12" t="inlineStr">
        <is>
          <t>Évaluation réussie (objectif par défaut (non renseigné)) – 1er payout le 18/03/2027</t>
        </is>
      </c>
    </row>
    <row r="83">
      <c r="A83" s="12" t="n">
        <v>82</v>
      </c>
      <c r="B83" s="15" t="n">
        <v>46436</v>
      </c>
      <c r="C83" s="16" t="n">
        <v>5</v>
      </c>
      <c r="D83" s="14" t="inlineStr">
        <is>
          <t>Financement</t>
        </is>
      </c>
      <c r="E83" s="12" t="inlineStr">
        <is>
          <t>10FOUR</t>
        </is>
      </c>
      <c r="F83" s="12" t="inlineStr">
        <is>
          <t>#25 1 Step 150k</t>
        </is>
      </c>
      <c r="G83" s="18" t="n">
        <v>150000</v>
      </c>
      <c r="H83" s="18" t="n">
        <v>0</v>
      </c>
      <c r="I83" s="18" t="n">
        <v>28180.15</v>
      </c>
      <c r="J83" s="12" t="inlineStr">
        <is>
          <t>Évaluation réussie (objectif par défaut (non renseigné)) – 1er payout le 18/03/2027</t>
        </is>
      </c>
    </row>
    <row r="84">
      <c r="A84" s="12" t="n">
        <v>83</v>
      </c>
      <c r="B84" s="15" t="n">
        <v>46436</v>
      </c>
      <c r="C84" s="16" t="n">
        <v>5</v>
      </c>
      <c r="D84" s="14" t="inlineStr">
        <is>
          <t>Financement</t>
        </is>
      </c>
      <c r="E84" s="12" t="inlineStr">
        <is>
          <t>10FOUR</t>
        </is>
      </c>
      <c r="F84" s="12" t="inlineStr">
        <is>
          <t>#26 1 Step 150k</t>
        </is>
      </c>
      <c r="G84" s="18" t="n">
        <v>150000</v>
      </c>
      <c r="H84" s="18" t="n">
        <v>0</v>
      </c>
      <c r="I84" s="18" t="n">
        <v>28180.15</v>
      </c>
      <c r="J84" s="12" t="inlineStr">
        <is>
          <t>Évaluation réussie (objectif par défaut (non renseigné)) – 1er payout le 18/03/2027</t>
        </is>
      </c>
    </row>
    <row r="85">
      <c r="A85" s="12" t="n">
        <v>84</v>
      </c>
      <c r="B85" s="15" t="n">
        <v>46436</v>
      </c>
      <c r="C85" s="16" t="n">
        <v>5</v>
      </c>
      <c r="D85" s="14" t="inlineStr">
        <is>
          <t>Financement</t>
        </is>
      </c>
      <c r="E85" s="12" t="inlineStr">
        <is>
          <t>Blue Guardian Futures</t>
        </is>
      </c>
      <c r="F85" s="12" t="inlineStr">
        <is>
          <t>#27 1 Step 100k</t>
        </is>
      </c>
      <c r="G85" s="18" t="n">
        <v>100000</v>
      </c>
      <c r="H85" s="18" t="n">
        <v>0</v>
      </c>
      <c r="I85" s="18" t="n">
        <v>28180.15</v>
      </c>
      <c r="J85" s="12" t="inlineStr">
        <is>
          <t>Évaluation réussie (objectif par défaut (non renseigné)) – 1er payout le 18/03/2027</t>
        </is>
      </c>
    </row>
    <row r="86">
      <c r="A86" s="12" t="n">
        <v>85</v>
      </c>
      <c r="B86" s="15" t="n">
        <v>46436</v>
      </c>
      <c r="C86" s="16" t="n">
        <v>5</v>
      </c>
      <c r="D86" s="14" t="inlineStr">
        <is>
          <t>Financement</t>
        </is>
      </c>
      <c r="E86" s="12" t="inlineStr">
        <is>
          <t>Blue Guardian Futures</t>
        </is>
      </c>
      <c r="F86" s="12" t="inlineStr">
        <is>
          <t>#28 1 Step 100k</t>
        </is>
      </c>
      <c r="G86" s="18" t="n">
        <v>100000</v>
      </c>
      <c r="H86" s="18" t="n">
        <v>0</v>
      </c>
      <c r="I86" s="18" t="n">
        <v>28180.15</v>
      </c>
      <c r="J86" s="12" t="inlineStr">
        <is>
          <t>Évaluation réussie (objectif par défaut (non renseigné)) – 1er payout le 18/03/2027</t>
        </is>
      </c>
    </row>
    <row r="87">
      <c r="A87" s="12" t="n">
        <v>86</v>
      </c>
      <c r="B87" s="15" t="n">
        <v>46436</v>
      </c>
      <c r="C87" s="16" t="n">
        <v>5</v>
      </c>
      <c r="D87" s="14" t="inlineStr">
        <is>
          <t>Financement</t>
        </is>
      </c>
      <c r="E87" s="12" t="inlineStr">
        <is>
          <t>Blue Guardian Futures</t>
        </is>
      </c>
      <c r="F87" s="12" t="inlineStr">
        <is>
          <t>#29 1 Step 100k</t>
        </is>
      </c>
      <c r="G87" s="18" t="n">
        <v>100000</v>
      </c>
      <c r="H87" s="18" t="n">
        <v>0</v>
      </c>
      <c r="I87" s="18" t="n">
        <v>28180.15</v>
      </c>
      <c r="J87" s="12" t="inlineStr">
        <is>
          <t>Évaluation réussie (objectif par défaut (non renseigné)) – 1er payout le 18/03/2027</t>
        </is>
      </c>
    </row>
    <row r="88">
      <c r="A88" s="12" t="n">
        <v>87</v>
      </c>
      <c r="B88" s="15" t="n">
        <v>46436</v>
      </c>
      <c r="C88" s="16" t="n">
        <v>5</v>
      </c>
      <c r="D88" s="14" t="inlineStr">
        <is>
          <t>Financement</t>
        </is>
      </c>
      <c r="E88" s="12" t="inlineStr">
        <is>
          <t>Blue Guardian Futures</t>
        </is>
      </c>
      <c r="F88" s="12" t="inlineStr">
        <is>
          <t>#30 1 Step 100k</t>
        </is>
      </c>
      <c r="G88" s="18" t="n">
        <v>100000</v>
      </c>
      <c r="H88" s="18" t="n">
        <v>0</v>
      </c>
      <c r="I88" s="18" t="n">
        <v>28180.15</v>
      </c>
      <c r="J88" s="12" t="inlineStr">
        <is>
          <t>Évaluation réussie (objectif par défaut (non renseigné)) – 1er payout le 18/03/2027</t>
        </is>
      </c>
    </row>
    <row r="89">
      <c r="A89" s="12" t="n">
        <v>88</v>
      </c>
      <c r="B89" s="15" t="n">
        <v>46436</v>
      </c>
      <c r="C89" s="16" t="n">
        <v>5</v>
      </c>
      <c r="D89" s="14" t="inlineStr">
        <is>
          <t>Financement</t>
        </is>
      </c>
      <c r="E89" s="12" t="inlineStr">
        <is>
          <t>Blue Guardian Futures</t>
        </is>
      </c>
      <c r="F89" s="12" t="inlineStr">
        <is>
          <t>#31 1 Step 100k</t>
        </is>
      </c>
      <c r="G89" s="18" t="n">
        <v>100000</v>
      </c>
      <c r="H89" s="18" t="n">
        <v>0</v>
      </c>
      <c r="I89" s="18" t="n">
        <v>28180.15</v>
      </c>
      <c r="J89" s="12" t="inlineStr">
        <is>
          <t>Évaluation réussie (objectif par défaut (non renseigné)) – 1er payout le 18/03/2027</t>
        </is>
      </c>
    </row>
    <row r="90">
      <c r="A90" s="12" t="n">
        <v>89</v>
      </c>
      <c r="B90" s="15" t="n">
        <v>46436</v>
      </c>
      <c r="C90" s="16" t="n">
        <v>5</v>
      </c>
      <c r="D90" s="14" t="inlineStr">
        <is>
          <t>Financement</t>
        </is>
      </c>
      <c r="E90" s="12" t="inlineStr">
        <is>
          <t>Blue Guardian Futures</t>
        </is>
      </c>
      <c r="F90" s="12" t="inlineStr">
        <is>
          <t>#32 1 Step 100k</t>
        </is>
      </c>
      <c r="G90" s="18" t="n">
        <v>100000</v>
      </c>
      <c r="H90" s="18" t="n">
        <v>0</v>
      </c>
      <c r="I90" s="18" t="n">
        <v>28180.15</v>
      </c>
      <c r="J90" s="12" t="inlineStr">
        <is>
          <t>Évaluation réussie (objectif par défaut (non renseigné)) – 1er payout le 18/03/2027</t>
        </is>
      </c>
    </row>
    <row r="91">
      <c r="A91" s="12" t="n">
        <v>90</v>
      </c>
      <c r="B91" s="15" t="n">
        <v>46436</v>
      </c>
      <c r="C91" s="16" t="n">
        <v>5</v>
      </c>
      <c r="D91" s="14" t="inlineStr">
        <is>
          <t>Financement</t>
        </is>
      </c>
      <c r="E91" s="12" t="inlineStr">
        <is>
          <t>Blue Guardian Futures</t>
        </is>
      </c>
      <c r="F91" s="12" t="inlineStr">
        <is>
          <t>#33 1 Step 100k</t>
        </is>
      </c>
      <c r="G91" s="18" t="n">
        <v>100000</v>
      </c>
      <c r="H91" s="18" t="n">
        <v>0</v>
      </c>
      <c r="I91" s="18" t="n">
        <v>28180.15</v>
      </c>
      <c r="J91" s="12" t="inlineStr">
        <is>
          <t>Évaluation réussie (objectif par défaut (non renseigné)) – 1er payout le 18/03/2027</t>
        </is>
      </c>
    </row>
    <row r="92">
      <c r="A92" s="12" t="n">
        <v>91</v>
      </c>
      <c r="B92" s="15" t="n">
        <v>46436</v>
      </c>
      <c r="C92" s="16" t="n">
        <v>5</v>
      </c>
      <c r="D92" s="14" t="inlineStr">
        <is>
          <t>Financement</t>
        </is>
      </c>
      <c r="E92" s="12" t="inlineStr">
        <is>
          <t>FTMO Futures</t>
        </is>
      </c>
      <c r="F92" s="12" t="inlineStr">
        <is>
          <t>#34 1 Step 150k</t>
        </is>
      </c>
      <c r="G92" s="18" t="n">
        <v>150000</v>
      </c>
      <c r="H92" s="18" t="n">
        <v>0</v>
      </c>
      <c r="I92" s="18" t="n">
        <v>28180.15</v>
      </c>
      <c r="J92" s="12" t="inlineStr">
        <is>
          <t>Évaluation réussie (6%) – 1er payout le 18/03/2027</t>
        </is>
      </c>
    </row>
    <row r="93">
      <c r="A93" s="12" t="n">
        <v>92</v>
      </c>
      <c r="B93" s="15" t="n">
        <v>46436</v>
      </c>
      <c r="C93" s="16" t="n">
        <v>5</v>
      </c>
      <c r="D93" s="14" t="inlineStr">
        <is>
          <t>Financement</t>
        </is>
      </c>
      <c r="E93" s="12" t="inlineStr">
        <is>
          <t>FTMO Futures</t>
        </is>
      </c>
      <c r="F93" s="12" t="inlineStr">
        <is>
          <t>#35 1 Step 150k</t>
        </is>
      </c>
      <c r="G93" s="18" t="n">
        <v>150000</v>
      </c>
      <c r="H93" s="18" t="n">
        <v>0</v>
      </c>
      <c r="I93" s="18" t="n">
        <v>28180.15</v>
      </c>
      <c r="J93" s="12" t="inlineStr">
        <is>
          <t>Évaluation réussie (6%) – 1er payout le 18/03/2027</t>
        </is>
      </c>
    </row>
    <row r="94">
      <c r="A94" s="12" t="n">
        <v>93</v>
      </c>
      <c r="B94" s="15" t="n">
        <v>46436</v>
      </c>
      <c r="C94" s="16" t="n">
        <v>5</v>
      </c>
      <c r="D94" s="14" t="inlineStr">
        <is>
          <t>Financement</t>
        </is>
      </c>
      <c r="E94" s="12" t="inlineStr">
        <is>
          <t>FTMO Futures</t>
        </is>
      </c>
      <c r="F94" s="12" t="inlineStr">
        <is>
          <t>#36 1 Step 150k</t>
        </is>
      </c>
      <c r="G94" s="18" t="n">
        <v>150000</v>
      </c>
      <c r="H94" s="18" t="n">
        <v>0</v>
      </c>
      <c r="I94" s="18" t="n">
        <v>28180.15</v>
      </c>
      <c r="J94" s="12" t="inlineStr">
        <is>
          <t>Évaluation réussie (6%) – 1er payout le 18/03/2027</t>
        </is>
      </c>
    </row>
    <row r="95">
      <c r="A95" s="12" t="n">
        <v>94</v>
      </c>
      <c r="B95" s="15" t="n">
        <v>46436</v>
      </c>
      <c r="C95" s="16" t="n">
        <v>5</v>
      </c>
      <c r="D95" s="14" t="inlineStr">
        <is>
          <t>Financement</t>
        </is>
      </c>
      <c r="E95" s="12" t="inlineStr">
        <is>
          <t>BrightFunded</t>
        </is>
      </c>
      <c r="F95" s="12" t="inlineStr">
        <is>
          <t>#37 1 Step 200k</t>
        </is>
      </c>
      <c r="G95" s="18" t="n">
        <v>200000</v>
      </c>
      <c r="H95" s="18" t="n">
        <v>0</v>
      </c>
      <c r="I95" s="18" t="n">
        <v>28180.15</v>
      </c>
      <c r="J95" s="12" t="inlineStr">
        <is>
          <t>Évaluation réussie (10%) – 1er payout le 18/03/2027</t>
        </is>
      </c>
    </row>
    <row r="96">
      <c r="A96" s="12" t="n">
        <v>95</v>
      </c>
      <c r="B96" s="15" t="n">
        <v>46436</v>
      </c>
      <c r="C96" s="16" t="n">
        <v>5</v>
      </c>
      <c r="D96" s="14" t="inlineStr">
        <is>
          <t>Financement</t>
        </is>
      </c>
      <c r="E96" s="12" t="inlineStr">
        <is>
          <t>BrightFunded</t>
        </is>
      </c>
      <c r="F96" s="12" t="inlineStr">
        <is>
          <t>#38 1 Step 200k</t>
        </is>
      </c>
      <c r="G96" s="18" t="n">
        <v>200000</v>
      </c>
      <c r="H96" s="18" t="n">
        <v>0</v>
      </c>
      <c r="I96" s="18" t="n">
        <v>28180.15</v>
      </c>
      <c r="J96" s="12" t="inlineStr">
        <is>
          <t>Évaluation réussie (10%) – 1er payout le 18/03/2027</t>
        </is>
      </c>
    </row>
    <row r="97">
      <c r="A97" s="12" t="n">
        <v>96</v>
      </c>
      <c r="B97" s="15" t="n">
        <v>46436</v>
      </c>
      <c r="C97" s="16" t="n">
        <v>5</v>
      </c>
      <c r="D97" s="14" t="inlineStr">
        <is>
          <t>Financement</t>
        </is>
      </c>
      <c r="E97" s="12" t="inlineStr">
        <is>
          <t>FTMO</t>
        </is>
      </c>
      <c r="F97" s="12" t="inlineStr">
        <is>
          <t>#39 1 Step 200k</t>
        </is>
      </c>
      <c r="G97" s="18" t="n">
        <v>200000</v>
      </c>
      <c r="H97" s="18" t="n">
        <v>0</v>
      </c>
      <c r="I97" s="18" t="n">
        <v>28180.15</v>
      </c>
      <c r="J97" s="12" t="inlineStr">
        <is>
          <t>Évaluation réussie (10%) – 1er payout le 18/03/2027</t>
        </is>
      </c>
    </row>
    <row r="98">
      <c r="A98" s="12" t="n">
        <v>97</v>
      </c>
      <c r="B98" s="15" t="n">
        <v>46436</v>
      </c>
      <c r="C98" s="16" t="n">
        <v>5</v>
      </c>
      <c r="D98" s="14" t="inlineStr">
        <is>
          <t>Financement</t>
        </is>
      </c>
      <c r="E98" s="12" t="inlineStr">
        <is>
          <t>FTMO</t>
        </is>
      </c>
      <c r="F98" s="12" t="inlineStr">
        <is>
          <t>#40 1 Step 200k</t>
        </is>
      </c>
      <c r="G98" s="18" t="n">
        <v>200000</v>
      </c>
      <c r="H98" s="18" t="n">
        <v>0</v>
      </c>
      <c r="I98" s="18" t="n">
        <v>28180.15</v>
      </c>
      <c r="J98" s="12" t="inlineStr">
        <is>
          <t>Évaluation réussie (10%) – 1er payout le 18/03/2027</t>
        </is>
      </c>
    </row>
    <row r="99">
      <c r="A99" s="12" t="n">
        <v>98</v>
      </c>
      <c r="B99" s="15" t="n">
        <v>46436</v>
      </c>
      <c r="C99" s="16" t="n">
        <v>5</v>
      </c>
      <c r="D99" s="13" t="inlineStr">
        <is>
          <t>Payout</t>
        </is>
      </c>
      <c r="E99" s="12" t="inlineStr">
        <is>
          <t>FundedNext</t>
        </is>
      </c>
      <c r="F99" s="12" t="inlineStr">
        <is>
          <t>#1 Départ 10k</t>
        </is>
      </c>
      <c r="G99" s="18" t="n">
        <v>10000</v>
      </c>
      <c r="H99" s="18" t="n">
        <v>800</v>
      </c>
      <c r="I99" s="18" t="n">
        <v>28980.15</v>
      </c>
      <c r="J99" s="12" t="inlineStr">
        <is>
          <t>10 % × 10,000 × split 80%</t>
        </is>
      </c>
    </row>
    <row r="100">
      <c r="A100" s="12" t="n">
        <v>99</v>
      </c>
      <c r="B100" s="15" t="n">
        <v>46436</v>
      </c>
      <c r="C100" s="16" t="n">
        <v>5</v>
      </c>
      <c r="D100" s="13" t="inlineStr">
        <is>
          <t>Payout</t>
        </is>
      </c>
      <c r="E100" s="12" t="inlineStr">
        <is>
          <t>Hex Funded</t>
        </is>
      </c>
      <c r="F100" s="12" t="inlineStr">
        <is>
          <t>#2 Instant-Direct 100k</t>
        </is>
      </c>
      <c r="G100" s="18" t="n">
        <v>100000</v>
      </c>
      <c r="H100" s="18" t="n">
        <v>9000</v>
      </c>
      <c r="I100" s="18" t="n">
        <v>37980.15</v>
      </c>
      <c r="J100" s="12" t="inlineStr">
        <is>
          <t>10 % × 100,000 × split 90%</t>
        </is>
      </c>
    </row>
    <row r="101">
      <c r="A101" s="12" t="n">
        <v>100</v>
      </c>
      <c r="B101" s="15" t="n">
        <v>46436</v>
      </c>
      <c r="C101" s="16" t="n">
        <v>5</v>
      </c>
      <c r="D101" s="13" t="inlineStr">
        <is>
          <t>Payout</t>
        </is>
      </c>
      <c r="E101" s="12" t="inlineStr">
        <is>
          <t>Kickstart Trading</t>
        </is>
      </c>
      <c r="F101" s="12" t="inlineStr">
        <is>
          <t>#3 Instant-Direct 100k</t>
        </is>
      </c>
      <c r="G101" s="18" t="n">
        <v>100000</v>
      </c>
      <c r="H101" s="18" t="n">
        <v>8000</v>
      </c>
      <c r="I101" s="18" t="n">
        <v>45980.15</v>
      </c>
      <c r="J101" s="12" t="inlineStr">
        <is>
          <t>10 % × 100,000 × split 80%</t>
        </is>
      </c>
    </row>
    <row r="102">
      <c r="A102" s="12" t="n">
        <v>101</v>
      </c>
      <c r="B102" s="15" t="n">
        <v>46436</v>
      </c>
      <c r="C102" s="16" t="n">
        <v>5</v>
      </c>
      <c r="D102" s="13" t="inlineStr">
        <is>
          <t>Payout</t>
        </is>
      </c>
      <c r="E102" s="12" t="inlineStr">
        <is>
          <t>Kickstart Trading</t>
        </is>
      </c>
      <c r="F102" s="12" t="inlineStr">
        <is>
          <t>#4 Instant-Direct 100k</t>
        </is>
      </c>
      <c r="G102" s="18" t="n">
        <v>100000</v>
      </c>
      <c r="H102" s="18" t="n">
        <v>8000</v>
      </c>
      <c r="I102" s="18" t="n">
        <v>53980.15</v>
      </c>
      <c r="J102" s="12" t="inlineStr">
        <is>
          <t>10 % × 100,000 × split 80%</t>
        </is>
      </c>
    </row>
    <row r="103">
      <c r="A103" s="12" t="n">
        <v>102</v>
      </c>
      <c r="B103" s="15" t="n">
        <v>46436</v>
      </c>
      <c r="C103" s="16" t="n">
        <v>5</v>
      </c>
      <c r="D103" s="13" t="inlineStr">
        <is>
          <t>Payout</t>
        </is>
      </c>
      <c r="E103" s="12" t="inlineStr">
        <is>
          <t>Kickstart Trading</t>
        </is>
      </c>
      <c r="F103" s="12" t="inlineStr">
        <is>
          <t>#5 Instant-Direct 100k</t>
        </is>
      </c>
      <c r="G103" s="18" t="n">
        <v>100000</v>
      </c>
      <c r="H103" s="18" t="n">
        <v>8000</v>
      </c>
      <c r="I103" s="18" t="n">
        <v>61980.15</v>
      </c>
      <c r="J103" s="12" t="inlineStr">
        <is>
          <t>10 % × 100,000 × split 80%</t>
        </is>
      </c>
    </row>
    <row r="104">
      <c r="A104" s="12" t="n">
        <v>103</v>
      </c>
      <c r="B104" s="15" t="n">
        <v>46436</v>
      </c>
      <c r="C104" s="16" t="n">
        <v>5</v>
      </c>
      <c r="D104" s="13" t="inlineStr">
        <is>
          <t>Payout</t>
        </is>
      </c>
      <c r="E104" s="12" t="inlineStr">
        <is>
          <t>Kickstart Trading</t>
        </is>
      </c>
      <c r="F104" s="12" t="inlineStr">
        <is>
          <t>#6 Instant-Direct 100k</t>
        </is>
      </c>
      <c r="G104" s="18" t="n">
        <v>100000</v>
      </c>
      <c r="H104" s="18" t="n">
        <v>8000</v>
      </c>
      <c r="I104" s="18" t="n">
        <v>69980.14999999999</v>
      </c>
      <c r="J104" s="12" t="inlineStr">
        <is>
          <t>10 % × 100,000 × split 80%</t>
        </is>
      </c>
    </row>
    <row r="105">
      <c r="A105" s="12" t="n">
        <v>104</v>
      </c>
      <c r="B105" s="15" t="n">
        <v>46436</v>
      </c>
      <c r="C105" s="16" t="n">
        <v>5</v>
      </c>
      <c r="D105" s="13" t="inlineStr">
        <is>
          <t>Payout</t>
        </is>
      </c>
      <c r="E105" s="12" t="inlineStr">
        <is>
          <t>Kickstart Trading</t>
        </is>
      </c>
      <c r="F105" s="12" t="inlineStr">
        <is>
          <t>#7 Instant-Direct 100k</t>
        </is>
      </c>
      <c r="G105" s="18" t="n">
        <v>100000</v>
      </c>
      <c r="H105" s="18" t="n">
        <v>8000</v>
      </c>
      <c r="I105" s="18" t="n">
        <v>77980.14999999999</v>
      </c>
      <c r="J105" s="12" t="inlineStr">
        <is>
          <t>10 % × 100,000 × split 80%</t>
        </is>
      </c>
    </row>
    <row r="106">
      <c r="A106" s="12" t="n">
        <v>105</v>
      </c>
      <c r="B106" s="15" t="n">
        <v>46436</v>
      </c>
      <c r="C106" s="16" t="n">
        <v>5</v>
      </c>
      <c r="D106" s="13" t="inlineStr">
        <is>
          <t>Payout</t>
        </is>
      </c>
      <c r="E106" s="12" t="inlineStr">
        <is>
          <t>Kickstart Trading</t>
        </is>
      </c>
      <c r="F106" s="12" t="inlineStr">
        <is>
          <t>#8 Instant-Direct 100k</t>
        </is>
      </c>
      <c r="G106" s="18" t="n">
        <v>100000</v>
      </c>
      <c r="H106" s="18" t="n">
        <v>8000</v>
      </c>
      <c r="I106" s="18" t="n">
        <v>85980.14999999999</v>
      </c>
      <c r="J106" s="12" t="inlineStr">
        <is>
          <t>10 % × 100,000 × split 80%</t>
        </is>
      </c>
    </row>
    <row r="107">
      <c r="A107" s="12" t="n">
        <v>106</v>
      </c>
      <c r="B107" s="15" t="n">
        <v>46436</v>
      </c>
      <c r="C107" s="16" t="n">
        <v>5</v>
      </c>
      <c r="D107" s="13" t="inlineStr">
        <is>
          <t>Payout</t>
        </is>
      </c>
      <c r="E107" s="12" t="inlineStr">
        <is>
          <t>Kickstart Trading</t>
        </is>
      </c>
      <c r="F107" s="12" t="inlineStr">
        <is>
          <t>#9 Instant-Direct 100k</t>
        </is>
      </c>
      <c r="G107" s="18" t="n">
        <v>100000</v>
      </c>
      <c r="H107" s="18" t="n">
        <v>8000</v>
      </c>
      <c r="I107" s="18" t="n">
        <v>93980.14999999999</v>
      </c>
      <c r="J107" s="12" t="inlineStr">
        <is>
          <t>10 % × 100,000 × split 80%</t>
        </is>
      </c>
    </row>
    <row r="108">
      <c r="A108" s="12" t="n">
        <v>107</v>
      </c>
      <c r="B108" s="15" t="n">
        <v>46436</v>
      </c>
      <c r="C108" s="16" t="n">
        <v>5</v>
      </c>
      <c r="D108" s="13" t="inlineStr">
        <is>
          <t>Payout</t>
        </is>
      </c>
      <c r="E108" s="12" t="inlineStr">
        <is>
          <t>FundingRock</t>
        </is>
      </c>
      <c r="F108" s="12" t="inlineStr">
        <is>
          <t>#10 Instant-Direct 100k</t>
        </is>
      </c>
      <c r="G108" s="18" t="n">
        <v>100000</v>
      </c>
      <c r="H108" s="18" t="n">
        <v>8000</v>
      </c>
      <c r="I108" s="18" t="n">
        <v>101980.15</v>
      </c>
      <c r="J108" s="12" t="inlineStr">
        <is>
          <t>10 % × 100,000 × split 80%</t>
        </is>
      </c>
    </row>
    <row r="109">
      <c r="A109" s="12" t="n">
        <v>108</v>
      </c>
      <c r="B109" s="15" t="n">
        <v>46436</v>
      </c>
      <c r="C109" s="16" t="n">
        <v>5</v>
      </c>
      <c r="D109" s="13" t="inlineStr">
        <is>
          <t>Payout</t>
        </is>
      </c>
      <c r="E109" s="12" t="inlineStr">
        <is>
          <t>Kickstart Trading</t>
        </is>
      </c>
      <c r="F109" s="12" t="inlineStr">
        <is>
          <t>#11 Instant-Direct 100k</t>
        </is>
      </c>
      <c r="G109" s="18" t="n">
        <v>100000</v>
      </c>
      <c r="H109" s="18" t="n">
        <v>8000</v>
      </c>
      <c r="I109" s="18" t="n">
        <v>109980.15</v>
      </c>
      <c r="J109" s="12" t="inlineStr">
        <is>
          <t>10 % × 100,000 × split 80%</t>
        </is>
      </c>
    </row>
    <row r="110">
      <c r="A110" s="12" t="n">
        <v>109</v>
      </c>
      <c r="B110" s="15" t="n">
        <v>46436</v>
      </c>
      <c r="C110" s="16" t="n">
        <v>5</v>
      </c>
      <c r="D110" s="13" t="inlineStr">
        <is>
          <t>Payout</t>
        </is>
      </c>
      <c r="E110" s="12" t="inlineStr">
        <is>
          <t>Kickstart Trading</t>
        </is>
      </c>
      <c r="F110" s="12" t="inlineStr">
        <is>
          <t>#12 Instant-Direct 100k</t>
        </is>
      </c>
      <c r="G110" s="18" t="n">
        <v>100000</v>
      </c>
      <c r="H110" s="18" t="n">
        <v>8000</v>
      </c>
      <c r="I110" s="18" t="n">
        <v>117980.15</v>
      </c>
      <c r="J110" s="12" t="inlineStr">
        <is>
          <t>10 % × 100,000 × split 80%</t>
        </is>
      </c>
    </row>
    <row r="111">
      <c r="A111" s="12" t="n">
        <v>110</v>
      </c>
      <c r="B111" s="15" t="n">
        <v>46436</v>
      </c>
      <c r="C111" s="16" t="n">
        <v>5</v>
      </c>
      <c r="D111" s="13" t="inlineStr">
        <is>
          <t>Payout</t>
        </is>
      </c>
      <c r="E111" s="12" t="inlineStr">
        <is>
          <t>Kickstart Trading</t>
        </is>
      </c>
      <c r="F111" s="12" t="inlineStr">
        <is>
          <t>#13 Instant-Direct 100k</t>
        </is>
      </c>
      <c r="G111" s="18" t="n">
        <v>100000</v>
      </c>
      <c r="H111" s="18" t="n">
        <v>8000</v>
      </c>
      <c r="I111" s="18" t="n">
        <v>125980.15</v>
      </c>
      <c r="J111" s="12" t="inlineStr">
        <is>
          <t>10 % × 100,000 × split 80%</t>
        </is>
      </c>
    </row>
    <row r="112">
      <c r="A112" s="12" t="n">
        <v>111</v>
      </c>
      <c r="B112" s="15" t="n">
        <v>46436</v>
      </c>
      <c r="C112" s="16" t="n">
        <v>5</v>
      </c>
      <c r="D112" s="13" t="inlineStr">
        <is>
          <t>Payout</t>
        </is>
      </c>
      <c r="E112" s="12" t="inlineStr">
        <is>
          <t>Funding Traders</t>
        </is>
      </c>
      <c r="F112" s="12" t="inlineStr">
        <is>
          <t>#14 Instant-Direct 400k</t>
        </is>
      </c>
      <c r="G112" s="18" t="n">
        <v>400000</v>
      </c>
      <c r="H112" s="18" t="n">
        <v>40000</v>
      </c>
      <c r="I112" s="18" t="n">
        <v>165980.15</v>
      </c>
      <c r="J112" s="12" t="inlineStr">
        <is>
          <t>10 % × 400,000 × split 100%</t>
        </is>
      </c>
    </row>
    <row r="113">
      <c r="A113" s="12" t="n">
        <v>112</v>
      </c>
      <c r="B113" s="15" t="n">
        <v>46436</v>
      </c>
      <c r="C113" s="16" t="n">
        <v>5</v>
      </c>
      <c r="D113" s="13" t="inlineStr">
        <is>
          <t>Payout</t>
        </is>
      </c>
      <c r="E113" s="12" t="inlineStr">
        <is>
          <t>Blue Guardian</t>
        </is>
      </c>
      <c r="F113" s="12" t="inlineStr">
        <is>
          <t>#15 Instant-Direct 400k</t>
        </is>
      </c>
      <c r="G113" s="18" t="n">
        <v>400000</v>
      </c>
      <c r="H113" s="18" t="n">
        <v>32000</v>
      </c>
      <c r="I113" s="18" t="n">
        <v>197980.15</v>
      </c>
      <c r="J113" s="12" t="inlineStr">
        <is>
          <t>10 % × 400,000 × split 80%</t>
        </is>
      </c>
    </row>
    <row r="114">
      <c r="A114" s="12" t="n">
        <v>113</v>
      </c>
      <c r="B114" s="15" t="n">
        <v>46450</v>
      </c>
      <c r="C114" s="16" t="n">
        <v>5.5</v>
      </c>
      <c r="D114" s="14" t="inlineStr">
        <is>
          <t>Financement</t>
        </is>
      </c>
      <c r="E114" s="12" t="inlineStr">
        <is>
          <t>Fundora</t>
        </is>
      </c>
      <c r="F114" s="12" t="inlineStr">
        <is>
          <t>#41 2 Step 400k</t>
        </is>
      </c>
      <c r="G114" s="18" t="n">
        <v>400000</v>
      </c>
      <c r="H114" s="18" t="n">
        <v>0</v>
      </c>
      <c r="I114" s="18" t="n">
        <v>197980.15</v>
      </c>
      <c r="J114" s="12" t="inlineStr">
        <is>
          <t>Évaluation réussie (objectif par défaut (non renseigné)) – 1er payout le 01/04/2027</t>
        </is>
      </c>
    </row>
    <row r="115">
      <c r="A115" s="12" t="n">
        <v>114</v>
      </c>
      <c r="B115" s="15" t="n">
        <v>46464</v>
      </c>
      <c r="C115" s="16" t="n">
        <v>6</v>
      </c>
      <c r="D115" s="13" t="inlineStr">
        <is>
          <t>Payout</t>
        </is>
      </c>
      <c r="E115" s="12" t="inlineStr">
        <is>
          <t>FundedNext</t>
        </is>
      </c>
      <c r="F115" s="12" t="inlineStr">
        <is>
          <t>#1 Départ 10k</t>
        </is>
      </c>
      <c r="G115" s="18" t="n">
        <v>10000</v>
      </c>
      <c r="H115" s="18" t="n">
        <v>800</v>
      </c>
      <c r="I115" s="18" t="n">
        <v>198780.15</v>
      </c>
      <c r="J115" s="12" t="inlineStr">
        <is>
          <t>10 % × 10,000 × split 80%</t>
        </is>
      </c>
    </row>
    <row r="116">
      <c r="A116" s="12" t="n">
        <v>115</v>
      </c>
      <c r="B116" s="15" t="n">
        <v>46464</v>
      </c>
      <c r="C116" s="16" t="n">
        <v>6</v>
      </c>
      <c r="D116" s="13" t="inlineStr">
        <is>
          <t>Payout</t>
        </is>
      </c>
      <c r="E116" s="12" t="inlineStr">
        <is>
          <t>Hex Funded</t>
        </is>
      </c>
      <c r="F116" s="12" t="inlineStr">
        <is>
          <t>#2 Instant-Direct 100k</t>
        </is>
      </c>
      <c r="G116" s="18" t="n">
        <v>100000</v>
      </c>
      <c r="H116" s="18" t="n">
        <v>9000</v>
      </c>
      <c r="I116" s="18" t="n">
        <v>207780.15</v>
      </c>
      <c r="J116" s="12" t="inlineStr">
        <is>
          <t>10 % × 100,000 × split 90%</t>
        </is>
      </c>
    </row>
    <row r="117">
      <c r="A117" s="12" t="n">
        <v>116</v>
      </c>
      <c r="B117" s="15" t="n">
        <v>46464</v>
      </c>
      <c r="C117" s="16" t="n">
        <v>6</v>
      </c>
      <c r="D117" s="13" t="inlineStr">
        <is>
          <t>Payout</t>
        </is>
      </c>
      <c r="E117" s="12" t="inlineStr">
        <is>
          <t>Kickstart Trading</t>
        </is>
      </c>
      <c r="F117" s="12" t="inlineStr">
        <is>
          <t>#3 Instant-Direct 100k</t>
        </is>
      </c>
      <c r="G117" s="18" t="n">
        <v>100000</v>
      </c>
      <c r="H117" s="18" t="n">
        <v>8000</v>
      </c>
      <c r="I117" s="18" t="n">
        <v>215780.15</v>
      </c>
      <c r="J117" s="12" t="inlineStr">
        <is>
          <t>10 % × 100,000 × split 80%</t>
        </is>
      </c>
    </row>
    <row r="118">
      <c r="A118" s="12" t="n">
        <v>117</v>
      </c>
      <c r="B118" s="15" t="n">
        <v>46464</v>
      </c>
      <c r="C118" s="16" t="n">
        <v>6</v>
      </c>
      <c r="D118" s="13" t="inlineStr">
        <is>
          <t>Payout</t>
        </is>
      </c>
      <c r="E118" s="12" t="inlineStr">
        <is>
          <t>Kickstart Trading</t>
        </is>
      </c>
      <c r="F118" s="12" t="inlineStr">
        <is>
          <t>#4 Instant-Direct 100k</t>
        </is>
      </c>
      <c r="G118" s="18" t="n">
        <v>100000</v>
      </c>
      <c r="H118" s="18" t="n">
        <v>8000</v>
      </c>
      <c r="I118" s="18" t="n">
        <v>223780.15</v>
      </c>
      <c r="J118" s="12" t="inlineStr">
        <is>
          <t>10 % × 100,000 × split 80%</t>
        </is>
      </c>
    </row>
    <row r="119">
      <c r="A119" s="12" t="n">
        <v>118</v>
      </c>
      <c r="B119" s="15" t="n">
        <v>46464</v>
      </c>
      <c r="C119" s="16" t="n">
        <v>6</v>
      </c>
      <c r="D119" s="13" t="inlineStr">
        <is>
          <t>Payout</t>
        </is>
      </c>
      <c r="E119" s="12" t="inlineStr">
        <is>
          <t>Kickstart Trading</t>
        </is>
      </c>
      <c r="F119" s="12" t="inlineStr">
        <is>
          <t>#5 Instant-Direct 100k</t>
        </is>
      </c>
      <c r="G119" s="18" t="n">
        <v>100000</v>
      </c>
      <c r="H119" s="18" t="n">
        <v>8000</v>
      </c>
      <c r="I119" s="18" t="n">
        <v>231780.15</v>
      </c>
      <c r="J119" s="12" t="inlineStr">
        <is>
          <t>10 % × 100,000 × split 80%</t>
        </is>
      </c>
    </row>
    <row r="120">
      <c r="A120" s="12" t="n">
        <v>119</v>
      </c>
      <c r="B120" s="15" t="n">
        <v>46464</v>
      </c>
      <c r="C120" s="16" t="n">
        <v>6</v>
      </c>
      <c r="D120" s="13" t="inlineStr">
        <is>
          <t>Payout</t>
        </is>
      </c>
      <c r="E120" s="12" t="inlineStr">
        <is>
          <t>Kickstart Trading</t>
        </is>
      </c>
      <c r="F120" s="12" t="inlineStr">
        <is>
          <t>#6 Instant-Direct 100k</t>
        </is>
      </c>
      <c r="G120" s="18" t="n">
        <v>100000</v>
      </c>
      <c r="H120" s="18" t="n">
        <v>8000</v>
      </c>
      <c r="I120" s="18" t="n">
        <v>239780.15</v>
      </c>
      <c r="J120" s="12" t="inlineStr">
        <is>
          <t>10 % × 100,000 × split 80%</t>
        </is>
      </c>
    </row>
    <row r="121">
      <c r="A121" s="12" t="n">
        <v>120</v>
      </c>
      <c r="B121" s="15" t="n">
        <v>46464</v>
      </c>
      <c r="C121" s="16" t="n">
        <v>6</v>
      </c>
      <c r="D121" s="13" t="inlineStr">
        <is>
          <t>Payout</t>
        </is>
      </c>
      <c r="E121" s="12" t="inlineStr">
        <is>
          <t>Kickstart Trading</t>
        </is>
      </c>
      <c r="F121" s="12" t="inlineStr">
        <is>
          <t>#7 Instant-Direct 100k</t>
        </is>
      </c>
      <c r="G121" s="18" t="n">
        <v>100000</v>
      </c>
      <c r="H121" s="18" t="n">
        <v>8000</v>
      </c>
      <c r="I121" s="18" t="n">
        <v>247780.15</v>
      </c>
      <c r="J121" s="12" t="inlineStr">
        <is>
          <t>10 % × 100,000 × split 80%</t>
        </is>
      </c>
    </row>
    <row r="122">
      <c r="A122" s="12" t="n">
        <v>121</v>
      </c>
      <c r="B122" s="15" t="n">
        <v>46464</v>
      </c>
      <c r="C122" s="16" t="n">
        <v>6</v>
      </c>
      <c r="D122" s="13" t="inlineStr">
        <is>
          <t>Payout</t>
        </is>
      </c>
      <c r="E122" s="12" t="inlineStr">
        <is>
          <t>Kickstart Trading</t>
        </is>
      </c>
      <c r="F122" s="12" t="inlineStr">
        <is>
          <t>#8 Instant-Direct 100k</t>
        </is>
      </c>
      <c r="G122" s="18" t="n">
        <v>100000</v>
      </c>
      <c r="H122" s="18" t="n">
        <v>8000</v>
      </c>
      <c r="I122" s="18" t="n">
        <v>255780.15</v>
      </c>
      <c r="J122" s="12" t="inlineStr">
        <is>
          <t>10 % × 100,000 × split 80%</t>
        </is>
      </c>
    </row>
    <row r="123">
      <c r="A123" s="12" t="n">
        <v>122</v>
      </c>
      <c r="B123" s="15" t="n">
        <v>46464</v>
      </c>
      <c r="C123" s="16" t="n">
        <v>6</v>
      </c>
      <c r="D123" s="13" t="inlineStr">
        <is>
          <t>Payout</t>
        </is>
      </c>
      <c r="E123" s="12" t="inlineStr">
        <is>
          <t>Kickstart Trading</t>
        </is>
      </c>
      <c r="F123" s="12" t="inlineStr">
        <is>
          <t>#9 Instant-Direct 100k</t>
        </is>
      </c>
      <c r="G123" s="18" t="n">
        <v>100000</v>
      </c>
      <c r="H123" s="18" t="n">
        <v>8000</v>
      </c>
      <c r="I123" s="18" t="n">
        <v>263780.15</v>
      </c>
      <c r="J123" s="12" t="inlineStr">
        <is>
          <t>10 % × 100,000 × split 80%</t>
        </is>
      </c>
    </row>
    <row r="124">
      <c r="A124" s="12" t="n">
        <v>123</v>
      </c>
      <c r="B124" s="15" t="n">
        <v>46464</v>
      </c>
      <c r="C124" s="16" t="n">
        <v>6</v>
      </c>
      <c r="D124" s="13" t="inlineStr">
        <is>
          <t>Payout</t>
        </is>
      </c>
      <c r="E124" s="12" t="inlineStr">
        <is>
          <t>FundingRock</t>
        </is>
      </c>
      <c r="F124" s="12" t="inlineStr">
        <is>
          <t>#10 Instant-Direct 100k</t>
        </is>
      </c>
      <c r="G124" s="18" t="n">
        <v>100000</v>
      </c>
      <c r="H124" s="18" t="n">
        <v>8000</v>
      </c>
      <c r="I124" s="18" t="n">
        <v>271780.15</v>
      </c>
      <c r="J124" s="12" t="inlineStr">
        <is>
          <t>10 % × 100,000 × split 80%</t>
        </is>
      </c>
    </row>
    <row r="125">
      <c r="A125" s="12" t="n">
        <v>124</v>
      </c>
      <c r="B125" s="15" t="n">
        <v>46464</v>
      </c>
      <c r="C125" s="16" t="n">
        <v>6</v>
      </c>
      <c r="D125" s="13" t="inlineStr">
        <is>
          <t>Payout</t>
        </is>
      </c>
      <c r="E125" s="12" t="inlineStr">
        <is>
          <t>Kickstart Trading</t>
        </is>
      </c>
      <c r="F125" s="12" t="inlineStr">
        <is>
          <t>#11 Instant-Direct 100k</t>
        </is>
      </c>
      <c r="G125" s="18" t="n">
        <v>100000</v>
      </c>
      <c r="H125" s="18" t="n">
        <v>8000</v>
      </c>
      <c r="I125" s="18" t="n">
        <v>279780.15</v>
      </c>
      <c r="J125" s="12" t="inlineStr">
        <is>
          <t>10 % × 100,000 × split 80%</t>
        </is>
      </c>
    </row>
    <row r="126">
      <c r="A126" s="12" t="n">
        <v>125</v>
      </c>
      <c r="B126" s="15" t="n">
        <v>46464</v>
      </c>
      <c r="C126" s="16" t="n">
        <v>6</v>
      </c>
      <c r="D126" s="13" t="inlineStr">
        <is>
          <t>Payout</t>
        </is>
      </c>
      <c r="E126" s="12" t="inlineStr">
        <is>
          <t>Kickstart Trading</t>
        </is>
      </c>
      <c r="F126" s="12" t="inlineStr">
        <is>
          <t>#12 Instant-Direct 100k</t>
        </is>
      </c>
      <c r="G126" s="18" t="n">
        <v>100000</v>
      </c>
      <c r="H126" s="18" t="n">
        <v>8000</v>
      </c>
      <c r="I126" s="18" t="n">
        <v>287780.15</v>
      </c>
      <c r="J126" s="12" t="inlineStr">
        <is>
          <t>10 % × 100,000 × split 80%</t>
        </is>
      </c>
    </row>
    <row r="127">
      <c r="A127" s="12" t="n">
        <v>126</v>
      </c>
      <c r="B127" s="15" t="n">
        <v>46464</v>
      </c>
      <c r="C127" s="16" t="n">
        <v>6</v>
      </c>
      <c r="D127" s="13" t="inlineStr">
        <is>
          <t>Payout</t>
        </is>
      </c>
      <c r="E127" s="12" t="inlineStr">
        <is>
          <t>Kickstart Trading</t>
        </is>
      </c>
      <c r="F127" s="12" t="inlineStr">
        <is>
          <t>#13 Instant-Direct 100k</t>
        </is>
      </c>
      <c r="G127" s="18" t="n">
        <v>100000</v>
      </c>
      <c r="H127" s="18" t="n">
        <v>8000</v>
      </c>
      <c r="I127" s="18" t="n">
        <v>295780.15</v>
      </c>
      <c r="J127" s="12" t="inlineStr">
        <is>
          <t>10 % × 100,000 × split 80%</t>
        </is>
      </c>
    </row>
    <row r="128">
      <c r="A128" s="12" t="n">
        <v>127</v>
      </c>
      <c r="B128" s="15" t="n">
        <v>46464</v>
      </c>
      <c r="C128" s="16" t="n">
        <v>6</v>
      </c>
      <c r="D128" s="13" t="inlineStr">
        <is>
          <t>Payout</t>
        </is>
      </c>
      <c r="E128" s="12" t="inlineStr">
        <is>
          <t>Funding Traders</t>
        </is>
      </c>
      <c r="F128" s="12" t="inlineStr">
        <is>
          <t>#14 Instant-Direct 400k</t>
        </is>
      </c>
      <c r="G128" s="18" t="n">
        <v>400000</v>
      </c>
      <c r="H128" s="18" t="n">
        <v>40000</v>
      </c>
      <c r="I128" s="18" t="n">
        <v>335780.15</v>
      </c>
      <c r="J128" s="12" t="inlineStr">
        <is>
          <t>10 % × 400,000 × split 100%</t>
        </is>
      </c>
    </row>
    <row r="129">
      <c r="A129" s="12" t="n">
        <v>128</v>
      </c>
      <c r="B129" s="15" t="n">
        <v>46464</v>
      </c>
      <c r="C129" s="16" t="n">
        <v>6</v>
      </c>
      <c r="D129" s="13" t="inlineStr">
        <is>
          <t>Payout</t>
        </is>
      </c>
      <c r="E129" s="12" t="inlineStr">
        <is>
          <t>Blue Guardian</t>
        </is>
      </c>
      <c r="F129" s="12" t="inlineStr">
        <is>
          <t>#15 Instant-Direct 400k</t>
        </is>
      </c>
      <c r="G129" s="18" t="n">
        <v>400000</v>
      </c>
      <c r="H129" s="18" t="n">
        <v>32000</v>
      </c>
      <c r="I129" s="18" t="n">
        <v>367780.15</v>
      </c>
      <c r="J129" s="12" t="inlineStr">
        <is>
          <t>10 % × 400,000 × split 80%</t>
        </is>
      </c>
    </row>
    <row r="130">
      <c r="A130" s="12" t="n">
        <v>129</v>
      </c>
      <c r="B130" s="15" t="n">
        <v>46464</v>
      </c>
      <c r="C130" s="16" t="n">
        <v>6</v>
      </c>
      <c r="D130" s="13" t="inlineStr">
        <is>
          <t>Payout</t>
        </is>
      </c>
      <c r="E130" s="12" t="inlineStr">
        <is>
          <t>Finotive Futures</t>
        </is>
      </c>
      <c r="F130" s="12" t="inlineStr">
        <is>
          <t>#16 1 Step 150k</t>
        </is>
      </c>
      <c r="G130" s="18" t="n">
        <v>150000</v>
      </c>
      <c r="H130" s="18" t="n">
        <v>13500</v>
      </c>
      <c r="I130" s="18" t="n">
        <v>381280.15</v>
      </c>
      <c r="J130" s="12" t="inlineStr">
        <is>
          <t>10 % × 150,000 × split 90%</t>
        </is>
      </c>
    </row>
    <row r="131">
      <c r="A131" s="12" t="n">
        <v>130</v>
      </c>
      <c r="B131" s="15" t="n">
        <v>46464</v>
      </c>
      <c r="C131" s="16" t="n">
        <v>6</v>
      </c>
      <c r="D131" s="13" t="inlineStr">
        <is>
          <t>Payout</t>
        </is>
      </c>
      <c r="E131" s="12" t="inlineStr">
        <is>
          <t>Finotive Futures</t>
        </is>
      </c>
      <c r="F131" s="12" t="inlineStr">
        <is>
          <t>#17 1 Step 150k</t>
        </is>
      </c>
      <c r="G131" s="18" t="n">
        <v>150000</v>
      </c>
      <c r="H131" s="18" t="n">
        <v>13500</v>
      </c>
      <c r="I131" s="18" t="n">
        <v>394780.15</v>
      </c>
      <c r="J131" s="12" t="inlineStr">
        <is>
          <t>10 % × 150,000 × split 90%</t>
        </is>
      </c>
    </row>
    <row r="132">
      <c r="A132" s="12" t="n">
        <v>131</v>
      </c>
      <c r="B132" s="15" t="n">
        <v>46464</v>
      </c>
      <c r="C132" s="16" t="n">
        <v>6</v>
      </c>
      <c r="D132" s="13" t="inlineStr">
        <is>
          <t>Payout</t>
        </is>
      </c>
      <c r="E132" s="12" t="inlineStr">
        <is>
          <t>Finotive Futures</t>
        </is>
      </c>
      <c r="F132" s="12" t="inlineStr">
        <is>
          <t>#18 1 Step 150k</t>
        </is>
      </c>
      <c r="G132" s="18" t="n">
        <v>150000</v>
      </c>
      <c r="H132" s="18" t="n">
        <v>13500</v>
      </c>
      <c r="I132" s="18" t="n">
        <v>408280.15</v>
      </c>
      <c r="J132" s="12" t="inlineStr">
        <is>
          <t>10 % × 150,000 × split 90%</t>
        </is>
      </c>
    </row>
    <row r="133">
      <c r="A133" s="12" t="n">
        <v>132</v>
      </c>
      <c r="B133" s="15" t="n">
        <v>46464</v>
      </c>
      <c r="C133" s="16" t="n">
        <v>6</v>
      </c>
      <c r="D133" s="13" t="inlineStr">
        <is>
          <t>Payout</t>
        </is>
      </c>
      <c r="E133" s="12" t="inlineStr">
        <is>
          <t>Finotive Futures</t>
        </is>
      </c>
      <c r="F133" s="12" t="inlineStr">
        <is>
          <t>#19 1 Step 150k</t>
        </is>
      </c>
      <c r="G133" s="18" t="n">
        <v>150000</v>
      </c>
      <c r="H133" s="18" t="n">
        <v>13500</v>
      </c>
      <c r="I133" s="18" t="n">
        <v>421780.15</v>
      </c>
      <c r="J133" s="12" t="inlineStr">
        <is>
          <t>10 % × 150,000 × split 90%</t>
        </is>
      </c>
    </row>
    <row r="134">
      <c r="A134" s="12" t="n">
        <v>133</v>
      </c>
      <c r="B134" s="15" t="n">
        <v>46464</v>
      </c>
      <c r="C134" s="16" t="n">
        <v>6</v>
      </c>
      <c r="D134" s="13" t="inlineStr">
        <is>
          <t>Payout</t>
        </is>
      </c>
      <c r="E134" s="12" t="inlineStr">
        <is>
          <t>Finotive Futures</t>
        </is>
      </c>
      <c r="F134" s="12" t="inlineStr">
        <is>
          <t>#20 1 Step 150k</t>
        </is>
      </c>
      <c r="G134" s="18" t="n">
        <v>150000</v>
      </c>
      <c r="H134" s="18" t="n">
        <v>13500</v>
      </c>
      <c r="I134" s="18" t="n">
        <v>435280.15</v>
      </c>
      <c r="J134" s="12" t="inlineStr">
        <is>
          <t>10 % × 150,000 × split 90%</t>
        </is>
      </c>
    </row>
    <row r="135">
      <c r="A135" s="12" t="n">
        <v>134</v>
      </c>
      <c r="B135" s="15" t="n">
        <v>46464</v>
      </c>
      <c r="C135" s="16" t="n">
        <v>6</v>
      </c>
      <c r="D135" s="13" t="inlineStr">
        <is>
          <t>Payout</t>
        </is>
      </c>
      <c r="E135" s="12" t="inlineStr">
        <is>
          <t>Finotive Futures</t>
        </is>
      </c>
      <c r="F135" s="12" t="inlineStr">
        <is>
          <t>#21 1 Step 150k</t>
        </is>
      </c>
      <c r="G135" s="18" t="n">
        <v>150000</v>
      </c>
      <c r="H135" s="18" t="n">
        <v>13500</v>
      </c>
      <c r="I135" s="18" t="n">
        <v>448780.15</v>
      </c>
      <c r="J135" s="12" t="inlineStr">
        <is>
          <t>10 % × 150,000 × split 90%</t>
        </is>
      </c>
    </row>
    <row r="136">
      <c r="A136" s="12" t="n">
        <v>135</v>
      </c>
      <c r="B136" s="15" t="n">
        <v>46464</v>
      </c>
      <c r="C136" s="16" t="n">
        <v>6</v>
      </c>
      <c r="D136" s="13" t="inlineStr">
        <is>
          <t>Payout</t>
        </is>
      </c>
      <c r="E136" s="12" t="inlineStr">
        <is>
          <t>10FOUR</t>
        </is>
      </c>
      <c r="F136" s="12" t="inlineStr">
        <is>
          <t>#22 1 Step 150k</t>
        </is>
      </c>
      <c r="G136" s="18" t="n">
        <v>150000</v>
      </c>
      <c r="H136" s="18" t="n">
        <v>13500</v>
      </c>
      <c r="I136" s="18" t="n">
        <v>462280.15</v>
      </c>
      <c r="J136" s="12" t="inlineStr">
        <is>
          <t>10 % × 150,000 × split 90%</t>
        </is>
      </c>
    </row>
    <row r="137">
      <c r="A137" s="12" t="n">
        <v>136</v>
      </c>
      <c r="B137" s="15" t="n">
        <v>46464</v>
      </c>
      <c r="C137" s="16" t="n">
        <v>6</v>
      </c>
      <c r="D137" s="13" t="inlineStr">
        <is>
          <t>Payout</t>
        </is>
      </c>
      <c r="E137" s="12" t="inlineStr">
        <is>
          <t>10FOUR</t>
        </is>
      </c>
      <c r="F137" s="12" t="inlineStr">
        <is>
          <t>#23 1 Step 150k</t>
        </is>
      </c>
      <c r="G137" s="18" t="n">
        <v>150000</v>
      </c>
      <c r="H137" s="18" t="n">
        <v>13500</v>
      </c>
      <c r="I137" s="18" t="n">
        <v>475780.15</v>
      </c>
      <c r="J137" s="12" t="inlineStr">
        <is>
          <t>10 % × 150,000 × split 90%</t>
        </is>
      </c>
    </row>
    <row r="138">
      <c r="A138" s="12" t="n">
        <v>137</v>
      </c>
      <c r="B138" s="15" t="n">
        <v>46464</v>
      </c>
      <c r="C138" s="16" t="n">
        <v>6</v>
      </c>
      <c r="D138" s="13" t="inlineStr">
        <is>
          <t>Payout</t>
        </is>
      </c>
      <c r="E138" s="12" t="inlineStr">
        <is>
          <t>10FOUR</t>
        </is>
      </c>
      <c r="F138" s="12" t="inlineStr">
        <is>
          <t>#24 1 Step 150k</t>
        </is>
      </c>
      <c r="G138" s="18" t="n">
        <v>150000</v>
      </c>
      <c r="H138" s="18" t="n">
        <v>13500</v>
      </c>
      <c r="I138" s="18" t="n">
        <v>489280.15</v>
      </c>
      <c r="J138" s="12" t="inlineStr">
        <is>
          <t>10 % × 150,000 × split 90%</t>
        </is>
      </c>
    </row>
    <row r="139">
      <c r="A139" s="12" t="n">
        <v>138</v>
      </c>
      <c r="B139" s="15" t="n">
        <v>46464</v>
      </c>
      <c r="C139" s="16" t="n">
        <v>6</v>
      </c>
      <c r="D139" s="13" t="inlineStr">
        <is>
          <t>Payout</t>
        </is>
      </c>
      <c r="E139" s="12" t="inlineStr">
        <is>
          <t>10FOUR</t>
        </is>
      </c>
      <c r="F139" s="12" t="inlineStr">
        <is>
          <t>#25 1 Step 150k</t>
        </is>
      </c>
      <c r="G139" s="18" t="n">
        <v>150000</v>
      </c>
      <c r="H139" s="18" t="n">
        <v>13500</v>
      </c>
      <c r="I139" s="18" t="n">
        <v>502780.15</v>
      </c>
      <c r="J139" s="12" t="inlineStr">
        <is>
          <t>10 % × 150,000 × split 90%</t>
        </is>
      </c>
    </row>
    <row r="140">
      <c r="A140" s="12" t="n">
        <v>139</v>
      </c>
      <c r="B140" s="15" t="n">
        <v>46464</v>
      </c>
      <c r="C140" s="16" t="n">
        <v>6</v>
      </c>
      <c r="D140" s="13" t="inlineStr">
        <is>
          <t>Payout</t>
        </is>
      </c>
      <c r="E140" s="12" t="inlineStr">
        <is>
          <t>10FOUR</t>
        </is>
      </c>
      <c r="F140" s="12" t="inlineStr">
        <is>
          <t>#26 1 Step 150k</t>
        </is>
      </c>
      <c r="G140" s="18" t="n">
        <v>150000</v>
      </c>
      <c r="H140" s="18" t="n">
        <v>13500</v>
      </c>
      <c r="I140" s="18" t="n">
        <v>516280.15</v>
      </c>
      <c r="J140" s="12" t="inlineStr">
        <is>
          <t>10 % × 150,000 × split 90%</t>
        </is>
      </c>
    </row>
    <row r="141">
      <c r="A141" s="12" t="n">
        <v>140</v>
      </c>
      <c r="B141" s="15" t="n">
        <v>46464</v>
      </c>
      <c r="C141" s="16" t="n">
        <v>6</v>
      </c>
      <c r="D141" s="13" t="inlineStr">
        <is>
          <t>Payout</t>
        </is>
      </c>
      <c r="E141" s="12" t="inlineStr">
        <is>
          <t>Blue Guardian Futures</t>
        </is>
      </c>
      <c r="F141" s="12" t="inlineStr">
        <is>
          <t>#27 1 Step 100k</t>
        </is>
      </c>
      <c r="G141" s="18" t="n">
        <v>100000</v>
      </c>
      <c r="H141" s="18" t="n">
        <v>9000</v>
      </c>
      <c r="I141" s="18" t="n">
        <v>525280.15</v>
      </c>
      <c r="J141" s="12" t="inlineStr">
        <is>
          <t>10 % × 100,000 × split 90%</t>
        </is>
      </c>
    </row>
    <row r="142">
      <c r="A142" s="12" t="n">
        <v>141</v>
      </c>
      <c r="B142" s="15" t="n">
        <v>46464</v>
      </c>
      <c r="C142" s="16" t="n">
        <v>6</v>
      </c>
      <c r="D142" s="13" t="inlineStr">
        <is>
          <t>Payout</t>
        </is>
      </c>
      <c r="E142" s="12" t="inlineStr">
        <is>
          <t>Blue Guardian Futures</t>
        </is>
      </c>
      <c r="F142" s="12" t="inlineStr">
        <is>
          <t>#28 1 Step 100k</t>
        </is>
      </c>
      <c r="G142" s="18" t="n">
        <v>100000</v>
      </c>
      <c r="H142" s="18" t="n">
        <v>9000</v>
      </c>
      <c r="I142" s="18" t="n">
        <v>534280.15</v>
      </c>
      <c r="J142" s="12" t="inlineStr">
        <is>
          <t>10 % × 100,000 × split 90%</t>
        </is>
      </c>
    </row>
    <row r="143">
      <c r="A143" s="12" t="n">
        <v>142</v>
      </c>
      <c r="B143" s="15" t="n">
        <v>46464</v>
      </c>
      <c r="C143" s="16" t="n">
        <v>6</v>
      </c>
      <c r="D143" s="13" t="inlineStr">
        <is>
          <t>Payout</t>
        </is>
      </c>
      <c r="E143" s="12" t="inlineStr">
        <is>
          <t>Blue Guardian Futures</t>
        </is>
      </c>
      <c r="F143" s="12" t="inlineStr">
        <is>
          <t>#29 1 Step 100k</t>
        </is>
      </c>
      <c r="G143" s="18" t="n">
        <v>100000</v>
      </c>
      <c r="H143" s="18" t="n">
        <v>9000</v>
      </c>
      <c r="I143" s="18" t="n">
        <v>543280.15</v>
      </c>
      <c r="J143" s="12" t="inlineStr">
        <is>
          <t>10 % × 100,000 × split 90%</t>
        </is>
      </c>
    </row>
    <row r="144">
      <c r="A144" s="12" t="n">
        <v>143</v>
      </c>
      <c r="B144" s="15" t="n">
        <v>46464</v>
      </c>
      <c r="C144" s="16" t="n">
        <v>6</v>
      </c>
      <c r="D144" s="13" t="inlineStr">
        <is>
          <t>Payout</t>
        </is>
      </c>
      <c r="E144" s="12" t="inlineStr">
        <is>
          <t>Blue Guardian Futures</t>
        </is>
      </c>
      <c r="F144" s="12" t="inlineStr">
        <is>
          <t>#30 1 Step 100k</t>
        </is>
      </c>
      <c r="G144" s="18" t="n">
        <v>100000</v>
      </c>
      <c r="H144" s="18" t="n">
        <v>9000</v>
      </c>
      <c r="I144" s="18" t="n">
        <v>552280.15</v>
      </c>
      <c r="J144" s="12" t="inlineStr">
        <is>
          <t>10 % × 100,000 × split 90%</t>
        </is>
      </c>
    </row>
    <row r="145">
      <c r="A145" s="12" t="n">
        <v>144</v>
      </c>
      <c r="B145" s="15" t="n">
        <v>46464</v>
      </c>
      <c r="C145" s="16" t="n">
        <v>6</v>
      </c>
      <c r="D145" s="13" t="inlineStr">
        <is>
          <t>Payout</t>
        </is>
      </c>
      <c r="E145" s="12" t="inlineStr">
        <is>
          <t>Blue Guardian Futures</t>
        </is>
      </c>
      <c r="F145" s="12" t="inlineStr">
        <is>
          <t>#31 1 Step 100k</t>
        </is>
      </c>
      <c r="G145" s="18" t="n">
        <v>100000</v>
      </c>
      <c r="H145" s="18" t="n">
        <v>9000</v>
      </c>
      <c r="I145" s="18" t="n">
        <v>561280.15</v>
      </c>
      <c r="J145" s="12" t="inlineStr">
        <is>
          <t>10 % × 100,000 × split 90%</t>
        </is>
      </c>
    </row>
    <row r="146">
      <c r="A146" s="12" t="n">
        <v>145</v>
      </c>
      <c r="B146" s="15" t="n">
        <v>46464</v>
      </c>
      <c r="C146" s="16" t="n">
        <v>6</v>
      </c>
      <c r="D146" s="13" t="inlineStr">
        <is>
          <t>Payout</t>
        </is>
      </c>
      <c r="E146" s="12" t="inlineStr">
        <is>
          <t>Blue Guardian Futures</t>
        </is>
      </c>
      <c r="F146" s="12" t="inlineStr">
        <is>
          <t>#32 1 Step 100k</t>
        </is>
      </c>
      <c r="G146" s="18" t="n">
        <v>100000</v>
      </c>
      <c r="H146" s="18" t="n">
        <v>9000</v>
      </c>
      <c r="I146" s="18" t="n">
        <v>570280.15</v>
      </c>
      <c r="J146" s="12" t="inlineStr">
        <is>
          <t>10 % × 100,000 × split 90%</t>
        </is>
      </c>
    </row>
    <row r="147">
      <c r="A147" s="12" t="n">
        <v>146</v>
      </c>
      <c r="B147" s="15" t="n">
        <v>46464</v>
      </c>
      <c r="C147" s="16" t="n">
        <v>6</v>
      </c>
      <c r="D147" s="13" t="inlineStr">
        <is>
          <t>Payout</t>
        </is>
      </c>
      <c r="E147" s="12" t="inlineStr">
        <is>
          <t>Blue Guardian Futures</t>
        </is>
      </c>
      <c r="F147" s="12" t="inlineStr">
        <is>
          <t>#33 1 Step 100k</t>
        </is>
      </c>
      <c r="G147" s="18" t="n">
        <v>100000</v>
      </c>
      <c r="H147" s="18" t="n">
        <v>9000</v>
      </c>
      <c r="I147" s="18" t="n">
        <v>579280.15</v>
      </c>
      <c r="J147" s="12" t="inlineStr">
        <is>
          <t>10 % × 100,000 × split 90%</t>
        </is>
      </c>
    </row>
    <row r="148">
      <c r="A148" s="12" t="n">
        <v>147</v>
      </c>
      <c r="B148" s="15" t="n">
        <v>46464</v>
      </c>
      <c r="C148" s="16" t="n">
        <v>6</v>
      </c>
      <c r="D148" s="13" t="inlineStr">
        <is>
          <t>Payout</t>
        </is>
      </c>
      <c r="E148" s="12" t="inlineStr">
        <is>
          <t>FTMO Futures</t>
        </is>
      </c>
      <c r="F148" s="12" t="inlineStr">
        <is>
          <t>#34 1 Step 150k</t>
        </is>
      </c>
      <c r="G148" s="18" t="n">
        <v>150000</v>
      </c>
      <c r="H148" s="18" t="n">
        <v>13500</v>
      </c>
      <c r="I148" s="18" t="n">
        <v>592780.15</v>
      </c>
      <c r="J148" s="12" t="inlineStr">
        <is>
          <t>10 % × 150,000 × split 90%</t>
        </is>
      </c>
    </row>
    <row r="149">
      <c r="A149" s="12" t="n">
        <v>148</v>
      </c>
      <c r="B149" s="15" t="n">
        <v>46464</v>
      </c>
      <c r="C149" s="16" t="n">
        <v>6</v>
      </c>
      <c r="D149" s="13" t="inlineStr">
        <is>
          <t>Payout</t>
        </is>
      </c>
      <c r="E149" s="12" t="inlineStr">
        <is>
          <t>FTMO Futures</t>
        </is>
      </c>
      <c r="F149" s="12" t="inlineStr">
        <is>
          <t>#35 1 Step 150k</t>
        </is>
      </c>
      <c r="G149" s="18" t="n">
        <v>150000</v>
      </c>
      <c r="H149" s="18" t="n">
        <v>13500</v>
      </c>
      <c r="I149" s="18" t="n">
        <v>606280.15</v>
      </c>
      <c r="J149" s="12" t="inlineStr">
        <is>
          <t>10 % × 150,000 × split 90%</t>
        </is>
      </c>
    </row>
    <row r="150">
      <c r="A150" s="12" t="n">
        <v>149</v>
      </c>
      <c r="B150" s="15" t="n">
        <v>46464</v>
      </c>
      <c r="C150" s="16" t="n">
        <v>6</v>
      </c>
      <c r="D150" s="13" t="inlineStr">
        <is>
          <t>Payout</t>
        </is>
      </c>
      <c r="E150" s="12" t="inlineStr">
        <is>
          <t>FTMO Futures</t>
        </is>
      </c>
      <c r="F150" s="12" t="inlineStr">
        <is>
          <t>#36 1 Step 150k</t>
        </is>
      </c>
      <c r="G150" s="18" t="n">
        <v>150000</v>
      </c>
      <c r="H150" s="18" t="n">
        <v>13500</v>
      </c>
      <c r="I150" s="18" t="n">
        <v>619780.15</v>
      </c>
      <c r="J150" s="12" t="inlineStr">
        <is>
          <t>10 % × 150,000 × split 90%</t>
        </is>
      </c>
    </row>
    <row r="151">
      <c r="A151" s="12" t="n">
        <v>150</v>
      </c>
      <c r="B151" s="15" t="n">
        <v>46464</v>
      </c>
      <c r="C151" s="16" t="n">
        <v>6</v>
      </c>
      <c r="D151" s="13" t="inlineStr">
        <is>
          <t>Payout</t>
        </is>
      </c>
      <c r="E151" s="12" t="inlineStr">
        <is>
          <t>BrightFunded</t>
        </is>
      </c>
      <c r="F151" s="12" t="inlineStr">
        <is>
          <t>#37 1 Step 200k</t>
        </is>
      </c>
      <c r="G151" s="18" t="n">
        <v>200000</v>
      </c>
      <c r="H151" s="18" t="n">
        <v>20000</v>
      </c>
      <c r="I151" s="18" t="n">
        <v>639780.15</v>
      </c>
      <c r="J151" s="12" t="inlineStr">
        <is>
          <t>10 % × 200,000 × split 100%</t>
        </is>
      </c>
    </row>
    <row r="152">
      <c r="A152" s="12" t="n">
        <v>151</v>
      </c>
      <c r="B152" s="15" t="n">
        <v>46464</v>
      </c>
      <c r="C152" s="16" t="n">
        <v>6</v>
      </c>
      <c r="D152" s="13" t="inlineStr">
        <is>
          <t>Payout</t>
        </is>
      </c>
      <c r="E152" s="12" t="inlineStr">
        <is>
          <t>BrightFunded</t>
        </is>
      </c>
      <c r="F152" s="12" t="inlineStr">
        <is>
          <t>#38 1 Step 200k</t>
        </is>
      </c>
      <c r="G152" s="18" t="n">
        <v>200000</v>
      </c>
      <c r="H152" s="18" t="n">
        <v>20000</v>
      </c>
      <c r="I152" s="18" t="n">
        <v>659780.15</v>
      </c>
      <c r="J152" s="12" t="inlineStr">
        <is>
          <t>10 % × 200,000 × split 100%</t>
        </is>
      </c>
    </row>
    <row r="153">
      <c r="A153" s="12" t="n">
        <v>152</v>
      </c>
      <c r="B153" s="15" t="n">
        <v>46464</v>
      </c>
      <c r="C153" s="16" t="n">
        <v>6</v>
      </c>
      <c r="D153" s="13" t="inlineStr">
        <is>
          <t>Payout</t>
        </is>
      </c>
      <c r="E153" s="12" t="inlineStr">
        <is>
          <t>FTMO</t>
        </is>
      </c>
      <c r="F153" s="12" t="inlineStr">
        <is>
          <t>#39 1 Step 200k</t>
        </is>
      </c>
      <c r="G153" s="18" t="n">
        <v>200000</v>
      </c>
      <c r="H153" s="18" t="n">
        <v>16000</v>
      </c>
      <c r="I153" s="18" t="n">
        <v>675780.15</v>
      </c>
      <c r="J153" s="12" t="inlineStr">
        <is>
          <t>10 % × 200,000 × split 80%</t>
        </is>
      </c>
    </row>
    <row r="154">
      <c r="A154" s="12" t="n">
        <v>153</v>
      </c>
      <c r="B154" s="15" t="n">
        <v>46464</v>
      </c>
      <c r="C154" s="16" t="n">
        <v>6</v>
      </c>
      <c r="D154" s="13" t="inlineStr">
        <is>
          <t>Payout</t>
        </is>
      </c>
      <c r="E154" s="12" t="inlineStr">
        <is>
          <t>FTMO</t>
        </is>
      </c>
      <c r="F154" s="12" t="inlineStr">
        <is>
          <t>#40 1 Step 200k</t>
        </is>
      </c>
      <c r="G154" s="18" t="n">
        <v>200000</v>
      </c>
      <c r="H154" s="18" t="n">
        <v>16000</v>
      </c>
      <c r="I154" s="18" t="n">
        <v>691780.15</v>
      </c>
      <c r="J154" s="12" t="inlineStr">
        <is>
          <t>10 % × 200,000 × split 80%</t>
        </is>
      </c>
    </row>
    <row r="155">
      <c r="A155" s="12" t="n">
        <v>154</v>
      </c>
      <c r="B155" s="15" t="n">
        <v>46478</v>
      </c>
      <c r="C155" s="16" t="n">
        <v>6.5</v>
      </c>
      <c r="D155" s="13" t="inlineStr">
        <is>
          <t>Payout</t>
        </is>
      </c>
      <c r="E155" s="12" t="inlineStr">
        <is>
          <t>Fundora</t>
        </is>
      </c>
      <c r="F155" s="12" t="inlineStr">
        <is>
          <t>#41 2 Step 400k</t>
        </is>
      </c>
      <c r="G155" s="18" t="n">
        <v>400000</v>
      </c>
      <c r="H155" s="18" t="n">
        <v>32000</v>
      </c>
      <c r="I155" s="18" t="n">
        <v>723780.15</v>
      </c>
      <c r="J155" s="12" t="inlineStr">
        <is>
          <t>10 % × 400,000 × split 80%</t>
        </is>
      </c>
    </row>
    <row r="156">
      <c r="A156" s="12" t="n">
        <v>155</v>
      </c>
      <c r="B156" s="15" t="n">
        <v>46492</v>
      </c>
      <c r="C156" s="16" t="n">
        <v>7</v>
      </c>
      <c r="D156" s="13" t="inlineStr">
        <is>
          <t>Payout</t>
        </is>
      </c>
      <c r="E156" s="12" t="inlineStr">
        <is>
          <t>FundedNext</t>
        </is>
      </c>
      <c r="F156" s="12" t="inlineStr">
        <is>
          <t>#1 Départ 10k</t>
        </is>
      </c>
      <c r="G156" s="18" t="n">
        <v>10000</v>
      </c>
      <c r="H156" s="18" t="n">
        <v>800</v>
      </c>
      <c r="I156" s="18" t="n">
        <v>724580.15</v>
      </c>
      <c r="J156" s="12" t="inlineStr">
        <is>
          <t>10 % × 10,000 × split 80%</t>
        </is>
      </c>
    </row>
    <row r="157">
      <c r="A157" s="12" t="n">
        <v>156</v>
      </c>
      <c r="B157" s="15" t="n">
        <v>46492</v>
      </c>
      <c r="C157" s="16" t="n">
        <v>7</v>
      </c>
      <c r="D157" s="13" t="inlineStr">
        <is>
          <t>Payout</t>
        </is>
      </c>
      <c r="E157" s="12" t="inlineStr">
        <is>
          <t>Hex Funded</t>
        </is>
      </c>
      <c r="F157" s="12" t="inlineStr">
        <is>
          <t>#2 Instant-Direct 100k</t>
        </is>
      </c>
      <c r="G157" s="18" t="n">
        <v>100000</v>
      </c>
      <c r="H157" s="18" t="n">
        <v>9000</v>
      </c>
      <c r="I157" s="18" t="n">
        <v>733580.15</v>
      </c>
      <c r="J157" s="12" t="inlineStr">
        <is>
          <t>10 % × 100,000 × split 90%</t>
        </is>
      </c>
    </row>
    <row r="158">
      <c r="A158" s="12" t="n">
        <v>157</v>
      </c>
      <c r="B158" s="15" t="n">
        <v>46492</v>
      </c>
      <c r="C158" s="16" t="n">
        <v>7</v>
      </c>
      <c r="D158" s="13" t="inlineStr">
        <is>
          <t>Payout</t>
        </is>
      </c>
      <c r="E158" s="12" t="inlineStr">
        <is>
          <t>Kickstart Trading</t>
        </is>
      </c>
      <c r="F158" s="12" t="inlineStr">
        <is>
          <t>#3 Instant-Direct 100k</t>
        </is>
      </c>
      <c r="G158" s="18" t="n">
        <v>100000</v>
      </c>
      <c r="H158" s="18" t="n">
        <v>8000</v>
      </c>
      <c r="I158" s="18" t="n">
        <v>741580.15</v>
      </c>
      <c r="J158" s="12" t="inlineStr">
        <is>
          <t>10 % × 100,000 × split 80%</t>
        </is>
      </c>
    </row>
    <row r="159">
      <c r="A159" s="12" t="n">
        <v>158</v>
      </c>
      <c r="B159" s="15" t="n">
        <v>46492</v>
      </c>
      <c r="C159" s="16" t="n">
        <v>7</v>
      </c>
      <c r="D159" s="13" t="inlineStr">
        <is>
          <t>Payout</t>
        </is>
      </c>
      <c r="E159" s="12" t="inlineStr">
        <is>
          <t>Kickstart Trading</t>
        </is>
      </c>
      <c r="F159" s="12" t="inlineStr">
        <is>
          <t>#4 Instant-Direct 100k</t>
        </is>
      </c>
      <c r="G159" s="18" t="n">
        <v>100000</v>
      </c>
      <c r="H159" s="18" t="n">
        <v>8000</v>
      </c>
      <c r="I159" s="18" t="n">
        <v>749580.15</v>
      </c>
      <c r="J159" s="12" t="inlineStr">
        <is>
          <t>10 % × 100,000 × split 80%</t>
        </is>
      </c>
    </row>
    <row r="160">
      <c r="A160" s="12" t="n">
        <v>159</v>
      </c>
      <c r="B160" s="15" t="n">
        <v>46492</v>
      </c>
      <c r="C160" s="16" t="n">
        <v>7</v>
      </c>
      <c r="D160" s="13" t="inlineStr">
        <is>
          <t>Payout</t>
        </is>
      </c>
      <c r="E160" s="12" t="inlineStr">
        <is>
          <t>Kickstart Trading</t>
        </is>
      </c>
      <c r="F160" s="12" t="inlineStr">
        <is>
          <t>#5 Instant-Direct 100k</t>
        </is>
      </c>
      <c r="G160" s="18" t="n">
        <v>100000</v>
      </c>
      <c r="H160" s="18" t="n">
        <v>8000</v>
      </c>
      <c r="I160" s="18" t="n">
        <v>757580.15</v>
      </c>
      <c r="J160" s="12" t="inlineStr">
        <is>
          <t>10 % × 100,000 × split 80%</t>
        </is>
      </c>
    </row>
    <row r="161">
      <c r="A161" s="12" t="n">
        <v>160</v>
      </c>
      <c r="B161" s="15" t="n">
        <v>46492</v>
      </c>
      <c r="C161" s="16" t="n">
        <v>7</v>
      </c>
      <c r="D161" s="13" t="inlineStr">
        <is>
          <t>Payout</t>
        </is>
      </c>
      <c r="E161" s="12" t="inlineStr">
        <is>
          <t>Kickstart Trading</t>
        </is>
      </c>
      <c r="F161" s="12" t="inlineStr">
        <is>
          <t>#6 Instant-Direct 100k</t>
        </is>
      </c>
      <c r="G161" s="18" t="n">
        <v>100000</v>
      </c>
      <c r="H161" s="18" t="n">
        <v>8000</v>
      </c>
      <c r="I161" s="18" t="n">
        <v>765580.15</v>
      </c>
      <c r="J161" s="12" t="inlineStr">
        <is>
          <t>10 % × 100,000 × split 80%</t>
        </is>
      </c>
    </row>
    <row r="162">
      <c r="A162" s="12" t="n">
        <v>161</v>
      </c>
      <c r="B162" s="15" t="n">
        <v>46492</v>
      </c>
      <c r="C162" s="16" t="n">
        <v>7</v>
      </c>
      <c r="D162" s="13" t="inlineStr">
        <is>
          <t>Payout</t>
        </is>
      </c>
      <c r="E162" s="12" t="inlineStr">
        <is>
          <t>Kickstart Trading</t>
        </is>
      </c>
      <c r="F162" s="12" t="inlineStr">
        <is>
          <t>#7 Instant-Direct 100k</t>
        </is>
      </c>
      <c r="G162" s="18" t="n">
        <v>100000</v>
      </c>
      <c r="H162" s="18" t="n">
        <v>8000</v>
      </c>
      <c r="I162" s="18" t="n">
        <v>773580.15</v>
      </c>
      <c r="J162" s="12" t="inlineStr">
        <is>
          <t>10 % × 100,000 × split 80%</t>
        </is>
      </c>
    </row>
    <row r="163">
      <c r="A163" s="12" t="n">
        <v>162</v>
      </c>
      <c r="B163" s="15" t="n">
        <v>46492</v>
      </c>
      <c r="C163" s="16" t="n">
        <v>7</v>
      </c>
      <c r="D163" s="13" t="inlineStr">
        <is>
          <t>Payout</t>
        </is>
      </c>
      <c r="E163" s="12" t="inlineStr">
        <is>
          <t>Kickstart Trading</t>
        </is>
      </c>
      <c r="F163" s="12" t="inlineStr">
        <is>
          <t>#8 Instant-Direct 100k</t>
        </is>
      </c>
      <c r="G163" s="18" t="n">
        <v>100000</v>
      </c>
      <c r="H163" s="18" t="n">
        <v>8000</v>
      </c>
      <c r="I163" s="18" t="n">
        <v>781580.15</v>
      </c>
      <c r="J163" s="12" t="inlineStr">
        <is>
          <t>10 % × 100,000 × split 80%</t>
        </is>
      </c>
    </row>
    <row r="164">
      <c r="A164" s="12" t="n">
        <v>163</v>
      </c>
      <c r="B164" s="15" t="n">
        <v>46492</v>
      </c>
      <c r="C164" s="16" t="n">
        <v>7</v>
      </c>
      <c r="D164" s="13" t="inlineStr">
        <is>
          <t>Payout</t>
        </is>
      </c>
      <c r="E164" s="12" t="inlineStr">
        <is>
          <t>Kickstart Trading</t>
        </is>
      </c>
      <c r="F164" s="12" t="inlineStr">
        <is>
          <t>#9 Instant-Direct 100k</t>
        </is>
      </c>
      <c r="G164" s="18" t="n">
        <v>100000</v>
      </c>
      <c r="H164" s="18" t="n">
        <v>8000</v>
      </c>
      <c r="I164" s="18" t="n">
        <v>789580.15</v>
      </c>
      <c r="J164" s="12" t="inlineStr">
        <is>
          <t>10 % × 100,000 × split 80%</t>
        </is>
      </c>
    </row>
    <row r="165">
      <c r="A165" s="12" t="n">
        <v>164</v>
      </c>
      <c r="B165" s="15" t="n">
        <v>46492</v>
      </c>
      <c r="C165" s="16" t="n">
        <v>7</v>
      </c>
      <c r="D165" s="13" t="inlineStr">
        <is>
          <t>Payout</t>
        </is>
      </c>
      <c r="E165" s="12" t="inlineStr">
        <is>
          <t>FundingRock</t>
        </is>
      </c>
      <c r="F165" s="12" t="inlineStr">
        <is>
          <t>#10 Instant-Direct 100k</t>
        </is>
      </c>
      <c r="G165" s="18" t="n">
        <v>100000</v>
      </c>
      <c r="H165" s="18" t="n">
        <v>8000</v>
      </c>
      <c r="I165" s="18" t="n">
        <v>797580.15</v>
      </c>
      <c r="J165" s="12" t="inlineStr">
        <is>
          <t>10 % × 100,000 × split 80%</t>
        </is>
      </c>
    </row>
    <row r="166">
      <c r="A166" s="12" t="n">
        <v>165</v>
      </c>
      <c r="B166" s="15" t="n">
        <v>46492</v>
      </c>
      <c r="C166" s="16" t="n">
        <v>7</v>
      </c>
      <c r="D166" s="13" t="inlineStr">
        <is>
          <t>Payout</t>
        </is>
      </c>
      <c r="E166" s="12" t="inlineStr">
        <is>
          <t>Kickstart Trading</t>
        </is>
      </c>
      <c r="F166" s="12" t="inlineStr">
        <is>
          <t>#11 Instant-Direct 100k</t>
        </is>
      </c>
      <c r="G166" s="18" t="n">
        <v>100000</v>
      </c>
      <c r="H166" s="18" t="n">
        <v>8000</v>
      </c>
      <c r="I166" s="18" t="n">
        <v>805580.15</v>
      </c>
      <c r="J166" s="12" t="inlineStr">
        <is>
          <t>10 % × 100,000 × split 80%</t>
        </is>
      </c>
    </row>
    <row r="167">
      <c r="A167" s="12" t="n">
        <v>166</v>
      </c>
      <c r="B167" s="15" t="n">
        <v>46492</v>
      </c>
      <c r="C167" s="16" t="n">
        <v>7</v>
      </c>
      <c r="D167" s="13" t="inlineStr">
        <is>
          <t>Payout</t>
        </is>
      </c>
      <c r="E167" s="12" t="inlineStr">
        <is>
          <t>Kickstart Trading</t>
        </is>
      </c>
      <c r="F167" s="12" t="inlineStr">
        <is>
          <t>#12 Instant-Direct 100k</t>
        </is>
      </c>
      <c r="G167" s="18" t="n">
        <v>100000</v>
      </c>
      <c r="H167" s="18" t="n">
        <v>8000</v>
      </c>
      <c r="I167" s="18" t="n">
        <v>813580.15</v>
      </c>
      <c r="J167" s="12" t="inlineStr">
        <is>
          <t>10 % × 100,000 × split 80%</t>
        </is>
      </c>
    </row>
    <row r="168">
      <c r="A168" s="12" t="n">
        <v>167</v>
      </c>
      <c r="B168" s="15" t="n">
        <v>46492</v>
      </c>
      <c r="C168" s="16" t="n">
        <v>7</v>
      </c>
      <c r="D168" s="13" t="inlineStr">
        <is>
          <t>Payout</t>
        </is>
      </c>
      <c r="E168" s="12" t="inlineStr">
        <is>
          <t>Kickstart Trading</t>
        </is>
      </c>
      <c r="F168" s="12" t="inlineStr">
        <is>
          <t>#13 Instant-Direct 100k</t>
        </is>
      </c>
      <c r="G168" s="18" t="n">
        <v>100000</v>
      </c>
      <c r="H168" s="18" t="n">
        <v>8000</v>
      </c>
      <c r="I168" s="18" t="n">
        <v>821580.15</v>
      </c>
      <c r="J168" s="12" t="inlineStr">
        <is>
          <t>10 % × 100,000 × split 80%</t>
        </is>
      </c>
    </row>
    <row r="169">
      <c r="A169" s="12" t="n">
        <v>168</v>
      </c>
      <c r="B169" s="15" t="n">
        <v>46492</v>
      </c>
      <c r="C169" s="16" t="n">
        <v>7</v>
      </c>
      <c r="D169" s="13" t="inlineStr">
        <is>
          <t>Payout</t>
        </is>
      </c>
      <c r="E169" s="12" t="inlineStr">
        <is>
          <t>Funding Traders</t>
        </is>
      </c>
      <c r="F169" s="12" t="inlineStr">
        <is>
          <t>#14 Instant-Direct 400k</t>
        </is>
      </c>
      <c r="G169" s="18" t="n">
        <v>400000</v>
      </c>
      <c r="H169" s="18" t="n">
        <v>40000</v>
      </c>
      <c r="I169" s="18" t="n">
        <v>861580.15</v>
      </c>
      <c r="J169" s="12" t="inlineStr">
        <is>
          <t>10 % × 400,000 × split 100%</t>
        </is>
      </c>
    </row>
    <row r="170">
      <c r="A170" s="12" t="n">
        <v>169</v>
      </c>
      <c r="B170" s="15" t="n">
        <v>46492</v>
      </c>
      <c r="C170" s="16" t="n">
        <v>7</v>
      </c>
      <c r="D170" s="13" t="inlineStr">
        <is>
          <t>Payout</t>
        </is>
      </c>
      <c r="E170" s="12" t="inlineStr">
        <is>
          <t>Blue Guardian</t>
        </is>
      </c>
      <c r="F170" s="12" t="inlineStr">
        <is>
          <t>#15 Instant-Direct 400k</t>
        </is>
      </c>
      <c r="G170" s="18" t="n">
        <v>400000</v>
      </c>
      <c r="H170" s="18" t="n">
        <v>32000</v>
      </c>
      <c r="I170" s="18" t="n">
        <v>893580.15</v>
      </c>
      <c r="J170" s="12" t="inlineStr">
        <is>
          <t>10 % × 400,000 × split 80%</t>
        </is>
      </c>
    </row>
    <row r="171">
      <c r="A171" s="12" t="n">
        <v>170</v>
      </c>
      <c r="B171" s="15" t="n">
        <v>46492</v>
      </c>
      <c r="C171" s="16" t="n">
        <v>7</v>
      </c>
      <c r="D171" s="13" t="inlineStr">
        <is>
          <t>Payout</t>
        </is>
      </c>
      <c r="E171" s="12" t="inlineStr">
        <is>
          <t>Finotive Futures</t>
        </is>
      </c>
      <c r="F171" s="12" t="inlineStr">
        <is>
          <t>#16 1 Step 150k</t>
        </is>
      </c>
      <c r="G171" s="18" t="n">
        <v>150000</v>
      </c>
      <c r="H171" s="18" t="n">
        <v>13500</v>
      </c>
      <c r="I171" s="18" t="n">
        <v>907080.15</v>
      </c>
      <c r="J171" s="12" t="inlineStr">
        <is>
          <t>10 % × 150,000 × split 90%</t>
        </is>
      </c>
    </row>
    <row r="172">
      <c r="A172" s="12" t="n">
        <v>171</v>
      </c>
      <c r="B172" s="15" t="n">
        <v>46492</v>
      </c>
      <c r="C172" s="16" t="n">
        <v>7</v>
      </c>
      <c r="D172" s="13" t="inlineStr">
        <is>
          <t>Payout</t>
        </is>
      </c>
      <c r="E172" s="12" t="inlineStr">
        <is>
          <t>Finotive Futures</t>
        </is>
      </c>
      <c r="F172" s="12" t="inlineStr">
        <is>
          <t>#17 1 Step 150k</t>
        </is>
      </c>
      <c r="G172" s="18" t="n">
        <v>150000</v>
      </c>
      <c r="H172" s="18" t="n">
        <v>13500</v>
      </c>
      <c r="I172" s="18" t="n">
        <v>920580.15</v>
      </c>
      <c r="J172" s="12" t="inlineStr">
        <is>
          <t>10 % × 150,000 × split 90%</t>
        </is>
      </c>
    </row>
    <row r="173">
      <c r="A173" s="12" t="n">
        <v>172</v>
      </c>
      <c r="B173" s="15" t="n">
        <v>46492</v>
      </c>
      <c r="C173" s="16" t="n">
        <v>7</v>
      </c>
      <c r="D173" s="13" t="inlineStr">
        <is>
          <t>Payout</t>
        </is>
      </c>
      <c r="E173" s="12" t="inlineStr">
        <is>
          <t>Finotive Futures</t>
        </is>
      </c>
      <c r="F173" s="12" t="inlineStr">
        <is>
          <t>#18 1 Step 150k</t>
        </is>
      </c>
      <c r="G173" s="18" t="n">
        <v>150000</v>
      </c>
      <c r="H173" s="18" t="n">
        <v>13500</v>
      </c>
      <c r="I173" s="18" t="n">
        <v>934080.15</v>
      </c>
      <c r="J173" s="12" t="inlineStr">
        <is>
          <t>10 % × 150,000 × split 90%</t>
        </is>
      </c>
    </row>
    <row r="174">
      <c r="A174" s="12" t="n">
        <v>173</v>
      </c>
      <c r="B174" s="15" t="n">
        <v>46492</v>
      </c>
      <c r="C174" s="16" t="n">
        <v>7</v>
      </c>
      <c r="D174" s="13" t="inlineStr">
        <is>
          <t>Payout</t>
        </is>
      </c>
      <c r="E174" s="12" t="inlineStr">
        <is>
          <t>Finotive Futures</t>
        </is>
      </c>
      <c r="F174" s="12" t="inlineStr">
        <is>
          <t>#19 1 Step 150k</t>
        </is>
      </c>
      <c r="G174" s="18" t="n">
        <v>150000</v>
      </c>
      <c r="H174" s="18" t="n">
        <v>13500</v>
      </c>
      <c r="I174" s="18" t="n">
        <v>947580.15</v>
      </c>
      <c r="J174" s="12" t="inlineStr">
        <is>
          <t>10 % × 150,000 × split 90%</t>
        </is>
      </c>
    </row>
    <row r="175">
      <c r="A175" s="12" t="n">
        <v>174</v>
      </c>
      <c r="B175" s="15" t="n">
        <v>46492</v>
      </c>
      <c r="C175" s="16" t="n">
        <v>7</v>
      </c>
      <c r="D175" s="13" t="inlineStr">
        <is>
          <t>Payout</t>
        </is>
      </c>
      <c r="E175" s="12" t="inlineStr">
        <is>
          <t>Finotive Futures</t>
        </is>
      </c>
      <c r="F175" s="12" t="inlineStr">
        <is>
          <t>#20 1 Step 150k</t>
        </is>
      </c>
      <c r="G175" s="18" t="n">
        <v>150000</v>
      </c>
      <c r="H175" s="18" t="n">
        <v>13500</v>
      </c>
      <c r="I175" s="18" t="n">
        <v>961080.15</v>
      </c>
      <c r="J175" s="12" t="inlineStr">
        <is>
          <t>10 % × 150,000 × split 90%</t>
        </is>
      </c>
    </row>
    <row r="176">
      <c r="A176" s="12" t="n">
        <v>175</v>
      </c>
      <c r="B176" s="15" t="n">
        <v>46492</v>
      </c>
      <c r="C176" s="16" t="n">
        <v>7</v>
      </c>
      <c r="D176" s="13" t="inlineStr">
        <is>
          <t>Payout</t>
        </is>
      </c>
      <c r="E176" s="12" t="inlineStr">
        <is>
          <t>Finotive Futures</t>
        </is>
      </c>
      <c r="F176" s="12" t="inlineStr">
        <is>
          <t>#21 1 Step 150k</t>
        </is>
      </c>
      <c r="G176" s="18" t="n">
        <v>150000</v>
      </c>
      <c r="H176" s="18" t="n">
        <v>13500</v>
      </c>
      <c r="I176" s="18" t="n">
        <v>974580.15</v>
      </c>
      <c r="J176" s="12" t="inlineStr">
        <is>
          <t>10 % × 150,000 × split 90%</t>
        </is>
      </c>
    </row>
    <row r="177">
      <c r="A177" s="12" t="n">
        <v>176</v>
      </c>
      <c r="B177" s="15" t="n">
        <v>46492</v>
      </c>
      <c r="C177" s="16" t="n">
        <v>7</v>
      </c>
      <c r="D177" s="13" t="inlineStr">
        <is>
          <t>Payout</t>
        </is>
      </c>
      <c r="E177" s="12" t="inlineStr">
        <is>
          <t>10FOUR</t>
        </is>
      </c>
      <c r="F177" s="12" t="inlineStr">
        <is>
          <t>#22 1 Step 150k</t>
        </is>
      </c>
      <c r="G177" s="18" t="n">
        <v>150000</v>
      </c>
      <c r="H177" s="18" t="n">
        <v>13500</v>
      </c>
      <c r="I177" s="18" t="n">
        <v>988080.15</v>
      </c>
      <c r="J177" s="12" t="inlineStr">
        <is>
          <t>10 % × 150,000 × split 90%</t>
        </is>
      </c>
    </row>
    <row r="178">
      <c r="A178" s="12" t="n">
        <v>177</v>
      </c>
      <c r="B178" s="15" t="n">
        <v>46492</v>
      </c>
      <c r="C178" s="16" t="n">
        <v>7</v>
      </c>
      <c r="D178" s="13" t="inlineStr">
        <is>
          <t>Payout</t>
        </is>
      </c>
      <c r="E178" s="12" t="inlineStr">
        <is>
          <t>10FOUR</t>
        </is>
      </c>
      <c r="F178" s="12" t="inlineStr">
        <is>
          <t>#23 1 Step 150k</t>
        </is>
      </c>
      <c r="G178" s="18" t="n">
        <v>150000</v>
      </c>
      <c r="H178" s="18" t="n">
        <v>13500</v>
      </c>
      <c r="I178" s="18" t="n">
        <v>1001580.15</v>
      </c>
      <c r="J178" s="12" t="inlineStr">
        <is>
          <t>10 % × 150,000 × split 90%</t>
        </is>
      </c>
    </row>
    <row r="179">
      <c r="A179" s="12" t="n">
        <v>178</v>
      </c>
      <c r="B179" s="15" t="n">
        <v>46492</v>
      </c>
      <c r="C179" s="16" t="n">
        <v>7</v>
      </c>
      <c r="D179" s="13" t="inlineStr">
        <is>
          <t>Payout</t>
        </is>
      </c>
      <c r="E179" s="12" t="inlineStr">
        <is>
          <t>10FOUR</t>
        </is>
      </c>
      <c r="F179" s="12" t="inlineStr">
        <is>
          <t>#24 1 Step 150k</t>
        </is>
      </c>
      <c r="G179" s="18" t="n">
        <v>150000</v>
      </c>
      <c r="H179" s="18" t="n">
        <v>13500</v>
      </c>
      <c r="I179" s="18" t="n">
        <v>1015080.15</v>
      </c>
      <c r="J179" s="12" t="inlineStr">
        <is>
          <t>10 % × 150,000 × split 90%</t>
        </is>
      </c>
    </row>
    <row r="180">
      <c r="A180" s="12" t="n">
        <v>179</v>
      </c>
      <c r="B180" s="15" t="n">
        <v>46492</v>
      </c>
      <c r="C180" s="16" t="n">
        <v>7</v>
      </c>
      <c r="D180" s="13" t="inlineStr">
        <is>
          <t>Payout</t>
        </is>
      </c>
      <c r="E180" s="12" t="inlineStr">
        <is>
          <t>10FOUR</t>
        </is>
      </c>
      <c r="F180" s="12" t="inlineStr">
        <is>
          <t>#25 1 Step 150k</t>
        </is>
      </c>
      <c r="G180" s="18" t="n">
        <v>150000</v>
      </c>
      <c r="H180" s="18" t="n">
        <v>13500</v>
      </c>
      <c r="I180" s="18" t="n">
        <v>1028580.15</v>
      </c>
      <c r="J180" s="12" t="inlineStr">
        <is>
          <t>10 % × 150,000 × split 90%</t>
        </is>
      </c>
    </row>
    <row r="181">
      <c r="A181" s="12" t="n">
        <v>180</v>
      </c>
      <c r="B181" s="15" t="n">
        <v>46492</v>
      </c>
      <c r="C181" s="16" t="n">
        <v>7</v>
      </c>
      <c r="D181" s="13" t="inlineStr">
        <is>
          <t>Payout</t>
        </is>
      </c>
      <c r="E181" s="12" t="inlineStr">
        <is>
          <t>10FOUR</t>
        </is>
      </c>
      <c r="F181" s="12" t="inlineStr">
        <is>
          <t>#26 1 Step 150k</t>
        </is>
      </c>
      <c r="G181" s="18" t="n">
        <v>150000</v>
      </c>
      <c r="H181" s="18" t="n">
        <v>13500</v>
      </c>
      <c r="I181" s="18" t="n">
        <v>1042080.15</v>
      </c>
      <c r="J181" s="12" t="inlineStr">
        <is>
          <t>10 % × 150,000 × split 90%</t>
        </is>
      </c>
    </row>
    <row r="182">
      <c r="A182" s="12" t="n">
        <v>181</v>
      </c>
      <c r="B182" s="15" t="n">
        <v>46492</v>
      </c>
      <c r="C182" s="16" t="n">
        <v>7</v>
      </c>
      <c r="D182" s="13" t="inlineStr">
        <is>
          <t>Payout</t>
        </is>
      </c>
      <c r="E182" s="12" t="inlineStr">
        <is>
          <t>Blue Guardian Futures</t>
        </is>
      </c>
      <c r="F182" s="12" t="inlineStr">
        <is>
          <t>#27 1 Step 100k</t>
        </is>
      </c>
      <c r="G182" s="18" t="n">
        <v>100000</v>
      </c>
      <c r="H182" s="18" t="n">
        <v>9000</v>
      </c>
      <c r="I182" s="18" t="n">
        <v>1051080.15</v>
      </c>
      <c r="J182" s="12" t="inlineStr">
        <is>
          <t>10 % × 100,000 × split 90%</t>
        </is>
      </c>
    </row>
    <row r="183">
      <c r="A183" s="12" t="n">
        <v>182</v>
      </c>
      <c r="B183" s="15" t="n">
        <v>46492</v>
      </c>
      <c r="C183" s="16" t="n">
        <v>7</v>
      </c>
      <c r="D183" s="13" t="inlineStr">
        <is>
          <t>Payout</t>
        </is>
      </c>
      <c r="E183" s="12" t="inlineStr">
        <is>
          <t>Blue Guardian Futures</t>
        </is>
      </c>
      <c r="F183" s="12" t="inlineStr">
        <is>
          <t>#28 1 Step 100k</t>
        </is>
      </c>
      <c r="G183" s="18" t="n">
        <v>100000</v>
      </c>
      <c r="H183" s="18" t="n">
        <v>9000</v>
      </c>
      <c r="I183" s="18" t="n">
        <v>1060080.15</v>
      </c>
      <c r="J183" s="12" t="inlineStr">
        <is>
          <t>10 % × 100,000 × split 90%</t>
        </is>
      </c>
    </row>
    <row r="184">
      <c r="A184" s="12" t="n">
        <v>183</v>
      </c>
      <c r="B184" s="15" t="n">
        <v>46492</v>
      </c>
      <c r="C184" s="16" t="n">
        <v>7</v>
      </c>
      <c r="D184" s="13" t="inlineStr">
        <is>
          <t>Payout</t>
        </is>
      </c>
      <c r="E184" s="12" t="inlineStr">
        <is>
          <t>Blue Guardian Futures</t>
        </is>
      </c>
      <c r="F184" s="12" t="inlineStr">
        <is>
          <t>#29 1 Step 100k</t>
        </is>
      </c>
      <c r="G184" s="18" t="n">
        <v>100000</v>
      </c>
      <c r="H184" s="18" t="n">
        <v>9000</v>
      </c>
      <c r="I184" s="18" t="n">
        <v>1069080.15</v>
      </c>
      <c r="J184" s="12" t="inlineStr">
        <is>
          <t>10 % × 100,000 × split 90%</t>
        </is>
      </c>
    </row>
    <row r="185">
      <c r="A185" s="12" t="n">
        <v>184</v>
      </c>
      <c r="B185" s="15" t="n">
        <v>46492</v>
      </c>
      <c r="C185" s="16" t="n">
        <v>7</v>
      </c>
      <c r="D185" s="13" t="inlineStr">
        <is>
          <t>Payout</t>
        </is>
      </c>
      <c r="E185" s="12" t="inlineStr">
        <is>
          <t>Blue Guardian Futures</t>
        </is>
      </c>
      <c r="F185" s="12" t="inlineStr">
        <is>
          <t>#30 1 Step 100k</t>
        </is>
      </c>
      <c r="G185" s="18" t="n">
        <v>100000</v>
      </c>
      <c r="H185" s="18" t="n">
        <v>9000</v>
      </c>
      <c r="I185" s="18" t="n">
        <v>1078080.15</v>
      </c>
      <c r="J185" s="12" t="inlineStr">
        <is>
          <t>10 % × 100,000 × split 90%</t>
        </is>
      </c>
    </row>
    <row r="186">
      <c r="A186" s="12" t="n">
        <v>185</v>
      </c>
      <c r="B186" s="15" t="n">
        <v>46492</v>
      </c>
      <c r="C186" s="16" t="n">
        <v>7</v>
      </c>
      <c r="D186" s="13" t="inlineStr">
        <is>
          <t>Payout</t>
        </is>
      </c>
      <c r="E186" s="12" t="inlineStr">
        <is>
          <t>Blue Guardian Futures</t>
        </is>
      </c>
      <c r="F186" s="12" t="inlineStr">
        <is>
          <t>#31 1 Step 100k</t>
        </is>
      </c>
      <c r="G186" s="18" t="n">
        <v>100000</v>
      </c>
      <c r="H186" s="18" t="n">
        <v>9000</v>
      </c>
      <c r="I186" s="18" t="n">
        <v>1087080.15</v>
      </c>
      <c r="J186" s="12" t="inlineStr">
        <is>
          <t>10 % × 100,000 × split 90%</t>
        </is>
      </c>
    </row>
    <row r="187">
      <c r="A187" s="12" t="n">
        <v>186</v>
      </c>
      <c r="B187" s="15" t="n">
        <v>46492</v>
      </c>
      <c r="C187" s="16" t="n">
        <v>7</v>
      </c>
      <c r="D187" s="13" t="inlineStr">
        <is>
          <t>Payout</t>
        </is>
      </c>
      <c r="E187" s="12" t="inlineStr">
        <is>
          <t>Blue Guardian Futures</t>
        </is>
      </c>
      <c r="F187" s="12" t="inlineStr">
        <is>
          <t>#32 1 Step 100k</t>
        </is>
      </c>
      <c r="G187" s="18" t="n">
        <v>100000</v>
      </c>
      <c r="H187" s="18" t="n">
        <v>9000</v>
      </c>
      <c r="I187" s="18" t="n">
        <v>1096080.15</v>
      </c>
      <c r="J187" s="12" t="inlineStr">
        <is>
          <t>10 % × 100,000 × split 90%</t>
        </is>
      </c>
    </row>
    <row r="188">
      <c r="A188" s="12" t="n">
        <v>187</v>
      </c>
      <c r="B188" s="15" t="n">
        <v>46492</v>
      </c>
      <c r="C188" s="16" t="n">
        <v>7</v>
      </c>
      <c r="D188" s="13" t="inlineStr">
        <is>
          <t>Payout</t>
        </is>
      </c>
      <c r="E188" s="12" t="inlineStr">
        <is>
          <t>Blue Guardian Futures</t>
        </is>
      </c>
      <c r="F188" s="12" t="inlineStr">
        <is>
          <t>#33 1 Step 100k</t>
        </is>
      </c>
      <c r="G188" s="18" t="n">
        <v>100000</v>
      </c>
      <c r="H188" s="18" t="n">
        <v>9000</v>
      </c>
      <c r="I188" s="18" t="n">
        <v>1105080.15</v>
      </c>
      <c r="J188" s="12" t="inlineStr">
        <is>
          <t>10 % × 100,000 × split 90%</t>
        </is>
      </c>
    </row>
    <row r="189">
      <c r="A189" s="12" t="n">
        <v>188</v>
      </c>
      <c r="B189" s="15" t="n">
        <v>46492</v>
      </c>
      <c r="C189" s="16" t="n">
        <v>7</v>
      </c>
      <c r="D189" s="13" t="inlineStr">
        <is>
          <t>Payout</t>
        </is>
      </c>
      <c r="E189" s="12" t="inlineStr">
        <is>
          <t>FTMO Futures</t>
        </is>
      </c>
      <c r="F189" s="12" t="inlineStr">
        <is>
          <t>#34 1 Step 150k</t>
        </is>
      </c>
      <c r="G189" s="18" t="n">
        <v>150000</v>
      </c>
      <c r="H189" s="18" t="n">
        <v>13500</v>
      </c>
      <c r="I189" s="18" t="n">
        <v>1118580.15</v>
      </c>
      <c r="J189" s="12" t="inlineStr">
        <is>
          <t>10 % × 150,000 × split 90%</t>
        </is>
      </c>
    </row>
    <row r="190">
      <c r="A190" s="12" t="n">
        <v>189</v>
      </c>
      <c r="B190" s="15" t="n">
        <v>46492</v>
      </c>
      <c r="C190" s="16" t="n">
        <v>7</v>
      </c>
      <c r="D190" s="13" t="inlineStr">
        <is>
          <t>Payout</t>
        </is>
      </c>
      <c r="E190" s="12" t="inlineStr">
        <is>
          <t>FTMO Futures</t>
        </is>
      </c>
      <c r="F190" s="12" t="inlineStr">
        <is>
          <t>#35 1 Step 150k</t>
        </is>
      </c>
      <c r="G190" s="18" t="n">
        <v>150000</v>
      </c>
      <c r="H190" s="18" t="n">
        <v>13500</v>
      </c>
      <c r="I190" s="18" t="n">
        <v>1132080.15</v>
      </c>
      <c r="J190" s="12" t="inlineStr">
        <is>
          <t>10 % × 150,000 × split 90%</t>
        </is>
      </c>
    </row>
    <row r="191">
      <c r="A191" s="12" t="n">
        <v>190</v>
      </c>
      <c r="B191" s="15" t="n">
        <v>46492</v>
      </c>
      <c r="C191" s="16" t="n">
        <v>7</v>
      </c>
      <c r="D191" s="13" t="inlineStr">
        <is>
          <t>Payout</t>
        </is>
      </c>
      <c r="E191" s="12" t="inlineStr">
        <is>
          <t>FTMO Futures</t>
        </is>
      </c>
      <c r="F191" s="12" t="inlineStr">
        <is>
          <t>#36 1 Step 150k</t>
        </is>
      </c>
      <c r="G191" s="18" t="n">
        <v>150000</v>
      </c>
      <c r="H191" s="18" t="n">
        <v>13500</v>
      </c>
      <c r="I191" s="18" t="n">
        <v>1145580.15</v>
      </c>
      <c r="J191" s="12" t="inlineStr">
        <is>
          <t>10 % × 150,000 × split 90%</t>
        </is>
      </c>
    </row>
    <row r="192">
      <c r="A192" s="12" t="n">
        <v>191</v>
      </c>
      <c r="B192" s="15" t="n">
        <v>46492</v>
      </c>
      <c r="C192" s="16" t="n">
        <v>7</v>
      </c>
      <c r="D192" s="13" t="inlineStr">
        <is>
          <t>Payout</t>
        </is>
      </c>
      <c r="E192" s="12" t="inlineStr">
        <is>
          <t>BrightFunded</t>
        </is>
      </c>
      <c r="F192" s="12" t="inlineStr">
        <is>
          <t>#37 1 Step 200k</t>
        </is>
      </c>
      <c r="G192" s="18" t="n">
        <v>200000</v>
      </c>
      <c r="H192" s="18" t="n">
        <v>20000</v>
      </c>
      <c r="I192" s="18" t="n">
        <v>1165580.15</v>
      </c>
      <c r="J192" s="12" t="inlineStr">
        <is>
          <t>10 % × 200,000 × split 100%</t>
        </is>
      </c>
    </row>
    <row r="193">
      <c r="A193" s="12" t="n">
        <v>192</v>
      </c>
      <c r="B193" s="15" t="n">
        <v>46492</v>
      </c>
      <c r="C193" s="16" t="n">
        <v>7</v>
      </c>
      <c r="D193" s="13" t="inlineStr">
        <is>
          <t>Payout</t>
        </is>
      </c>
      <c r="E193" s="12" t="inlineStr">
        <is>
          <t>BrightFunded</t>
        </is>
      </c>
      <c r="F193" s="12" t="inlineStr">
        <is>
          <t>#38 1 Step 200k</t>
        </is>
      </c>
      <c r="G193" s="18" t="n">
        <v>200000</v>
      </c>
      <c r="H193" s="18" t="n">
        <v>20000</v>
      </c>
      <c r="I193" s="18" t="n">
        <v>1185580.15</v>
      </c>
      <c r="J193" s="12" t="inlineStr">
        <is>
          <t>10 % × 200,000 × split 100%</t>
        </is>
      </c>
    </row>
    <row r="194">
      <c r="A194" s="12" t="n">
        <v>193</v>
      </c>
      <c r="B194" s="15" t="n">
        <v>46492</v>
      </c>
      <c r="C194" s="16" t="n">
        <v>7</v>
      </c>
      <c r="D194" s="13" t="inlineStr">
        <is>
          <t>Payout</t>
        </is>
      </c>
      <c r="E194" s="12" t="inlineStr">
        <is>
          <t>FTMO</t>
        </is>
      </c>
      <c r="F194" s="12" t="inlineStr">
        <is>
          <t>#39 1 Step 200k</t>
        </is>
      </c>
      <c r="G194" s="18" t="n">
        <v>200000</v>
      </c>
      <c r="H194" s="18" t="n">
        <v>16000</v>
      </c>
      <c r="I194" s="18" t="n">
        <v>1201580.15</v>
      </c>
      <c r="J194" s="12" t="inlineStr">
        <is>
          <t>10 % × 200,000 × split 80%</t>
        </is>
      </c>
    </row>
    <row r="195">
      <c r="A195" s="12" t="n">
        <v>194</v>
      </c>
      <c r="B195" s="15" t="n">
        <v>46492</v>
      </c>
      <c r="C195" s="16" t="n">
        <v>7</v>
      </c>
      <c r="D195" s="13" t="inlineStr">
        <is>
          <t>Payout</t>
        </is>
      </c>
      <c r="E195" s="12" t="inlineStr">
        <is>
          <t>FTMO</t>
        </is>
      </c>
      <c r="F195" s="12" t="inlineStr">
        <is>
          <t>#40 1 Step 200k</t>
        </is>
      </c>
      <c r="G195" s="18" t="n">
        <v>200000</v>
      </c>
      <c r="H195" s="18" t="n">
        <v>16000</v>
      </c>
      <c r="I195" s="18" t="n">
        <v>1217580.15</v>
      </c>
      <c r="J195" s="12" t="inlineStr">
        <is>
          <t>10 % × 200,000 × split 80%</t>
        </is>
      </c>
    </row>
    <row r="196">
      <c r="A196" s="12" t="n">
        <v>195</v>
      </c>
      <c r="B196" s="15" t="n">
        <v>46506</v>
      </c>
      <c r="C196" s="16" t="n">
        <v>7.5</v>
      </c>
      <c r="D196" s="13" t="inlineStr">
        <is>
          <t>Payout</t>
        </is>
      </c>
      <c r="E196" s="12" t="inlineStr">
        <is>
          <t>Fundora</t>
        </is>
      </c>
      <c r="F196" s="12" t="inlineStr">
        <is>
          <t>#41 2 Step 400k</t>
        </is>
      </c>
      <c r="G196" s="18" t="n">
        <v>400000</v>
      </c>
      <c r="H196" s="18" t="n">
        <v>32000</v>
      </c>
      <c r="I196" s="18" t="n">
        <v>1249580.15</v>
      </c>
      <c r="J196" s="12" t="inlineStr">
        <is>
          <t>10 % × 400,000 × split 80%</t>
        </is>
      </c>
    </row>
    <row r="197">
      <c r="A197" s="12" t="n">
        <v>196</v>
      </c>
      <c r="B197" s="15" t="n">
        <v>46520</v>
      </c>
      <c r="C197" s="16" t="n">
        <v>8</v>
      </c>
      <c r="D197" s="13" t="inlineStr">
        <is>
          <t>Payout</t>
        </is>
      </c>
      <c r="E197" s="12" t="inlineStr">
        <is>
          <t>FundedNext</t>
        </is>
      </c>
      <c r="F197" s="12" t="inlineStr">
        <is>
          <t>#1 Départ 10k</t>
        </is>
      </c>
      <c r="G197" s="18" t="n">
        <v>10000</v>
      </c>
      <c r="H197" s="18" t="n">
        <v>800</v>
      </c>
      <c r="I197" s="18" t="n">
        <v>1250380.15</v>
      </c>
      <c r="J197" s="12" t="inlineStr">
        <is>
          <t>10 % × 10,000 × split 80%</t>
        </is>
      </c>
    </row>
    <row r="198">
      <c r="A198" s="12" t="n">
        <v>197</v>
      </c>
      <c r="B198" s="15" t="n">
        <v>46520</v>
      </c>
      <c r="C198" s="16" t="n">
        <v>8</v>
      </c>
      <c r="D198" s="13" t="inlineStr">
        <is>
          <t>Payout</t>
        </is>
      </c>
      <c r="E198" s="12" t="inlineStr">
        <is>
          <t>Hex Funded</t>
        </is>
      </c>
      <c r="F198" s="12" t="inlineStr">
        <is>
          <t>#2 Instant-Direct 100k</t>
        </is>
      </c>
      <c r="G198" s="18" t="n">
        <v>100000</v>
      </c>
      <c r="H198" s="18" t="n">
        <v>9000</v>
      </c>
      <c r="I198" s="18" t="n">
        <v>1259380.15</v>
      </c>
      <c r="J198" s="12" t="inlineStr">
        <is>
          <t>10 % × 100,000 × split 90%</t>
        </is>
      </c>
    </row>
    <row r="199">
      <c r="A199" s="12" t="n">
        <v>198</v>
      </c>
      <c r="B199" s="15" t="n">
        <v>46520</v>
      </c>
      <c r="C199" s="16" t="n">
        <v>8</v>
      </c>
      <c r="D199" s="13" t="inlineStr">
        <is>
          <t>Payout</t>
        </is>
      </c>
      <c r="E199" s="12" t="inlineStr">
        <is>
          <t>Kickstart Trading</t>
        </is>
      </c>
      <c r="F199" s="12" t="inlineStr">
        <is>
          <t>#3 Instant-Direct 100k</t>
        </is>
      </c>
      <c r="G199" s="18" t="n">
        <v>100000</v>
      </c>
      <c r="H199" s="18" t="n">
        <v>8000</v>
      </c>
      <c r="I199" s="18" t="n">
        <v>1267380.15</v>
      </c>
      <c r="J199" s="12" t="inlineStr">
        <is>
          <t>10 % × 100,000 × split 80%</t>
        </is>
      </c>
    </row>
    <row r="200">
      <c r="A200" s="12" t="n">
        <v>199</v>
      </c>
      <c r="B200" s="15" t="n">
        <v>46520</v>
      </c>
      <c r="C200" s="16" t="n">
        <v>8</v>
      </c>
      <c r="D200" s="13" t="inlineStr">
        <is>
          <t>Payout</t>
        </is>
      </c>
      <c r="E200" s="12" t="inlineStr">
        <is>
          <t>Kickstart Trading</t>
        </is>
      </c>
      <c r="F200" s="12" t="inlineStr">
        <is>
          <t>#4 Instant-Direct 100k</t>
        </is>
      </c>
      <c r="G200" s="18" t="n">
        <v>100000</v>
      </c>
      <c r="H200" s="18" t="n">
        <v>8000</v>
      </c>
      <c r="I200" s="18" t="n">
        <v>1275380.15</v>
      </c>
      <c r="J200" s="12" t="inlineStr">
        <is>
          <t>10 % × 100,000 × split 80%</t>
        </is>
      </c>
    </row>
    <row r="201">
      <c r="A201" s="12" t="n">
        <v>200</v>
      </c>
      <c r="B201" s="15" t="n">
        <v>46520</v>
      </c>
      <c r="C201" s="16" t="n">
        <v>8</v>
      </c>
      <c r="D201" s="13" t="inlineStr">
        <is>
          <t>Payout</t>
        </is>
      </c>
      <c r="E201" s="12" t="inlineStr">
        <is>
          <t>Kickstart Trading</t>
        </is>
      </c>
      <c r="F201" s="12" t="inlineStr">
        <is>
          <t>#5 Instant-Direct 100k</t>
        </is>
      </c>
      <c r="G201" s="18" t="n">
        <v>100000</v>
      </c>
      <c r="H201" s="18" t="n">
        <v>8000</v>
      </c>
      <c r="I201" s="18" t="n">
        <v>1283380.15</v>
      </c>
      <c r="J201" s="12" t="inlineStr">
        <is>
          <t>10 % × 100,000 × split 80%</t>
        </is>
      </c>
    </row>
    <row r="202">
      <c r="A202" s="12" t="n">
        <v>201</v>
      </c>
      <c r="B202" s="15" t="n">
        <v>46520</v>
      </c>
      <c r="C202" s="16" t="n">
        <v>8</v>
      </c>
      <c r="D202" s="13" t="inlineStr">
        <is>
          <t>Payout</t>
        </is>
      </c>
      <c r="E202" s="12" t="inlineStr">
        <is>
          <t>Kickstart Trading</t>
        </is>
      </c>
      <c r="F202" s="12" t="inlineStr">
        <is>
          <t>#6 Instant-Direct 100k</t>
        </is>
      </c>
      <c r="G202" s="18" t="n">
        <v>100000</v>
      </c>
      <c r="H202" s="18" t="n">
        <v>8000</v>
      </c>
      <c r="I202" s="18" t="n">
        <v>1291380.15</v>
      </c>
      <c r="J202" s="12" t="inlineStr">
        <is>
          <t>10 % × 100,000 × split 80%</t>
        </is>
      </c>
    </row>
    <row r="203">
      <c r="A203" s="12" t="n">
        <v>202</v>
      </c>
      <c r="B203" s="15" t="n">
        <v>46520</v>
      </c>
      <c r="C203" s="16" t="n">
        <v>8</v>
      </c>
      <c r="D203" s="13" t="inlineStr">
        <is>
          <t>Payout</t>
        </is>
      </c>
      <c r="E203" s="12" t="inlineStr">
        <is>
          <t>Kickstart Trading</t>
        </is>
      </c>
      <c r="F203" s="12" t="inlineStr">
        <is>
          <t>#7 Instant-Direct 100k</t>
        </is>
      </c>
      <c r="G203" s="18" t="n">
        <v>100000</v>
      </c>
      <c r="H203" s="18" t="n">
        <v>8000</v>
      </c>
      <c r="I203" s="18" t="n">
        <v>1299380.15</v>
      </c>
      <c r="J203" s="12" t="inlineStr">
        <is>
          <t>10 % × 100,000 × split 80%</t>
        </is>
      </c>
    </row>
    <row r="204">
      <c r="A204" s="12" t="n">
        <v>203</v>
      </c>
      <c r="B204" s="15" t="n">
        <v>46520</v>
      </c>
      <c r="C204" s="16" t="n">
        <v>8</v>
      </c>
      <c r="D204" s="13" t="inlineStr">
        <is>
          <t>Payout</t>
        </is>
      </c>
      <c r="E204" s="12" t="inlineStr">
        <is>
          <t>Kickstart Trading</t>
        </is>
      </c>
      <c r="F204" s="12" t="inlineStr">
        <is>
          <t>#8 Instant-Direct 100k</t>
        </is>
      </c>
      <c r="G204" s="18" t="n">
        <v>100000</v>
      </c>
      <c r="H204" s="18" t="n">
        <v>8000</v>
      </c>
      <c r="I204" s="18" t="n">
        <v>1307380.15</v>
      </c>
      <c r="J204" s="12" t="inlineStr">
        <is>
          <t>10 % × 100,000 × split 80%</t>
        </is>
      </c>
    </row>
    <row r="205">
      <c r="A205" s="12" t="n">
        <v>204</v>
      </c>
      <c r="B205" s="15" t="n">
        <v>46520</v>
      </c>
      <c r="C205" s="16" t="n">
        <v>8</v>
      </c>
      <c r="D205" s="13" t="inlineStr">
        <is>
          <t>Payout</t>
        </is>
      </c>
      <c r="E205" s="12" t="inlineStr">
        <is>
          <t>Kickstart Trading</t>
        </is>
      </c>
      <c r="F205" s="12" t="inlineStr">
        <is>
          <t>#9 Instant-Direct 100k</t>
        </is>
      </c>
      <c r="G205" s="18" t="n">
        <v>100000</v>
      </c>
      <c r="H205" s="18" t="n">
        <v>8000</v>
      </c>
      <c r="I205" s="18" t="n">
        <v>1315380.15</v>
      </c>
      <c r="J205" s="12" t="inlineStr">
        <is>
          <t>10 % × 100,000 × split 80%</t>
        </is>
      </c>
    </row>
    <row r="206">
      <c r="A206" s="12" t="n">
        <v>205</v>
      </c>
      <c r="B206" s="15" t="n">
        <v>46520</v>
      </c>
      <c r="C206" s="16" t="n">
        <v>8</v>
      </c>
      <c r="D206" s="13" t="inlineStr">
        <is>
          <t>Payout</t>
        </is>
      </c>
      <c r="E206" s="12" t="inlineStr">
        <is>
          <t>FundingRock</t>
        </is>
      </c>
      <c r="F206" s="12" t="inlineStr">
        <is>
          <t>#10 Instant-Direct 100k</t>
        </is>
      </c>
      <c r="G206" s="18" t="n">
        <v>100000</v>
      </c>
      <c r="H206" s="18" t="n">
        <v>8000</v>
      </c>
      <c r="I206" s="18" t="n">
        <v>1323380.15</v>
      </c>
      <c r="J206" s="12" t="inlineStr">
        <is>
          <t>10 % × 100,000 × split 80%</t>
        </is>
      </c>
    </row>
    <row r="207">
      <c r="A207" s="12" t="n">
        <v>206</v>
      </c>
      <c r="B207" s="15" t="n">
        <v>46520</v>
      </c>
      <c r="C207" s="16" t="n">
        <v>8</v>
      </c>
      <c r="D207" s="13" t="inlineStr">
        <is>
          <t>Payout</t>
        </is>
      </c>
      <c r="E207" s="12" t="inlineStr">
        <is>
          <t>Kickstart Trading</t>
        </is>
      </c>
      <c r="F207" s="12" t="inlineStr">
        <is>
          <t>#11 Instant-Direct 100k</t>
        </is>
      </c>
      <c r="G207" s="18" t="n">
        <v>100000</v>
      </c>
      <c r="H207" s="18" t="n">
        <v>8000</v>
      </c>
      <c r="I207" s="18" t="n">
        <v>1331380.15</v>
      </c>
      <c r="J207" s="12" t="inlineStr">
        <is>
          <t>10 % × 100,000 × split 80%</t>
        </is>
      </c>
    </row>
    <row r="208">
      <c r="A208" s="12" t="n">
        <v>207</v>
      </c>
      <c r="B208" s="15" t="n">
        <v>46520</v>
      </c>
      <c r="C208" s="16" t="n">
        <v>8</v>
      </c>
      <c r="D208" s="13" t="inlineStr">
        <is>
          <t>Payout</t>
        </is>
      </c>
      <c r="E208" s="12" t="inlineStr">
        <is>
          <t>Kickstart Trading</t>
        </is>
      </c>
      <c r="F208" s="12" t="inlineStr">
        <is>
          <t>#12 Instant-Direct 100k</t>
        </is>
      </c>
      <c r="G208" s="18" t="n">
        <v>100000</v>
      </c>
      <c r="H208" s="18" t="n">
        <v>8000</v>
      </c>
      <c r="I208" s="18" t="n">
        <v>1339380.15</v>
      </c>
      <c r="J208" s="12" t="inlineStr">
        <is>
          <t>10 % × 100,000 × split 80%</t>
        </is>
      </c>
    </row>
    <row r="209">
      <c r="A209" s="12" t="n">
        <v>208</v>
      </c>
      <c r="B209" s="15" t="n">
        <v>46520</v>
      </c>
      <c r="C209" s="16" t="n">
        <v>8</v>
      </c>
      <c r="D209" s="13" t="inlineStr">
        <is>
          <t>Payout</t>
        </is>
      </c>
      <c r="E209" s="12" t="inlineStr">
        <is>
          <t>Kickstart Trading</t>
        </is>
      </c>
      <c r="F209" s="12" t="inlineStr">
        <is>
          <t>#13 Instant-Direct 100k</t>
        </is>
      </c>
      <c r="G209" s="18" t="n">
        <v>100000</v>
      </c>
      <c r="H209" s="18" t="n">
        <v>8000</v>
      </c>
      <c r="I209" s="18" t="n">
        <v>1347380.15</v>
      </c>
      <c r="J209" s="12" t="inlineStr">
        <is>
          <t>10 % × 100,000 × split 80%</t>
        </is>
      </c>
    </row>
    <row r="210">
      <c r="A210" s="12" t="n">
        <v>209</v>
      </c>
      <c r="B210" s="15" t="n">
        <v>46520</v>
      </c>
      <c r="C210" s="16" t="n">
        <v>8</v>
      </c>
      <c r="D210" s="13" t="inlineStr">
        <is>
          <t>Payout</t>
        </is>
      </c>
      <c r="E210" s="12" t="inlineStr">
        <is>
          <t>Funding Traders</t>
        </is>
      </c>
      <c r="F210" s="12" t="inlineStr">
        <is>
          <t>#14 Instant-Direct 400k</t>
        </is>
      </c>
      <c r="G210" s="18" t="n">
        <v>400000</v>
      </c>
      <c r="H210" s="18" t="n">
        <v>40000</v>
      </c>
      <c r="I210" s="18" t="n">
        <v>1387380.15</v>
      </c>
      <c r="J210" s="12" t="inlineStr">
        <is>
          <t>10 % × 400,000 × split 100%</t>
        </is>
      </c>
    </row>
    <row r="211">
      <c r="A211" s="12" t="n">
        <v>210</v>
      </c>
      <c r="B211" s="15" t="n">
        <v>46520</v>
      </c>
      <c r="C211" s="16" t="n">
        <v>8</v>
      </c>
      <c r="D211" s="13" t="inlineStr">
        <is>
          <t>Payout</t>
        </is>
      </c>
      <c r="E211" s="12" t="inlineStr">
        <is>
          <t>Blue Guardian</t>
        </is>
      </c>
      <c r="F211" s="12" t="inlineStr">
        <is>
          <t>#15 Instant-Direct 400k</t>
        </is>
      </c>
      <c r="G211" s="18" t="n">
        <v>400000</v>
      </c>
      <c r="H211" s="18" t="n">
        <v>32000</v>
      </c>
      <c r="I211" s="18" t="n">
        <v>1419380.15</v>
      </c>
      <c r="J211" s="12" t="inlineStr">
        <is>
          <t>10 % × 400,000 × split 80%</t>
        </is>
      </c>
    </row>
    <row r="212">
      <c r="A212" s="12" t="n">
        <v>211</v>
      </c>
      <c r="B212" s="15" t="n">
        <v>46520</v>
      </c>
      <c r="C212" s="16" t="n">
        <v>8</v>
      </c>
      <c r="D212" s="13" t="inlineStr">
        <is>
          <t>Payout</t>
        </is>
      </c>
      <c r="E212" s="12" t="inlineStr">
        <is>
          <t>Finotive Futures</t>
        </is>
      </c>
      <c r="F212" s="12" t="inlineStr">
        <is>
          <t>#16 1 Step 150k</t>
        </is>
      </c>
      <c r="G212" s="18" t="n">
        <v>150000</v>
      </c>
      <c r="H212" s="18" t="n">
        <v>13500</v>
      </c>
      <c r="I212" s="18" t="n">
        <v>1432880.15</v>
      </c>
      <c r="J212" s="12" t="inlineStr">
        <is>
          <t>10 % × 150,000 × split 90%</t>
        </is>
      </c>
    </row>
    <row r="213">
      <c r="A213" s="12" t="n">
        <v>212</v>
      </c>
      <c r="B213" s="15" t="n">
        <v>46520</v>
      </c>
      <c r="C213" s="16" t="n">
        <v>8</v>
      </c>
      <c r="D213" s="13" t="inlineStr">
        <is>
          <t>Payout</t>
        </is>
      </c>
      <c r="E213" s="12" t="inlineStr">
        <is>
          <t>Finotive Futures</t>
        </is>
      </c>
      <c r="F213" s="12" t="inlineStr">
        <is>
          <t>#17 1 Step 150k</t>
        </is>
      </c>
      <c r="G213" s="18" t="n">
        <v>150000</v>
      </c>
      <c r="H213" s="18" t="n">
        <v>13500</v>
      </c>
      <c r="I213" s="18" t="n">
        <v>1446380.15</v>
      </c>
      <c r="J213" s="12" t="inlineStr">
        <is>
          <t>10 % × 150,000 × split 90%</t>
        </is>
      </c>
    </row>
    <row r="214">
      <c r="A214" s="12" t="n">
        <v>213</v>
      </c>
      <c r="B214" s="15" t="n">
        <v>46520</v>
      </c>
      <c r="C214" s="16" t="n">
        <v>8</v>
      </c>
      <c r="D214" s="13" t="inlineStr">
        <is>
          <t>Payout</t>
        </is>
      </c>
      <c r="E214" s="12" t="inlineStr">
        <is>
          <t>Finotive Futures</t>
        </is>
      </c>
      <c r="F214" s="12" t="inlineStr">
        <is>
          <t>#18 1 Step 150k</t>
        </is>
      </c>
      <c r="G214" s="18" t="n">
        <v>150000</v>
      </c>
      <c r="H214" s="18" t="n">
        <v>13500</v>
      </c>
      <c r="I214" s="18" t="n">
        <v>1459880.15</v>
      </c>
      <c r="J214" s="12" t="inlineStr">
        <is>
          <t>10 % × 150,000 × split 90%</t>
        </is>
      </c>
    </row>
    <row r="215">
      <c r="A215" s="12" t="n">
        <v>214</v>
      </c>
      <c r="B215" s="15" t="n">
        <v>46520</v>
      </c>
      <c r="C215" s="16" t="n">
        <v>8</v>
      </c>
      <c r="D215" s="13" t="inlineStr">
        <is>
          <t>Payout</t>
        </is>
      </c>
      <c r="E215" s="12" t="inlineStr">
        <is>
          <t>Finotive Futures</t>
        </is>
      </c>
      <c r="F215" s="12" t="inlineStr">
        <is>
          <t>#19 1 Step 150k</t>
        </is>
      </c>
      <c r="G215" s="18" t="n">
        <v>150000</v>
      </c>
      <c r="H215" s="18" t="n">
        <v>13500</v>
      </c>
      <c r="I215" s="18" t="n">
        <v>1473380.15</v>
      </c>
      <c r="J215" s="12" t="inlineStr">
        <is>
          <t>10 % × 150,000 × split 90%</t>
        </is>
      </c>
    </row>
    <row r="216">
      <c r="A216" s="12" t="n">
        <v>215</v>
      </c>
      <c r="B216" s="15" t="n">
        <v>46520</v>
      </c>
      <c r="C216" s="16" t="n">
        <v>8</v>
      </c>
      <c r="D216" s="13" t="inlineStr">
        <is>
          <t>Payout</t>
        </is>
      </c>
      <c r="E216" s="12" t="inlineStr">
        <is>
          <t>Finotive Futures</t>
        </is>
      </c>
      <c r="F216" s="12" t="inlineStr">
        <is>
          <t>#20 1 Step 150k</t>
        </is>
      </c>
      <c r="G216" s="18" t="n">
        <v>150000</v>
      </c>
      <c r="H216" s="18" t="n">
        <v>13500</v>
      </c>
      <c r="I216" s="18" t="n">
        <v>1486880.15</v>
      </c>
      <c r="J216" s="12" t="inlineStr">
        <is>
          <t>10 % × 150,000 × split 90%</t>
        </is>
      </c>
    </row>
    <row r="217">
      <c r="A217" s="12" t="n">
        <v>216</v>
      </c>
      <c r="B217" s="15" t="n">
        <v>46520</v>
      </c>
      <c r="C217" s="16" t="n">
        <v>8</v>
      </c>
      <c r="D217" s="13" t="inlineStr">
        <is>
          <t>Payout</t>
        </is>
      </c>
      <c r="E217" s="12" t="inlineStr">
        <is>
          <t>Finotive Futures</t>
        </is>
      </c>
      <c r="F217" s="12" t="inlineStr">
        <is>
          <t>#21 1 Step 150k</t>
        </is>
      </c>
      <c r="G217" s="18" t="n">
        <v>150000</v>
      </c>
      <c r="H217" s="18" t="n">
        <v>13500</v>
      </c>
      <c r="I217" s="18" t="n">
        <v>1500380.15</v>
      </c>
      <c r="J217" s="12" t="inlineStr">
        <is>
          <t>10 % × 150,000 × split 90%</t>
        </is>
      </c>
    </row>
    <row r="218">
      <c r="A218" s="12" t="n">
        <v>217</v>
      </c>
      <c r="B218" s="15" t="n">
        <v>46520</v>
      </c>
      <c r="C218" s="16" t="n">
        <v>8</v>
      </c>
      <c r="D218" s="13" t="inlineStr">
        <is>
          <t>Payout</t>
        </is>
      </c>
      <c r="E218" s="12" t="inlineStr">
        <is>
          <t>10FOUR</t>
        </is>
      </c>
      <c r="F218" s="12" t="inlineStr">
        <is>
          <t>#22 1 Step 150k</t>
        </is>
      </c>
      <c r="G218" s="18" t="n">
        <v>150000</v>
      </c>
      <c r="H218" s="18" t="n">
        <v>13500</v>
      </c>
      <c r="I218" s="18" t="n">
        <v>1513880.15</v>
      </c>
      <c r="J218" s="12" t="inlineStr">
        <is>
          <t>10 % × 150,000 × split 90%</t>
        </is>
      </c>
    </row>
    <row r="219">
      <c r="A219" s="12" t="n">
        <v>218</v>
      </c>
      <c r="B219" s="15" t="n">
        <v>46520</v>
      </c>
      <c r="C219" s="16" t="n">
        <v>8</v>
      </c>
      <c r="D219" s="13" t="inlineStr">
        <is>
          <t>Payout</t>
        </is>
      </c>
      <c r="E219" s="12" t="inlineStr">
        <is>
          <t>10FOUR</t>
        </is>
      </c>
      <c r="F219" s="12" t="inlineStr">
        <is>
          <t>#23 1 Step 150k</t>
        </is>
      </c>
      <c r="G219" s="18" t="n">
        <v>150000</v>
      </c>
      <c r="H219" s="18" t="n">
        <v>13500</v>
      </c>
      <c r="I219" s="18" t="n">
        <v>1527380.15</v>
      </c>
      <c r="J219" s="12" t="inlineStr">
        <is>
          <t>10 % × 150,000 × split 90%</t>
        </is>
      </c>
    </row>
    <row r="220">
      <c r="A220" s="12" t="n">
        <v>219</v>
      </c>
      <c r="B220" s="15" t="n">
        <v>46520</v>
      </c>
      <c r="C220" s="16" t="n">
        <v>8</v>
      </c>
      <c r="D220" s="13" t="inlineStr">
        <is>
          <t>Payout</t>
        </is>
      </c>
      <c r="E220" s="12" t="inlineStr">
        <is>
          <t>10FOUR</t>
        </is>
      </c>
      <c r="F220" s="12" t="inlineStr">
        <is>
          <t>#24 1 Step 150k</t>
        </is>
      </c>
      <c r="G220" s="18" t="n">
        <v>150000</v>
      </c>
      <c r="H220" s="18" t="n">
        <v>13500</v>
      </c>
      <c r="I220" s="18" t="n">
        <v>1540880.15</v>
      </c>
      <c r="J220" s="12" t="inlineStr">
        <is>
          <t>10 % × 150,000 × split 90%</t>
        </is>
      </c>
    </row>
    <row r="221">
      <c r="A221" s="12" t="n">
        <v>220</v>
      </c>
      <c r="B221" s="15" t="n">
        <v>46520</v>
      </c>
      <c r="C221" s="16" t="n">
        <v>8</v>
      </c>
      <c r="D221" s="13" t="inlineStr">
        <is>
          <t>Payout</t>
        </is>
      </c>
      <c r="E221" s="12" t="inlineStr">
        <is>
          <t>10FOUR</t>
        </is>
      </c>
      <c r="F221" s="12" t="inlineStr">
        <is>
          <t>#25 1 Step 150k</t>
        </is>
      </c>
      <c r="G221" s="18" t="n">
        <v>150000</v>
      </c>
      <c r="H221" s="18" t="n">
        <v>13500</v>
      </c>
      <c r="I221" s="18" t="n">
        <v>1554380.15</v>
      </c>
      <c r="J221" s="12" t="inlineStr">
        <is>
          <t>10 % × 150,000 × split 90%</t>
        </is>
      </c>
    </row>
    <row r="222">
      <c r="A222" s="12" t="n">
        <v>221</v>
      </c>
      <c r="B222" s="15" t="n">
        <v>46520</v>
      </c>
      <c r="C222" s="16" t="n">
        <v>8</v>
      </c>
      <c r="D222" s="13" t="inlineStr">
        <is>
          <t>Payout</t>
        </is>
      </c>
      <c r="E222" s="12" t="inlineStr">
        <is>
          <t>10FOUR</t>
        </is>
      </c>
      <c r="F222" s="12" t="inlineStr">
        <is>
          <t>#26 1 Step 150k</t>
        </is>
      </c>
      <c r="G222" s="18" t="n">
        <v>150000</v>
      </c>
      <c r="H222" s="18" t="n">
        <v>13500</v>
      </c>
      <c r="I222" s="18" t="n">
        <v>1567880.15</v>
      </c>
      <c r="J222" s="12" t="inlineStr">
        <is>
          <t>10 % × 150,000 × split 90%</t>
        </is>
      </c>
    </row>
    <row r="223">
      <c r="A223" s="12" t="n">
        <v>222</v>
      </c>
      <c r="B223" s="15" t="n">
        <v>46520</v>
      </c>
      <c r="C223" s="16" t="n">
        <v>8</v>
      </c>
      <c r="D223" s="13" t="inlineStr">
        <is>
          <t>Payout</t>
        </is>
      </c>
      <c r="E223" s="12" t="inlineStr">
        <is>
          <t>Blue Guardian Futures</t>
        </is>
      </c>
      <c r="F223" s="12" t="inlineStr">
        <is>
          <t>#27 1 Step 100k</t>
        </is>
      </c>
      <c r="G223" s="18" t="n">
        <v>100000</v>
      </c>
      <c r="H223" s="18" t="n">
        <v>9000</v>
      </c>
      <c r="I223" s="18" t="n">
        <v>1576880.15</v>
      </c>
      <c r="J223" s="12" t="inlineStr">
        <is>
          <t>10 % × 100,000 × split 90%</t>
        </is>
      </c>
    </row>
    <row r="224">
      <c r="A224" s="12" t="n">
        <v>223</v>
      </c>
      <c r="B224" s="15" t="n">
        <v>46520</v>
      </c>
      <c r="C224" s="16" t="n">
        <v>8</v>
      </c>
      <c r="D224" s="13" t="inlineStr">
        <is>
          <t>Payout</t>
        </is>
      </c>
      <c r="E224" s="12" t="inlineStr">
        <is>
          <t>Blue Guardian Futures</t>
        </is>
      </c>
      <c r="F224" s="12" t="inlineStr">
        <is>
          <t>#28 1 Step 100k</t>
        </is>
      </c>
      <c r="G224" s="18" t="n">
        <v>100000</v>
      </c>
      <c r="H224" s="18" t="n">
        <v>9000</v>
      </c>
      <c r="I224" s="18" t="n">
        <v>1585880.15</v>
      </c>
      <c r="J224" s="12" t="inlineStr">
        <is>
          <t>10 % × 100,000 × split 90%</t>
        </is>
      </c>
    </row>
    <row r="225">
      <c r="A225" s="12" t="n">
        <v>224</v>
      </c>
      <c r="B225" s="15" t="n">
        <v>46520</v>
      </c>
      <c r="C225" s="16" t="n">
        <v>8</v>
      </c>
      <c r="D225" s="13" t="inlineStr">
        <is>
          <t>Payout</t>
        </is>
      </c>
      <c r="E225" s="12" t="inlineStr">
        <is>
          <t>Blue Guardian Futures</t>
        </is>
      </c>
      <c r="F225" s="12" t="inlineStr">
        <is>
          <t>#29 1 Step 100k</t>
        </is>
      </c>
      <c r="G225" s="18" t="n">
        <v>100000</v>
      </c>
      <c r="H225" s="18" t="n">
        <v>9000</v>
      </c>
      <c r="I225" s="18" t="n">
        <v>1594880.15</v>
      </c>
      <c r="J225" s="12" t="inlineStr">
        <is>
          <t>10 % × 100,000 × split 90%</t>
        </is>
      </c>
    </row>
    <row r="226">
      <c r="A226" s="12" t="n">
        <v>225</v>
      </c>
      <c r="B226" s="15" t="n">
        <v>46520</v>
      </c>
      <c r="C226" s="16" t="n">
        <v>8</v>
      </c>
      <c r="D226" s="13" t="inlineStr">
        <is>
          <t>Payout</t>
        </is>
      </c>
      <c r="E226" s="12" t="inlineStr">
        <is>
          <t>Blue Guardian Futures</t>
        </is>
      </c>
      <c r="F226" s="12" t="inlineStr">
        <is>
          <t>#30 1 Step 100k</t>
        </is>
      </c>
      <c r="G226" s="18" t="n">
        <v>100000</v>
      </c>
      <c r="H226" s="18" t="n">
        <v>9000</v>
      </c>
      <c r="I226" s="18" t="n">
        <v>1603880.15</v>
      </c>
      <c r="J226" s="12" t="inlineStr">
        <is>
          <t>10 % × 100,000 × split 90%</t>
        </is>
      </c>
    </row>
    <row r="227">
      <c r="A227" s="12" t="n">
        <v>226</v>
      </c>
      <c r="B227" s="15" t="n">
        <v>46520</v>
      </c>
      <c r="C227" s="16" t="n">
        <v>8</v>
      </c>
      <c r="D227" s="13" t="inlineStr">
        <is>
          <t>Payout</t>
        </is>
      </c>
      <c r="E227" s="12" t="inlineStr">
        <is>
          <t>Blue Guardian Futures</t>
        </is>
      </c>
      <c r="F227" s="12" t="inlineStr">
        <is>
          <t>#31 1 Step 100k</t>
        </is>
      </c>
      <c r="G227" s="18" t="n">
        <v>100000</v>
      </c>
      <c r="H227" s="18" t="n">
        <v>9000</v>
      </c>
      <c r="I227" s="18" t="n">
        <v>1612880.15</v>
      </c>
      <c r="J227" s="12" t="inlineStr">
        <is>
          <t>10 % × 100,000 × split 90%</t>
        </is>
      </c>
    </row>
    <row r="228">
      <c r="A228" s="12" t="n">
        <v>227</v>
      </c>
      <c r="B228" s="15" t="n">
        <v>46520</v>
      </c>
      <c r="C228" s="16" t="n">
        <v>8</v>
      </c>
      <c r="D228" s="13" t="inlineStr">
        <is>
          <t>Payout</t>
        </is>
      </c>
      <c r="E228" s="12" t="inlineStr">
        <is>
          <t>Blue Guardian Futures</t>
        </is>
      </c>
      <c r="F228" s="12" t="inlineStr">
        <is>
          <t>#32 1 Step 100k</t>
        </is>
      </c>
      <c r="G228" s="18" t="n">
        <v>100000</v>
      </c>
      <c r="H228" s="18" t="n">
        <v>9000</v>
      </c>
      <c r="I228" s="18" t="n">
        <v>1621880.15</v>
      </c>
      <c r="J228" s="12" t="inlineStr">
        <is>
          <t>10 % × 100,000 × split 90%</t>
        </is>
      </c>
    </row>
    <row r="229">
      <c r="A229" s="12" t="n">
        <v>228</v>
      </c>
      <c r="B229" s="15" t="n">
        <v>46520</v>
      </c>
      <c r="C229" s="16" t="n">
        <v>8</v>
      </c>
      <c r="D229" s="13" t="inlineStr">
        <is>
          <t>Payout</t>
        </is>
      </c>
      <c r="E229" s="12" t="inlineStr">
        <is>
          <t>Blue Guardian Futures</t>
        </is>
      </c>
      <c r="F229" s="12" t="inlineStr">
        <is>
          <t>#33 1 Step 100k</t>
        </is>
      </c>
      <c r="G229" s="18" t="n">
        <v>100000</v>
      </c>
      <c r="H229" s="18" t="n">
        <v>9000</v>
      </c>
      <c r="I229" s="18" t="n">
        <v>1630880.15</v>
      </c>
      <c r="J229" s="12" t="inlineStr">
        <is>
          <t>10 % × 100,000 × split 90%</t>
        </is>
      </c>
    </row>
    <row r="230">
      <c r="A230" s="12" t="n">
        <v>229</v>
      </c>
      <c r="B230" s="15" t="n">
        <v>46520</v>
      </c>
      <c r="C230" s="16" t="n">
        <v>8</v>
      </c>
      <c r="D230" s="13" t="inlineStr">
        <is>
          <t>Payout</t>
        </is>
      </c>
      <c r="E230" s="12" t="inlineStr">
        <is>
          <t>FTMO Futures</t>
        </is>
      </c>
      <c r="F230" s="12" t="inlineStr">
        <is>
          <t>#34 1 Step 150k</t>
        </is>
      </c>
      <c r="G230" s="18" t="n">
        <v>150000</v>
      </c>
      <c r="H230" s="18" t="n">
        <v>13500</v>
      </c>
      <c r="I230" s="18" t="n">
        <v>1644380.15</v>
      </c>
      <c r="J230" s="12" t="inlineStr">
        <is>
          <t>10 % × 150,000 × split 90%</t>
        </is>
      </c>
    </row>
    <row r="231">
      <c r="A231" s="12" t="n">
        <v>230</v>
      </c>
      <c r="B231" s="15" t="n">
        <v>46520</v>
      </c>
      <c r="C231" s="16" t="n">
        <v>8</v>
      </c>
      <c r="D231" s="13" t="inlineStr">
        <is>
          <t>Payout</t>
        </is>
      </c>
      <c r="E231" s="12" t="inlineStr">
        <is>
          <t>FTMO Futures</t>
        </is>
      </c>
      <c r="F231" s="12" t="inlineStr">
        <is>
          <t>#35 1 Step 150k</t>
        </is>
      </c>
      <c r="G231" s="18" t="n">
        <v>150000</v>
      </c>
      <c r="H231" s="18" t="n">
        <v>13500</v>
      </c>
      <c r="I231" s="18" t="n">
        <v>1657880.15</v>
      </c>
      <c r="J231" s="12" t="inlineStr">
        <is>
          <t>10 % × 150,000 × split 90%</t>
        </is>
      </c>
    </row>
    <row r="232">
      <c r="A232" s="12" t="n">
        <v>231</v>
      </c>
      <c r="B232" s="15" t="n">
        <v>46520</v>
      </c>
      <c r="C232" s="16" t="n">
        <v>8</v>
      </c>
      <c r="D232" s="13" t="inlineStr">
        <is>
          <t>Payout</t>
        </is>
      </c>
      <c r="E232" s="12" t="inlineStr">
        <is>
          <t>FTMO Futures</t>
        </is>
      </c>
      <c r="F232" s="12" t="inlineStr">
        <is>
          <t>#36 1 Step 150k</t>
        </is>
      </c>
      <c r="G232" s="18" t="n">
        <v>150000</v>
      </c>
      <c r="H232" s="18" t="n">
        <v>13500</v>
      </c>
      <c r="I232" s="18" t="n">
        <v>1671380.15</v>
      </c>
      <c r="J232" s="12" t="inlineStr">
        <is>
          <t>10 % × 150,000 × split 90%</t>
        </is>
      </c>
    </row>
    <row r="233">
      <c r="A233" s="12" t="n">
        <v>232</v>
      </c>
      <c r="B233" s="15" t="n">
        <v>46520</v>
      </c>
      <c r="C233" s="16" t="n">
        <v>8</v>
      </c>
      <c r="D233" s="13" t="inlineStr">
        <is>
          <t>Payout</t>
        </is>
      </c>
      <c r="E233" s="12" t="inlineStr">
        <is>
          <t>BrightFunded</t>
        </is>
      </c>
      <c r="F233" s="12" t="inlineStr">
        <is>
          <t>#37 1 Step 200k</t>
        </is>
      </c>
      <c r="G233" s="18" t="n">
        <v>200000</v>
      </c>
      <c r="H233" s="18" t="n">
        <v>20000</v>
      </c>
      <c r="I233" s="18" t="n">
        <v>1691380.15</v>
      </c>
      <c r="J233" s="12" t="inlineStr">
        <is>
          <t>10 % × 200,000 × split 100%</t>
        </is>
      </c>
    </row>
    <row r="234">
      <c r="A234" s="12" t="n">
        <v>233</v>
      </c>
      <c r="B234" s="15" t="n">
        <v>46520</v>
      </c>
      <c r="C234" s="16" t="n">
        <v>8</v>
      </c>
      <c r="D234" s="13" t="inlineStr">
        <is>
          <t>Payout</t>
        </is>
      </c>
      <c r="E234" s="12" t="inlineStr">
        <is>
          <t>BrightFunded</t>
        </is>
      </c>
      <c r="F234" s="12" t="inlineStr">
        <is>
          <t>#38 1 Step 200k</t>
        </is>
      </c>
      <c r="G234" s="18" t="n">
        <v>200000</v>
      </c>
      <c r="H234" s="18" t="n">
        <v>20000</v>
      </c>
      <c r="I234" s="18" t="n">
        <v>1711380.15</v>
      </c>
      <c r="J234" s="12" t="inlineStr">
        <is>
          <t>10 % × 200,000 × split 100%</t>
        </is>
      </c>
    </row>
    <row r="235">
      <c r="A235" s="12" t="n">
        <v>234</v>
      </c>
      <c r="B235" s="15" t="n">
        <v>46520</v>
      </c>
      <c r="C235" s="16" t="n">
        <v>8</v>
      </c>
      <c r="D235" s="13" t="inlineStr">
        <is>
          <t>Payout</t>
        </is>
      </c>
      <c r="E235" s="12" t="inlineStr">
        <is>
          <t>FTMO</t>
        </is>
      </c>
      <c r="F235" s="12" t="inlineStr">
        <is>
          <t>#39 1 Step 200k</t>
        </is>
      </c>
      <c r="G235" s="18" t="n">
        <v>200000</v>
      </c>
      <c r="H235" s="18" t="n">
        <v>16000</v>
      </c>
      <c r="I235" s="18" t="n">
        <v>1727380.15</v>
      </c>
      <c r="J235" s="12" t="inlineStr">
        <is>
          <t>10 % × 200,000 × split 80%</t>
        </is>
      </c>
    </row>
    <row r="236">
      <c r="A236" s="12" t="n">
        <v>235</v>
      </c>
      <c r="B236" s="15" t="n">
        <v>46520</v>
      </c>
      <c r="C236" s="16" t="n">
        <v>8</v>
      </c>
      <c r="D236" s="13" t="inlineStr">
        <is>
          <t>Payout</t>
        </is>
      </c>
      <c r="E236" s="12" t="inlineStr">
        <is>
          <t>FTMO</t>
        </is>
      </c>
      <c r="F236" s="12" t="inlineStr">
        <is>
          <t>#40 1 Step 200k</t>
        </is>
      </c>
      <c r="G236" s="18" t="n">
        <v>200000</v>
      </c>
      <c r="H236" s="18" t="n">
        <v>16000</v>
      </c>
      <c r="I236" s="18" t="n">
        <v>1743380.15</v>
      </c>
      <c r="J236" s="12" t="inlineStr">
        <is>
          <t>10 % × 200,000 × split 80%</t>
        </is>
      </c>
    </row>
    <row r="237">
      <c r="A237" s="12" t="n">
        <v>236</v>
      </c>
      <c r="B237" s="15" t="n">
        <v>46534</v>
      </c>
      <c r="C237" s="16" t="n">
        <v>8.5</v>
      </c>
      <c r="D237" s="13" t="inlineStr">
        <is>
          <t>Payout</t>
        </is>
      </c>
      <c r="E237" s="12" t="inlineStr">
        <is>
          <t>Fundora</t>
        </is>
      </c>
      <c r="F237" s="12" t="inlineStr">
        <is>
          <t>#41 2 Step 400k</t>
        </is>
      </c>
      <c r="G237" s="18" t="n">
        <v>400000</v>
      </c>
      <c r="H237" s="18" t="n">
        <v>32000</v>
      </c>
      <c r="I237" s="18" t="n">
        <v>1775380.15</v>
      </c>
      <c r="J237" s="12" t="inlineStr">
        <is>
          <t>10 % × 400,000 × split 80%</t>
        </is>
      </c>
    </row>
    <row r="238">
      <c r="A238" s="12" t="n">
        <v>237</v>
      </c>
      <c r="B238" s="15" t="n">
        <v>46548</v>
      </c>
      <c r="C238" s="16" t="n">
        <v>9</v>
      </c>
      <c r="D238" s="13" t="inlineStr">
        <is>
          <t>Payout</t>
        </is>
      </c>
      <c r="E238" s="12" t="inlineStr">
        <is>
          <t>FundedNext</t>
        </is>
      </c>
      <c r="F238" s="12" t="inlineStr">
        <is>
          <t>#1 Départ 10k</t>
        </is>
      </c>
      <c r="G238" s="18" t="n">
        <v>10000</v>
      </c>
      <c r="H238" s="18" t="n">
        <v>800</v>
      </c>
      <c r="I238" s="18" t="n">
        <v>1776180.15</v>
      </c>
      <c r="J238" s="12" t="inlineStr">
        <is>
          <t>10 % × 10,000 × split 80%</t>
        </is>
      </c>
    </row>
    <row r="239">
      <c r="A239" s="12" t="n">
        <v>238</v>
      </c>
      <c r="B239" s="15" t="n">
        <v>46548</v>
      </c>
      <c r="C239" s="16" t="n">
        <v>9</v>
      </c>
      <c r="D239" s="13" t="inlineStr">
        <is>
          <t>Payout</t>
        </is>
      </c>
      <c r="E239" s="12" t="inlineStr">
        <is>
          <t>Hex Funded</t>
        </is>
      </c>
      <c r="F239" s="12" t="inlineStr">
        <is>
          <t>#2 Instant-Direct 100k</t>
        </is>
      </c>
      <c r="G239" s="18" t="n">
        <v>100000</v>
      </c>
      <c r="H239" s="18" t="n">
        <v>9000</v>
      </c>
      <c r="I239" s="18" t="n">
        <v>1785180.15</v>
      </c>
      <c r="J239" s="12" t="inlineStr">
        <is>
          <t>10 % × 100,000 × split 90%</t>
        </is>
      </c>
    </row>
    <row r="240">
      <c r="A240" s="12" t="n">
        <v>239</v>
      </c>
      <c r="B240" s="15" t="n">
        <v>46548</v>
      </c>
      <c r="C240" s="16" t="n">
        <v>9</v>
      </c>
      <c r="D240" s="13" t="inlineStr">
        <is>
          <t>Payout</t>
        </is>
      </c>
      <c r="E240" s="12" t="inlineStr">
        <is>
          <t>Kickstart Trading</t>
        </is>
      </c>
      <c r="F240" s="12" t="inlineStr">
        <is>
          <t>#3 Instant-Direct 100k</t>
        </is>
      </c>
      <c r="G240" s="18" t="n">
        <v>100000</v>
      </c>
      <c r="H240" s="18" t="n">
        <v>8000</v>
      </c>
      <c r="I240" s="18" t="n">
        <v>1793180.15</v>
      </c>
      <c r="J240" s="12" t="inlineStr">
        <is>
          <t>10 % × 100,000 × split 80%</t>
        </is>
      </c>
    </row>
    <row r="241">
      <c r="A241" s="12" t="n">
        <v>240</v>
      </c>
      <c r="B241" s="15" t="n">
        <v>46548</v>
      </c>
      <c r="C241" s="16" t="n">
        <v>9</v>
      </c>
      <c r="D241" s="13" t="inlineStr">
        <is>
          <t>Payout</t>
        </is>
      </c>
      <c r="E241" s="12" t="inlineStr">
        <is>
          <t>Kickstart Trading</t>
        </is>
      </c>
      <c r="F241" s="12" t="inlineStr">
        <is>
          <t>#4 Instant-Direct 100k</t>
        </is>
      </c>
      <c r="G241" s="18" t="n">
        <v>100000</v>
      </c>
      <c r="H241" s="18" t="n">
        <v>8000</v>
      </c>
      <c r="I241" s="18" t="n">
        <v>1801180.15</v>
      </c>
      <c r="J241" s="12" t="inlineStr">
        <is>
          <t>10 % × 100,000 × split 80%</t>
        </is>
      </c>
    </row>
    <row r="242">
      <c r="A242" s="12" t="n">
        <v>241</v>
      </c>
      <c r="B242" s="15" t="n">
        <v>46548</v>
      </c>
      <c r="C242" s="16" t="n">
        <v>9</v>
      </c>
      <c r="D242" s="13" t="inlineStr">
        <is>
          <t>Payout</t>
        </is>
      </c>
      <c r="E242" s="12" t="inlineStr">
        <is>
          <t>Kickstart Trading</t>
        </is>
      </c>
      <c r="F242" s="12" t="inlineStr">
        <is>
          <t>#5 Instant-Direct 100k</t>
        </is>
      </c>
      <c r="G242" s="18" t="n">
        <v>100000</v>
      </c>
      <c r="H242" s="18" t="n">
        <v>8000</v>
      </c>
      <c r="I242" s="18" t="n">
        <v>1809180.15</v>
      </c>
      <c r="J242" s="12" t="inlineStr">
        <is>
          <t>10 % × 100,000 × split 80%</t>
        </is>
      </c>
    </row>
    <row r="243">
      <c r="A243" s="12" t="n">
        <v>242</v>
      </c>
      <c r="B243" s="15" t="n">
        <v>46548</v>
      </c>
      <c r="C243" s="16" t="n">
        <v>9</v>
      </c>
      <c r="D243" s="13" t="inlineStr">
        <is>
          <t>Payout</t>
        </is>
      </c>
      <c r="E243" s="12" t="inlineStr">
        <is>
          <t>Kickstart Trading</t>
        </is>
      </c>
      <c r="F243" s="12" t="inlineStr">
        <is>
          <t>#6 Instant-Direct 100k</t>
        </is>
      </c>
      <c r="G243" s="18" t="n">
        <v>100000</v>
      </c>
      <c r="H243" s="18" t="n">
        <v>8000</v>
      </c>
      <c r="I243" s="18" t="n">
        <v>1817180.15</v>
      </c>
      <c r="J243" s="12" t="inlineStr">
        <is>
          <t>10 % × 100,000 × split 80%</t>
        </is>
      </c>
    </row>
    <row r="244">
      <c r="A244" s="12" t="n">
        <v>243</v>
      </c>
      <c r="B244" s="15" t="n">
        <v>46548</v>
      </c>
      <c r="C244" s="16" t="n">
        <v>9</v>
      </c>
      <c r="D244" s="13" t="inlineStr">
        <is>
          <t>Payout</t>
        </is>
      </c>
      <c r="E244" s="12" t="inlineStr">
        <is>
          <t>Kickstart Trading</t>
        </is>
      </c>
      <c r="F244" s="12" t="inlineStr">
        <is>
          <t>#7 Instant-Direct 100k</t>
        </is>
      </c>
      <c r="G244" s="18" t="n">
        <v>100000</v>
      </c>
      <c r="H244" s="18" t="n">
        <v>8000</v>
      </c>
      <c r="I244" s="18" t="n">
        <v>1825180.15</v>
      </c>
      <c r="J244" s="12" t="inlineStr">
        <is>
          <t>10 % × 100,000 × split 80%</t>
        </is>
      </c>
    </row>
    <row r="245">
      <c r="A245" s="12" t="n">
        <v>244</v>
      </c>
      <c r="B245" s="15" t="n">
        <v>46548</v>
      </c>
      <c r="C245" s="16" t="n">
        <v>9</v>
      </c>
      <c r="D245" s="13" t="inlineStr">
        <is>
          <t>Payout</t>
        </is>
      </c>
      <c r="E245" s="12" t="inlineStr">
        <is>
          <t>Kickstart Trading</t>
        </is>
      </c>
      <c r="F245" s="12" t="inlineStr">
        <is>
          <t>#8 Instant-Direct 100k</t>
        </is>
      </c>
      <c r="G245" s="18" t="n">
        <v>100000</v>
      </c>
      <c r="H245" s="18" t="n">
        <v>8000</v>
      </c>
      <c r="I245" s="18" t="n">
        <v>1833180.15</v>
      </c>
      <c r="J245" s="12" t="inlineStr">
        <is>
          <t>10 % × 100,000 × split 80%</t>
        </is>
      </c>
    </row>
    <row r="246">
      <c r="A246" s="12" t="n">
        <v>245</v>
      </c>
      <c r="B246" s="15" t="n">
        <v>46548</v>
      </c>
      <c r="C246" s="16" t="n">
        <v>9</v>
      </c>
      <c r="D246" s="13" t="inlineStr">
        <is>
          <t>Payout</t>
        </is>
      </c>
      <c r="E246" s="12" t="inlineStr">
        <is>
          <t>Kickstart Trading</t>
        </is>
      </c>
      <c r="F246" s="12" t="inlineStr">
        <is>
          <t>#9 Instant-Direct 100k</t>
        </is>
      </c>
      <c r="G246" s="18" t="n">
        <v>100000</v>
      </c>
      <c r="H246" s="18" t="n">
        <v>8000</v>
      </c>
      <c r="I246" s="18" t="n">
        <v>1841180.15</v>
      </c>
      <c r="J246" s="12" t="inlineStr">
        <is>
          <t>10 % × 100,000 × split 80%</t>
        </is>
      </c>
    </row>
    <row r="247">
      <c r="A247" s="12" t="n">
        <v>246</v>
      </c>
      <c r="B247" s="15" t="n">
        <v>46548</v>
      </c>
      <c r="C247" s="16" t="n">
        <v>9</v>
      </c>
      <c r="D247" s="13" t="inlineStr">
        <is>
          <t>Payout</t>
        </is>
      </c>
      <c r="E247" s="12" t="inlineStr">
        <is>
          <t>FundingRock</t>
        </is>
      </c>
      <c r="F247" s="12" t="inlineStr">
        <is>
          <t>#10 Instant-Direct 100k</t>
        </is>
      </c>
      <c r="G247" s="18" t="n">
        <v>100000</v>
      </c>
      <c r="H247" s="18" t="n">
        <v>8000</v>
      </c>
      <c r="I247" s="18" t="n">
        <v>1849180.15</v>
      </c>
      <c r="J247" s="12" t="inlineStr">
        <is>
          <t>10 % × 100,000 × split 80%</t>
        </is>
      </c>
    </row>
    <row r="248">
      <c r="A248" s="12" t="n">
        <v>247</v>
      </c>
      <c r="B248" s="15" t="n">
        <v>46548</v>
      </c>
      <c r="C248" s="16" t="n">
        <v>9</v>
      </c>
      <c r="D248" s="13" t="inlineStr">
        <is>
          <t>Payout</t>
        </is>
      </c>
      <c r="E248" s="12" t="inlineStr">
        <is>
          <t>Kickstart Trading</t>
        </is>
      </c>
      <c r="F248" s="12" t="inlineStr">
        <is>
          <t>#11 Instant-Direct 100k</t>
        </is>
      </c>
      <c r="G248" s="18" t="n">
        <v>100000</v>
      </c>
      <c r="H248" s="18" t="n">
        <v>8000</v>
      </c>
      <c r="I248" s="18" t="n">
        <v>1857180.15</v>
      </c>
      <c r="J248" s="12" t="inlineStr">
        <is>
          <t>10 % × 100,000 × split 80%</t>
        </is>
      </c>
    </row>
    <row r="249">
      <c r="A249" s="12" t="n">
        <v>248</v>
      </c>
      <c r="B249" s="15" t="n">
        <v>46548</v>
      </c>
      <c r="C249" s="16" t="n">
        <v>9</v>
      </c>
      <c r="D249" s="13" t="inlineStr">
        <is>
          <t>Payout</t>
        </is>
      </c>
      <c r="E249" s="12" t="inlineStr">
        <is>
          <t>Kickstart Trading</t>
        </is>
      </c>
      <c r="F249" s="12" t="inlineStr">
        <is>
          <t>#12 Instant-Direct 100k</t>
        </is>
      </c>
      <c r="G249" s="18" t="n">
        <v>100000</v>
      </c>
      <c r="H249" s="18" t="n">
        <v>8000</v>
      </c>
      <c r="I249" s="18" t="n">
        <v>1865180.15</v>
      </c>
      <c r="J249" s="12" t="inlineStr">
        <is>
          <t>10 % × 100,000 × split 80%</t>
        </is>
      </c>
    </row>
    <row r="250">
      <c r="A250" s="12" t="n">
        <v>249</v>
      </c>
      <c r="B250" s="15" t="n">
        <v>46548</v>
      </c>
      <c r="C250" s="16" t="n">
        <v>9</v>
      </c>
      <c r="D250" s="13" t="inlineStr">
        <is>
          <t>Payout</t>
        </is>
      </c>
      <c r="E250" s="12" t="inlineStr">
        <is>
          <t>Kickstart Trading</t>
        </is>
      </c>
      <c r="F250" s="12" t="inlineStr">
        <is>
          <t>#13 Instant-Direct 100k</t>
        </is>
      </c>
      <c r="G250" s="18" t="n">
        <v>100000</v>
      </c>
      <c r="H250" s="18" t="n">
        <v>8000</v>
      </c>
      <c r="I250" s="18" t="n">
        <v>1873180.15</v>
      </c>
      <c r="J250" s="12" t="inlineStr">
        <is>
          <t>10 % × 100,000 × split 80%</t>
        </is>
      </c>
    </row>
    <row r="251">
      <c r="A251" s="12" t="n">
        <v>250</v>
      </c>
      <c r="B251" s="15" t="n">
        <v>46548</v>
      </c>
      <c r="C251" s="16" t="n">
        <v>9</v>
      </c>
      <c r="D251" s="13" t="inlineStr">
        <is>
          <t>Payout</t>
        </is>
      </c>
      <c r="E251" s="12" t="inlineStr">
        <is>
          <t>Funding Traders</t>
        </is>
      </c>
      <c r="F251" s="12" t="inlineStr">
        <is>
          <t>#14 Instant-Direct 400k</t>
        </is>
      </c>
      <c r="G251" s="18" t="n">
        <v>400000</v>
      </c>
      <c r="H251" s="18" t="n">
        <v>40000</v>
      </c>
      <c r="I251" s="18" t="n">
        <v>1913180.15</v>
      </c>
      <c r="J251" s="12" t="inlineStr">
        <is>
          <t>10 % × 400,000 × split 100%</t>
        </is>
      </c>
    </row>
    <row r="252">
      <c r="A252" s="12" t="n">
        <v>251</v>
      </c>
      <c r="B252" s="15" t="n">
        <v>46548</v>
      </c>
      <c r="C252" s="16" t="n">
        <v>9</v>
      </c>
      <c r="D252" s="13" t="inlineStr">
        <is>
          <t>Payout</t>
        </is>
      </c>
      <c r="E252" s="12" t="inlineStr">
        <is>
          <t>Blue Guardian</t>
        </is>
      </c>
      <c r="F252" s="12" t="inlineStr">
        <is>
          <t>#15 Instant-Direct 400k</t>
        </is>
      </c>
      <c r="G252" s="18" t="n">
        <v>400000</v>
      </c>
      <c r="H252" s="18" t="n">
        <v>32000</v>
      </c>
      <c r="I252" s="18" t="n">
        <v>1945180.15</v>
      </c>
      <c r="J252" s="12" t="inlineStr">
        <is>
          <t>10 % × 400,000 × split 80%</t>
        </is>
      </c>
    </row>
    <row r="253">
      <c r="A253" s="12" t="n">
        <v>252</v>
      </c>
      <c r="B253" s="15" t="n">
        <v>46548</v>
      </c>
      <c r="C253" s="16" t="n">
        <v>9</v>
      </c>
      <c r="D253" s="13" t="inlineStr">
        <is>
          <t>Payout</t>
        </is>
      </c>
      <c r="E253" s="12" t="inlineStr">
        <is>
          <t>Finotive Futures</t>
        </is>
      </c>
      <c r="F253" s="12" t="inlineStr">
        <is>
          <t>#16 1 Step 150k</t>
        </is>
      </c>
      <c r="G253" s="18" t="n">
        <v>150000</v>
      </c>
      <c r="H253" s="18" t="n">
        <v>13500</v>
      </c>
      <c r="I253" s="18" t="n">
        <v>1958680.15</v>
      </c>
      <c r="J253" s="12" t="inlineStr">
        <is>
          <t>10 % × 150,000 × split 90%</t>
        </is>
      </c>
    </row>
    <row r="254">
      <c r="A254" s="12" t="n">
        <v>253</v>
      </c>
      <c r="B254" s="15" t="n">
        <v>46548</v>
      </c>
      <c r="C254" s="16" t="n">
        <v>9</v>
      </c>
      <c r="D254" s="13" t="inlineStr">
        <is>
          <t>Payout</t>
        </is>
      </c>
      <c r="E254" s="12" t="inlineStr">
        <is>
          <t>Finotive Futures</t>
        </is>
      </c>
      <c r="F254" s="12" t="inlineStr">
        <is>
          <t>#17 1 Step 150k</t>
        </is>
      </c>
      <c r="G254" s="18" t="n">
        <v>150000</v>
      </c>
      <c r="H254" s="18" t="n">
        <v>13500</v>
      </c>
      <c r="I254" s="18" t="n">
        <v>1972180.15</v>
      </c>
      <c r="J254" s="12" t="inlineStr">
        <is>
          <t>10 % × 150,000 × split 90%</t>
        </is>
      </c>
    </row>
    <row r="255">
      <c r="A255" s="12" t="n">
        <v>254</v>
      </c>
      <c r="B255" s="15" t="n">
        <v>46548</v>
      </c>
      <c r="C255" s="16" t="n">
        <v>9</v>
      </c>
      <c r="D255" s="13" t="inlineStr">
        <is>
          <t>Payout</t>
        </is>
      </c>
      <c r="E255" s="12" t="inlineStr">
        <is>
          <t>Finotive Futures</t>
        </is>
      </c>
      <c r="F255" s="12" t="inlineStr">
        <is>
          <t>#18 1 Step 150k</t>
        </is>
      </c>
      <c r="G255" s="18" t="n">
        <v>150000</v>
      </c>
      <c r="H255" s="18" t="n">
        <v>13500</v>
      </c>
      <c r="I255" s="18" t="n">
        <v>1985680.15</v>
      </c>
      <c r="J255" s="12" t="inlineStr">
        <is>
          <t>10 % × 150,000 × split 90%</t>
        </is>
      </c>
    </row>
    <row r="256">
      <c r="A256" s="12" t="n">
        <v>255</v>
      </c>
      <c r="B256" s="15" t="n">
        <v>46548</v>
      </c>
      <c r="C256" s="16" t="n">
        <v>9</v>
      </c>
      <c r="D256" s="13" t="inlineStr">
        <is>
          <t>Payout</t>
        </is>
      </c>
      <c r="E256" s="12" t="inlineStr">
        <is>
          <t>Finotive Futures</t>
        </is>
      </c>
      <c r="F256" s="12" t="inlineStr">
        <is>
          <t>#19 1 Step 150k</t>
        </is>
      </c>
      <c r="G256" s="18" t="n">
        <v>150000</v>
      </c>
      <c r="H256" s="18" t="n">
        <v>13500</v>
      </c>
      <c r="I256" s="18" t="n">
        <v>1999180.15</v>
      </c>
      <c r="J256" s="12" t="inlineStr">
        <is>
          <t>10 % × 150,000 × split 90%</t>
        </is>
      </c>
    </row>
    <row r="257">
      <c r="A257" s="12" t="n">
        <v>256</v>
      </c>
      <c r="B257" s="15" t="n">
        <v>46548</v>
      </c>
      <c r="C257" s="16" t="n">
        <v>9</v>
      </c>
      <c r="D257" s="13" t="inlineStr">
        <is>
          <t>Payout</t>
        </is>
      </c>
      <c r="E257" s="12" t="inlineStr">
        <is>
          <t>Finotive Futures</t>
        </is>
      </c>
      <c r="F257" s="12" t="inlineStr">
        <is>
          <t>#20 1 Step 150k</t>
        </is>
      </c>
      <c r="G257" s="18" t="n">
        <v>150000</v>
      </c>
      <c r="H257" s="18" t="n">
        <v>13500</v>
      </c>
      <c r="I257" s="18" t="n">
        <v>2012680.15</v>
      </c>
      <c r="J257" s="12" t="inlineStr">
        <is>
          <t>10 % × 150,000 × split 90%</t>
        </is>
      </c>
    </row>
    <row r="258">
      <c r="A258" s="12" t="n">
        <v>257</v>
      </c>
      <c r="B258" s="15" t="n">
        <v>46548</v>
      </c>
      <c r="C258" s="16" t="n">
        <v>9</v>
      </c>
      <c r="D258" s="13" t="inlineStr">
        <is>
          <t>Payout</t>
        </is>
      </c>
      <c r="E258" s="12" t="inlineStr">
        <is>
          <t>Finotive Futures</t>
        </is>
      </c>
      <c r="F258" s="12" t="inlineStr">
        <is>
          <t>#21 1 Step 150k</t>
        </is>
      </c>
      <c r="G258" s="18" t="n">
        <v>150000</v>
      </c>
      <c r="H258" s="18" t="n">
        <v>13500</v>
      </c>
      <c r="I258" s="18" t="n">
        <v>2026180.15</v>
      </c>
      <c r="J258" s="12" t="inlineStr">
        <is>
          <t>10 % × 150,000 × split 90%</t>
        </is>
      </c>
    </row>
    <row r="259">
      <c r="A259" s="12" t="n">
        <v>258</v>
      </c>
      <c r="B259" s="15" t="n">
        <v>46548</v>
      </c>
      <c r="C259" s="16" t="n">
        <v>9</v>
      </c>
      <c r="D259" s="13" t="inlineStr">
        <is>
          <t>Payout</t>
        </is>
      </c>
      <c r="E259" s="12" t="inlineStr">
        <is>
          <t>10FOUR</t>
        </is>
      </c>
      <c r="F259" s="12" t="inlineStr">
        <is>
          <t>#22 1 Step 150k</t>
        </is>
      </c>
      <c r="G259" s="18" t="n">
        <v>150000</v>
      </c>
      <c r="H259" s="18" t="n">
        <v>13500</v>
      </c>
      <c r="I259" s="18" t="n">
        <v>2039680.15</v>
      </c>
      <c r="J259" s="12" t="inlineStr">
        <is>
          <t>10 % × 150,000 × split 90%</t>
        </is>
      </c>
    </row>
    <row r="260">
      <c r="A260" s="12" t="n">
        <v>259</v>
      </c>
      <c r="B260" s="15" t="n">
        <v>46548</v>
      </c>
      <c r="C260" s="16" t="n">
        <v>9</v>
      </c>
      <c r="D260" s="13" t="inlineStr">
        <is>
          <t>Payout</t>
        </is>
      </c>
      <c r="E260" s="12" t="inlineStr">
        <is>
          <t>10FOUR</t>
        </is>
      </c>
      <c r="F260" s="12" t="inlineStr">
        <is>
          <t>#23 1 Step 150k</t>
        </is>
      </c>
      <c r="G260" s="18" t="n">
        <v>150000</v>
      </c>
      <c r="H260" s="18" t="n">
        <v>13500</v>
      </c>
      <c r="I260" s="18" t="n">
        <v>2053180.15</v>
      </c>
      <c r="J260" s="12" t="inlineStr">
        <is>
          <t>10 % × 150,000 × split 90%</t>
        </is>
      </c>
    </row>
    <row r="261">
      <c r="A261" s="12" t="n">
        <v>260</v>
      </c>
      <c r="B261" s="15" t="n">
        <v>46548</v>
      </c>
      <c r="C261" s="16" t="n">
        <v>9</v>
      </c>
      <c r="D261" s="13" t="inlineStr">
        <is>
          <t>Payout</t>
        </is>
      </c>
      <c r="E261" s="12" t="inlineStr">
        <is>
          <t>10FOUR</t>
        </is>
      </c>
      <c r="F261" s="12" t="inlineStr">
        <is>
          <t>#24 1 Step 150k</t>
        </is>
      </c>
      <c r="G261" s="18" t="n">
        <v>150000</v>
      </c>
      <c r="H261" s="18" t="n">
        <v>13500</v>
      </c>
      <c r="I261" s="18" t="n">
        <v>2066680.15</v>
      </c>
      <c r="J261" s="12" t="inlineStr">
        <is>
          <t>10 % × 150,000 × split 90%</t>
        </is>
      </c>
    </row>
    <row r="262">
      <c r="A262" s="12" t="n">
        <v>261</v>
      </c>
      <c r="B262" s="15" t="n">
        <v>46548</v>
      </c>
      <c r="C262" s="16" t="n">
        <v>9</v>
      </c>
      <c r="D262" s="13" t="inlineStr">
        <is>
          <t>Payout</t>
        </is>
      </c>
      <c r="E262" s="12" t="inlineStr">
        <is>
          <t>10FOUR</t>
        </is>
      </c>
      <c r="F262" s="12" t="inlineStr">
        <is>
          <t>#25 1 Step 150k</t>
        </is>
      </c>
      <c r="G262" s="18" t="n">
        <v>150000</v>
      </c>
      <c r="H262" s="18" t="n">
        <v>13500</v>
      </c>
      <c r="I262" s="18" t="n">
        <v>2080180.15</v>
      </c>
      <c r="J262" s="12" t="inlineStr">
        <is>
          <t>10 % × 150,000 × split 90%</t>
        </is>
      </c>
    </row>
    <row r="263">
      <c r="A263" s="12" t="n">
        <v>262</v>
      </c>
      <c r="B263" s="15" t="n">
        <v>46548</v>
      </c>
      <c r="C263" s="16" t="n">
        <v>9</v>
      </c>
      <c r="D263" s="13" t="inlineStr">
        <is>
          <t>Payout</t>
        </is>
      </c>
      <c r="E263" s="12" t="inlineStr">
        <is>
          <t>10FOUR</t>
        </is>
      </c>
      <c r="F263" s="12" t="inlineStr">
        <is>
          <t>#26 1 Step 150k</t>
        </is>
      </c>
      <c r="G263" s="18" t="n">
        <v>150000</v>
      </c>
      <c r="H263" s="18" t="n">
        <v>13500</v>
      </c>
      <c r="I263" s="18" t="n">
        <v>2093680.15</v>
      </c>
      <c r="J263" s="12" t="inlineStr">
        <is>
          <t>10 % × 150,000 × split 90%</t>
        </is>
      </c>
    </row>
    <row r="264">
      <c r="A264" s="12" t="n">
        <v>263</v>
      </c>
      <c r="B264" s="15" t="n">
        <v>46548</v>
      </c>
      <c r="C264" s="16" t="n">
        <v>9</v>
      </c>
      <c r="D264" s="13" t="inlineStr">
        <is>
          <t>Payout</t>
        </is>
      </c>
      <c r="E264" s="12" t="inlineStr">
        <is>
          <t>Blue Guardian Futures</t>
        </is>
      </c>
      <c r="F264" s="12" t="inlineStr">
        <is>
          <t>#27 1 Step 100k</t>
        </is>
      </c>
      <c r="G264" s="18" t="n">
        <v>100000</v>
      </c>
      <c r="H264" s="18" t="n">
        <v>9000</v>
      </c>
      <c r="I264" s="18" t="n">
        <v>2102680.15</v>
      </c>
      <c r="J264" s="12" t="inlineStr">
        <is>
          <t>10 % × 100,000 × split 90%</t>
        </is>
      </c>
    </row>
    <row r="265">
      <c r="A265" s="12" t="n">
        <v>264</v>
      </c>
      <c r="B265" s="15" t="n">
        <v>46548</v>
      </c>
      <c r="C265" s="16" t="n">
        <v>9</v>
      </c>
      <c r="D265" s="13" t="inlineStr">
        <is>
          <t>Payout</t>
        </is>
      </c>
      <c r="E265" s="12" t="inlineStr">
        <is>
          <t>Blue Guardian Futures</t>
        </is>
      </c>
      <c r="F265" s="12" t="inlineStr">
        <is>
          <t>#28 1 Step 100k</t>
        </is>
      </c>
      <c r="G265" s="18" t="n">
        <v>100000</v>
      </c>
      <c r="H265" s="18" t="n">
        <v>9000</v>
      </c>
      <c r="I265" s="18" t="n">
        <v>2111680.15</v>
      </c>
      <c r="J265" s="12" t="inlineStr">
        <is>
          <t>10 % × 100,000 × split 90%</t>
        </is>
      </c>
    </row>
    <row r="266">
      <c r="A266" s="12" t="n">
        <v>265</v>
      </c>
      <c r="B266" s="15" t="n">
        <v>46548</v>
      </c>
      <c r="C266" s="16" t="n">
        <v>9</v>
      </c>
      <c r="D266" s="13" t="inlineStr">
        <is>
          <t>Payout</t>
        </is>
      </c>
      <c r="E266" s="12" t="inlineStr">
        <is>
          <t>Blue Guardian Futures</t>
        </is>
      </c>
      <c r="F266" s="12" t="inlineStr">
        <is>
          <t>#29 1 Step 100k</t>
        </is>
      </c>
      <c r="G266" s="18" t="n">
        <v>100000</v>
      </c>
      <c r="H266" s="18" t="n">
        <v>9000</v>
      </c>
      <c r="I266" s="18" t="n">
        <v>2120680.15</v>
      </c>
      <c r="J266" s="12" t="inlineStr">
        <is>
          <t>10 % × 100,000 × split 90%</t>
        </is>
      </c>
    </row>
    <row r="267">
      <c r="A267" s="12" t="n">
        <v>266</v>
      </c>
      <c r="B267" s="15" t="n">
        <v>46548</v>
      </c>
      <c r="C267" s="16" t="n">
        <v>9</v>
      </c>
      <c r="D267" s="13" t="inlineStr">
        <is>
          <t>Payout</t>
        </is>
      </c>
      <c r="E267" s="12" t="inlineStr">
        <is>
          <t>Blue Guardian Futures</t>
        </is>
      </c>
      <c r="F267" s="12" t="inlineStr">
        <is>
          <t>#30 1 Step 100k</t>
        </is>
      </c>
      <c r="G267" s="18" t="n">
        <v>100000</v>
      </c>
      <c r="H267" s="18" t="n">
        <v>9000</v>
      </c>
      <c r="I267" s="18" t="n">
        <v>2129680.15</v>
      </c>
      <c r="J267" s="12" t="inlineStr">
        <is>
          <t>10 % × 100,000 × split 90%</t>
        </is>
      </c>
    </row>
    <row r="268">
      <c r="A268" s="12" t="n">
        <v>267</v>
      </c>
      <c r="B268" s="15" t="n">
        <v>46548</v>
      </c>
      <c r="C268" s="16" t="n">
        <v>9</v>
      </c>
      <c r="D268" s="13" t="inlineStr">
        <is>
          <t>Payout</t>
        </is>
      </c>
      <c r="E268" s="12" t="inlineStr">
        <is>
          <t>Blue Guardian Futures</t>
        </is>
      </c>
      <c r="F268" s="12" t="inlineStr">
        <is>
          <t>#31 1 Step 100k</t>
        </is>
      </c>
      <c r="G268" s="18" t="n">
        <v>100000</v>
      </c>
      <c r="H268" s="18" t="n">
        <v>9000</v>
      </c>
      <c r="I268" s="18" t="n">
        <v>2138680.15</v>
      </c>
      <c r="J268" s="12" t="inlineStr">
        <is>
          <t>10 % × 100,000 × split 90%</t>
        </is>
      </c>
    </row>
    <row r="269">
      <c r="A269" s="12" t="n">
        <v>268</v>
      </c>
      <c r="B269" s="15" t="n">
        <v>46548</v>
      </c>
      <c r="C269" s="16" t="n">
        <v>9</v>
      </c>
      <c r="D269" s="13" t="inlineStr">
        <is>
          <t>Payout</t>
        </is>
      </c>
      <c r="E269" s="12" t="inlineStr">
        <is>
          <t>Blue Guardian Futures</t>
        </is>
      </c>
      <c r="F269" s="12" t="inlineStr">
        <is>
          <t>#32 1 Step 100k</t>
        </is>
      </c>
      <c r="G269" s="18" t="n">
        <v>100000</v>
      </c>
      <c r="H269" s="18" t="n">
        <v>9000</v>
      </c>
      <c r="I269" s="18" t="n">
        <v>2147680.15</v>
      </c>
      <c r="J269" s="12" t="inlineStr">
        <is>
          <t>10 % × 100,000 × split 90%</t>
        </is>
      </c>
    </row>
    <row r="270">
      <c r="A270" s="12" t="n">
        <v>269</v>
      </c>
      <c r="B270" s="15" t="n">
        <v>46548</v>
      </c>
      <c r="C270" s="16" t="n">
        <v>9</v>
      </c>
      <c r="D270" s="13" t="inlineStr">
        <is>
          <t>Payout</t>
        </is>
      </c>
      <c r="E270" s="12" t="inlineStr">
        <is>
          <t>Blue Guardian Futures</t>
        </is>
      </c>
      <c r="F270" s="12" t="inlineStr">
        <is>
          <t>#33 1 Step 100k</t>
        </is>
      </c>
      <c r="G270" s="18" t="n">
        <v>100000</v>
      </c>
      <c r="H270" s="18" t="n">
        <v>9000</v>
      </c>
      <c r="I270" s="18" t="n">
        <v>2156680.15</v>
      </c>
      <c r="J270" s="12" t="inlineStr">
        <is>
          <t>10 % × 100,000 × split 90%</t>
        </is>
      </c>
    </row>
    <row r="271">
      <c r="A271" s="12" t="n">
        <v>270</v>
      </c>
      <c r="B271" s="15" t="n">
        <v>46548</v>
      </c>
      <c r="C271" s="16" t="n">
        <v>9</v>
      </c>
      <c r="D271" s="13" t="inlineStr">
        <is>
          <t>Payout</t>
        </is>
      </c>
      <c r="E271" s="12" t="inlineStr">
        <is>
          <t>FTMO Futures</t>
        </is>
      </c>
      <c r="F271" s="12" t="inlineStr">
        <is>
          <t>#34 1 Step 150k</t>
        </is>
      </c>
      <c r="G271" s="18" t="n">
        <v>150000</v>
      </c>
      <c r="H271" s="18" t="n">
        <v>13500</v>
      </c>
      <c r="I271" s="18" t="n">
        <v>2170180.15</v>
      </c>
      <c r="J271" s="12" t="inlineStr">
        <is>
          <t>10 % × 150,000 × split 90%</t>
        </is>
      </c>
    </row>
    <row r="272">
      <c r="A272" s="12" t="n">
        <v>271</v>
      </c>
      <c r="B272" s="15" t="n">
        <v>46548</v>
      </c>
      <c r="C272" s="16" t="n">
        <v>9</v>
      </c>
      <c r="D272" s="13" t="inlineStr">
        <is>
          <t>Payout</t>
        </is>
      </c>
      <c r="E272" s="12" t="inlineStr">
        <is>
          <t>FTMO Futures</t>
        </is>
      </c>
      <c r="F272" s="12" t="inlineStr">
        <is>
          <t>#35 1 Step 150k</t>
        </is>
      </c>
      <c r="G272" s="18" t="n">
        <v>150000</v>
      </c>
      <c r="H272" s="18" t="n">
        <v>13500</v>
      </c>
      <c r="I272" s="18" t="n">
        <v>2183680.15</v>
      </c>
      <c r="J272" s="12" t="inlineStr">
        <is>
          <t>10 % × 150,000 × split 90%</t>
        </is>
      </c>
    </row>
    <row r="273">
      <c r="A273" s="12" t="n">
        <v>272</v>
      </c>
      <c r="B273" s="15" t="n">
        <v>46548</v>
      </c>
      <c r="C273" s="16" t="n">
        <v>9</v>
      </c>
      <c r="D273" s="13" t="inlineStr">
        <is>
          <t>Payout</t>
        </is>
      </c>
      <c r="E273" s="12" t="inlineStr">
        <is>
          <t>FTMO Futures</t>
        </is>
      </c>
      <c r="F273" s="12" t="inlineStr">
        <is>
          <t>#36 1 Step 150k</t>
        </is>
      </c>
      <c r="G273" s="18" t="n">
        <v>150000</v>
      </c>
      <c r="H273" s="18" t="n">
        <v>13500</v>
      </c>
      <c r="I273" s="18" t="n">
        <v>2197180.15</v>
      </c>
      <c r="J273" s="12" t="inlineStr">
        <is>
          <t>10 % × 150,000 × split 90%</t>
        </is>
      </c>
    </row>
    <row r="274">
      <c r="A274" s="12" t="n">
        <v>273</v>
      </c>
      <c r="B274" s="15" t="n">
        <v>46548</v>
      </c>
      <c r="C274" s="16" t="n">
        <v>9</v>
      </c>
      <c r="D274" s="13" t="inlineStr">
        <is>
          <t>Payout</t>
        </is>
      </c>
      <c r="E274" s="12" t="inlineStr">
        <is>
          <t>BrightFunded</t>
        </is>
      </c>
      <c r="F274" s="12" t="inlineStr">
        <is>
          <t>#37 1 Step 200k</t>
        </is>
      </c>
      <c r="G274" s="18" t="n">
        <v>200000</v>
      </c>
      <c r="H274" s="18" t="n">
        <v>20000</v>
      </c>
      <c r="I274" s="18" t="n">
        <v>2217180.15</v>
      </c>
      <c r="J274" s="12" t="inlineStr">
        <is>
          <t>10 % × 200,000 × split 100%</t>
        </is>
      </c>
    </row>
    <row r="275">
      <c r="A275" s="12" t="n">
        <v>274</v>
      </c>
      <c r="B275" s="15" t="n">
        <v>46548</v>
      </c>
      <c r="C275" s="16" t="n">
        <v>9</v>
      </c>
      <c r="D275" s="13" t="inlineStr">
        <is>
          <t>Payout</t>
        </is>
      </c>
      <c r="E275" s="12" t="inlineStr">
        <is>
          <t>BrightFunded</t>
        </is>
      </c>
      <c r="F275" s="12" t="inlineStr">
        <is>
          <t>#38 1 Step 200k</t>
        </is>
      </c>
      <c r="G275" s="18" t="n">
        <v>200000</v>
      </c>
      <c r="H275" s="18" t="n">
        <v>20000</v>
      </c>
      <c r="I275" s="18" t="n">
        <v>2237180.15</v>
      </c>
      <c r="J275" s="12" t="inlineStr">
        <is>
          <t>10 % × 200,000 × split 100%</t>
        </is>
      </c>
    </row>
    <row r="276">
      <c r="A276" s="12" t="n">
        <v>275</v>
      </c>
      <c r="B276" s="15" t="n">
        <v>46548</v>
      </c>
      <c r="C276" s="16" t="n">
        <v>9</v>
      </c>
      <c r="D276" s="13" t="inlineStr">
        <is>
          <t>Payout</t>
        </is>
      </c>
      <c r="E276" s="12" t="inlineStr">
        <is>
          <t>FTMO</t>
        </is>
      </c>
      <c r="F276" s="12" t="inlineStr">
        <is>
          <t>#39 1 Step 200k</t>
        </is>
      </c>
      <c r="G276" s="18" t="n">
        <v>200000</v>
      </c>
      <c r="H276" s="18" t="n">
        <v>16000</v>
      </c>
      <c r="I276" s="18" t="n">
        <v>2253180.15</v>
      </c>
      <c r="J276" s="12" t="inlineStr">
        <is>
          <t>10 % × 200,000 × split 80%</t>
        </is>
      </c>
    </row>
    <row r="277">
      <c r="A277" s="12" t="n">
        <v>276</v>
      </c>
      <c r="B277" s="15" t="n">
        <v>46548</v>
      </c>
      <c r="C277" s="16" t="n">
        <v>9</v>
      </c>
      <c r="D277" s="13" t="inlineStr">
        <is>
          <t>Payout</t>
        </is>
      </c>
      <c r="E277" s="12" t="inlineStr">
        <is>
          <t>FTMO</t>
        </is>
      </c>
      <c r="F277" s="12" t="inlineStr">
        <is>
          <t>#40 1 Step 200k</t>
        </is>
      </c>
      <c r="G277" s="18" t="n">
        <v>200000</v>
      </c>
      <c r="H277" s="18" t="n">
        <v>16000</v>
      </c>
      <c r="I277" s="18" t="n">
        <v>2269180.15</v>
      </c>
      <c r="J277" s="12" t="inlineStr">
        <is>
          <t>10 % × 200,000 × split 80%</t>
        </is>
      </c>
    </row>
    <row r="278">
      <c r="A278" s="12" t="n">
        <v>277</v>
      </c>
      <c r="B278" s="15" t="n">
        <v>46562</v>
      </c>
      <c r="C278" s="16" t="n">
        <v>9.5</v>
      </c>
      <c r="D278" s="13" t="inlineStr">
        <is>
          <t>Payout</t>
        </is>
      </c>
      <c r="E278" s="12" t="inlineStr">
        <is>
          <t>Fundora</t>
        </is>
      </c>
      <c r="F278" s="12" t="inlineStr">
        <is>
          <t>#41 2 Step 400k</t>
        </is>
      </c>
      <c r="G278" s="18" t="n">
        <v>400000</v>
      </c>
      <c r="H278" s="18" t="n">
        <v>32000</v>
      </c>
      <c r="I278" s="18" t="n">
        <v>2301180.15</v>
      </c>
      <c r="J278" s="12" t="inlineStr">
        <is>
          <t>10 % × 400,000 × split 80%</t>
        </is>
      </c>
    </row>
    <row r="279">
      <c r="A279" s="12" t="n">
        <v>278</v>
      </c>
      <c r="B279" s="15" t="n">
        <v>46576</v>
      </c>
      <c r="C279" s="16" t="n">
        <v>10</v>
      </c>
      <c r="D279" s="13" t="inlineStr">
        <is>
          <t>Payout</t>
        </is>
      </c>
      <c r="E279" s="12" t="inlineStr">
        <is>
          <t>FundedNext</t>
        </is>
      </c>
      <c r="F279" s="12" t="inlineStr">
        <is>
          <t>#1 Départ 10k</t>
        </is>
      </c>
      <c r="G279" s="18" t="n">
        <v>10000</v>
      </c>
      <c r="H279" s="18" t="n">
        <v>800</v>
      </c>
      <c r="I279" s="18" t="n">
        <v>2301980.15</v>
      </c>
      <c r="J279" s="12" t="inlineStr">
        <is>
          <t>10 % × 10,000 × split 80%</t>
        </is>
      </c>
    </row>
    <row r="280">
      <c r="A280" s="12" t="n">
        <v>279</v>
      </c>
      <c r="B280" s="15" t="n">
        <v>46576</v>
      </c>
      <c r="C280" s="16" t="n">
        <v>10</v>
      </c>
      <c r="D280" s="13" t="inlineStr">
        <is>
          <t>Payout</t>
        </is>
      </c>
      <c r="E280" s="12" t="inlineStr">
        <is>
          <t>Hex Funded</t>
        </is>
      </c>
      <c r="F280" s="12" t="inlineStr">
        <is>
          <t>#2 Instant-Direct 100k</t>
        </is>
      </c>
      <c r="G280" s="18" t="n">
        <v>100000</v>
      </c>
      <c r="H280" s="18" t="n">
        <v>9000</v>
      </c>
      <c r="I280" s="18" t="n">
        <v>2310980.15</v>
      </c>
      <c r="J280" s="12" t="inlineStr">
        <is>
          <t>10 % × 100,000 × split 90%</t>
        </is>
      </c>
    </row>
    <row r="281">
      <c r="A281" s="12" t="n">
        <v>280</v>
      </c>
      <c r="B281" s="15" t="n">
        <v>46576</v>
      </c>
      <c r="C281" s="16" t="n">
        <v>10</v>
      </c>
      <c r="D281" s="13" t="inlineStr">
        <is>
          <t>Payout</t>
        </is>
      </c>
      <c r="E281" s="12" t="inlineStr">
        <is>
          <t>Kickstart Trading</t>
        </is>
      </c>
      <c r="F281" s="12" t="inlineStr">
        <is>
          <t>#3 Instant-Direct 100k</t>
        </is>
      </c>
      <c r="G281" s="18" t="n">
        <v>100000</v>
      </c>
      <c r="H281" s="18" t="n">
        <v>8000</v>
      </c>
      <c r="I281" s="18" t="n">
        <v>2318980.15</v>
      </c>
      <c r="J281" s="12" t="inlineStr">
        <is>
          <t>10 % × 100,000 × split 80%</t>
        </is>
      </c>
    </row>
    <row r="282">
      <c r="A282" s="12" t="n">
        <v>281</v>
      </c>
      <c r="B282" s="15" t="n">
        <v>46576</v>
      </c>
      <c r="C282" s="16" t="n">
        <v>10</v>
      </c>
      <c r="D282" s="13" t="inlineStr">
        <is>
          <t>Payout</t>
        </is>
      </c>
      <c r="E282" s="12" t="inlineStr">
        <is>
          <t>Kickstart Trading</t>
        </is>
      </c>
      <c r="F282" s="12" t="inlineStr">
        <is>
          <t>#4 Instant-Direct 100k</t>
        </is>
      </c>
      <c r="G282" s="18" t="n">
        <v>100000</v>
      </c>
      <c r="H282" s="18" t="n">
        <v>8000</v>
      </c>
      <c r="I282" s="18" t="n">
        <v>2326980.15</v>
      </c>
      <c r="J282" s="12" t="inlineStr">
        <is>
          <t>10 % × 100,000 × split 80%</t>
        </is>
      </c>
    </row>
    <row r="283">
      <c r="A283" s="12" t="n">
        <v>282</v>
      </c>
      <c r="B283" s="15" t="n">
        <v>46576</v>
      </c>
      <c r="C283" s="16" t="n">
        <v>10</v>
      </c>
      <c r="D283" s="13" t="inlineStr">
        <is>
          <t>Payout</t>
        </is>
      </c>
      <c r="E283" s="12" t="inlineStr">
        <is>
          <t>Kickstart Trading</t>
        </is>
      </c>
      <c r="F283" s="12" t="inlineStr">
        <is>
          <t>#5 Instant-Direct 100k</t>
        </is>
      </c>
      <c r="G283" s="18" t="n">
        <v>100000</v>
      </c>
      <c r="H283" s="18" t="n">
        <v>8000</v>
      </c>
      <c r="I283" s="18" t="n">
        <v>2334980.15</v>
      </c>
      <c r="J283" s="12" t="inlineStr">
        <is>
          <t>10 % × 100,000 × split 80%</t>
        </is>
      </c>
    </row>
    <row r="284">
      <c r="A284" s="12" t="n">
        <v>283</v>
      </c>
      <c r="B284" s="15" t="n">
        <v>46576</v>
      </c>
      <c r="C284" s="16" t="n">
        <v>10</v>
      </c>
      <c r="D284" s="13" t="inlineStr">
        <is>
          <t>Payout</t>
        </is>
      </c>
      <c r="E284" s="12" t="inlineStr">
        <is>
          <t>Kickstart Trading</t>
        </is>
      </c>
      <c r="F284" s="12" t="inlineStr">
        <is>
          <t>#6 Instant-Direct 100k</t>
        </is>
      </c>
      <c r="G284" s="18" t="n">
        <v>100000</v>
      </c>
      <c r="H284" s="18" t="n">
        <v>8000</v>
      </c>
      <c r="I284" s="18" t="n">
        <v>2342980.15</v>
      </c>
      <c r="J284" s="12" t="inlineStr">
        <is>
          <t>10 % × 100,000 × split 80%</t>
        </is>
      </c>
    </row>
    <row r="285">
      <c r="A285" s="12" t="n">
        <v>284</v>
      </c>
      <c r="B285" s="15" t="n">
        <v>46576</v>
      </c>
      <c r="C285" s="16" t="n">
        <v>10</v>
      </c>
      <c r="D285" s="13" t="inlineStr">
        <is>
          <t>Payout</t>
        </is>
      </c>
      <c r="E285" s="12" t="inlineStr">
        <is>
          <t>Kickstart Trading</t>
        </is>
      </c>
      <c r="F285" s="12" t="inlineStr">
        <is>
          <t>#7 Instant-Direct 100k</t>
        </is>
      </c>
      <c r="G285" s="18" t="n">
        <v>100000</v>
      </c>
      <c r="H285" s="18" t="n">
        <v>8000</v>
      </c>
      <c r="I285" s="18" t="n">
        <v>2350980.15</v>
      </c>
      <c r="J285" s="12" t="inlineStr">
        <is>
          <t>10 % × 100,000 × split 80%</t>
        </is>
      </c>
    </row>
    <row r="286">
      <c r="A286" s="12" t="n">
        <v>285</v>
      </c>
      <c r="B286" s="15" t="n">
        <v>46576</v>
      </c>
      <c r="C286" s="16" t="n">
        <v>10</v>
      </c>
      <c r="D286" s="13" t="inlineStr">
        <is>
          <t>Payout</t>
        </is>
      </c>
      <c r="E286" s="12" t="inlineStr">
        <is>
          <t>Kickstart Trading</t>
        </is>
      </c>
      <c r="F286" s="12" t="inlineStr">
        <is>
          <t>#8 Instant-Direct 100k</t>
        </is>
      </c>
      <c r="G286" s="18" t="n">
        <v>100000</v>
      </c>
      <c r="H286" s="18" t="n">
        <v>8000</v>
      </c>
      <c r="I286" s="18" t="n">
        <v>2358980.15</v>
      </c>
      <c r="J286" s="12" t="inlineStr">
        <is>
          <t>10 % × 100,000 × split 80%</t>
        </is>
      </c>
    </row>
    <row r="287">
      <c r="A287" s="12" t="n">
        <v>286</v>
      </c>
      <c r="B287" s="15" t="n">
        <v>46576</v>
      </c>
      <c r="C287" s="16" t="n">
        <v>10</v>
      </c>
      <c r="D287" s="13" t="inlineStr">
        <is>
          <t>Payout</t>
        </is>
      </c>
      <c r="E287" s="12" t="inlineStr">
        <is>
          <t>Kickstart Trading</t>
        </is>
      </c>
      <c r="F287" s="12" t="inlineStr">
        <is>
          <t>#9 Instant-Direct 100k</t>
        </is>
      </c>
      <c r="G287" s="18" t="n">
        <v>100000</v>
      </c>
      <c r="H287" s="18" t="n">
        <v>8000</v>
      </c>
      <c r="I287" s="18" t="n">
        <v>2366980.15</v>
      </c>
      <c r="J287" s="12" t="inlineStr">
        <is>
          <t>10 % × 100,000 × split 80%</t>
        </is>
      </c>
    </row>
    <row r="288">
      <c r="A288" s="12" t="n">
        <v>287</v>
      </c>
      <c r="B288" s="15" t="n">
        <v>46576</v>
      </c>
      <c r="C288" s="16" t="n">
        <v>10</v>
      </c>
      <c r="D288" s="13" t="inlineStr">
        <is>
          <t>Payout</t>
        </is>
      </c>
      <c r="E288" s="12" t="inlineStr">
        <is>
          <t>FundingRock</t>
        </is>
      </c>
      <c r="F288" s="12" t="inlineStr">
        <is>
          <t>#10 Instant-Direct 100k</t>
        </is>
      </c>
      <c r="G288" s="18" t="n">
        <v>100000</v>
      </c>
      <c r="H288" s="18" t="n">
        <v>8000</v>
      </c>
      <c r="I288" s="18" t="n">
        <v>2374980.15</v>
      </c>
      <c r="J288" s="12" t="inlineStr">
        <is>
          <t>10 % × 100,000 × split 80%</t>
        </is>
      </c>
    </row>
    <row r="289">
      <c r="A289" s="12" t="n">
        <v>288</v>
      </c>
      <c r="B289" s="15" t="n">
        <v>46576</v>
      </c>
      <c r="C289" s="16" t="n">
        <v>10</v>
      </c>
      <c r="D289" s="13" t="inlineStr">
        <is>
          <t>Payout</t>
        </is>
      </c>
      <c r="E289" s="12" t="inlineStr">
        <is>
          <t>Kickstart Trading</t>
        </is>
      </c>
      <c r="F289" s="12" t="inlineStr">
        <is>
          <t>#11 Instant-Direct 100k</t>
        </is>
      </c>
      <c r="G289" s="18" t="n">
        <v>100000</v>
      </c>
      <c r="H289" s="18" t="n">
        <v>8000</v>
      </c>
      <c r="I289" s="18" t="n">
        <v>2382980.15</v>
      </c>
      <c r="J289" s="12" t="inlineStr">
        <is>
          <t>10 % × 100,000 × split 80%</t>
        </is>
      </c>
    </row>
    <row r="290">
      <c r="A290" s="12" t="n">
        <v>289</v>
      </c>
      <c r="B290" s="15" t="n">
        <v>46576</v>
      </c>
      <c r="C290" s="16" t="n">
        <v>10</v>
      </c>
      <c r="D290" s="13" t="inlineStr">
        <is>
          <t>Payout</t>
        </is>
      </c>
      <c r="E290" s="12" t="inlineStr">
        <is>
          <t>Kickstart Trading</t>
        </is>
      </c>
      <c r="F290" s="12" t="inlineStr">
        <is>
          <t>#12 Instant-Direct 100k</t>
        </is>
      </c>
      <c r="G290" s="18" t="n">
        <v>100000</v>
      </c>
      <c r="H290" s="18" t="n">
        <v>8000</v>
      </c>
      <c r="I290" s="18" t="n">
        <v>2390980.15</v>
      </c>
      <c r="J290" s="12" t="inlineStr">
        <is>
          <t>10 % × 100,000 × split 80%</t>
        </is>
      </c>
    </row>
    <row r="291">
      <c r="A291" s="12" t="n">
        <v>290</v>
      </c>
      <c r="B291" s="15" t="n">
        <v>46576</v>
      </c>
      <c r="C291" s="16" t="n">
        <v>10</v>
      </c>
      <c r="D291" s="13" t="inlineStr">
        <is>
          <t>Payout</t>
        </is>
      </c>
      <c r="E291" s="12" t="inlineStr">
        <is>
          <t>Kickstart Trading</t>
        </is>
      </c>
      <c r="F291" s="12" t="inlineStr">
        <is>
          <t>#13 Instant-Direct 100k</t>
        </is>
      </c>
      <c r="G291" s="18" t="n">
        <v>100000</v>
      </c>
      <c r="H291" s="18" t="n">
        <v>8000</v>
      </c>
      <c r="I291" s="18" t="n">
        <v>2398980.15</v>
      </c>
      <c r="J291" s="12" t="inlineStr">
        <is>
          <t>10 % × 100,000 × split 80%</t>
        </is>
      </c>
    </row>
    <row r="292">
      <c r="A292" s="12" t="n">
        <v>291</v>
      </c>
      <c r="B292" s="15" t="n">
        <v>46576</v>
      </c>
      <c r="C292" s="16" t="n">
        <v>10</v>
      </c>
      <c r="D292" s="13" t="inlineStr">
        <is>
          <t>Payout</t>
        </is>
      </c>
      <c r="E292" s="12" t="inlineStr">
        <is>
          <t>Funding Traders</t>
        </is>
      </c>
      <c r="F292" s="12" t="inlineStr">
        <is>
          <t>#14 Instant-Direct 400k</t>
        </is>
      </c>
      <c r="G292" s="18" t="n">
        <v>400000</v>
      </c>
      <c r="H292" s="18" t="n">
        <v>40000</v>
      </c>
      <c r="I292" s="18" t="n">
        <v>2438980.15</v>
      </c>
      <c r="J292" s="12" t="inlineStr">
        <is>
          <t>10 % × 400,000 × split 100%</t>
        </is>
      </c>
    </row>
    <row r="293">
      <c r="A293" s="12" t="n">
        <v>292</v>
      </c>
      <c r="B293" s="15" t="n">
        <v>46576</v>
      </c>
      <c r="C293" s="16" t="n">
        <v>10</v>
      </c>
      <c r="D293" s="13" t="inlineStr">
        <is>
          <t>Payout</t>
        </is>
      </c>
      <c r="E293" s="12" t="inlineStr">
        <is>
          <t>Blue Guardian</t>
        </is>
      </c>
      <c r="F293" s="12" t="inlineStr">
        <is>
          <t>#15 Instant-Direct 400k</t>
        </is>
      </c>
      <c r="G293" s="18" t="n">
        <v>400000</v>
      </c>
      <c r="H293" s="18" t="n">
        <v>32000</v>
      </c>
      <c r="I293" s="18" t="n">
        <v>2470980.15</v>
      </c>
      <c r="J293" s="12" t="inlineStr">
        <is>
          <t>10 % × 400,000 × split 80%</t>
        </is>
      </c>
    </row>
    <row r="294">
      <c r="A294" s="12" t="n">
        <v>293</v>
      </c>
      <c r="B294" s="15" t="n">
        <v>46576</v>
      </c>
      <c r="C294" s="16" t="n">
        <v>10</v>
      </c>
      <c r="D294" s="13" t="inlineStr">
        <is>
          <t>Payout</t>
        </is>
      </c>
      <c r="E294" s="12" t="inlineStr">
        <is>
          <t>Finotive Futures</t>
        </is>
      </c>
      <c r="F294" s="12" t="inlineStr">
        <is>
          <t>#16 1 Step 150k</t>
        </is>
      </c>
      <c r="G294" s="18" t="n">
        <v>150000</v>
      </c>
      <c r="H294" s="18" t="n">
        <v>13500</v>
      </c>
      <c r="I294" s="18" t="n">
        <v>2484480.15</v>
      </c>
      <c r="J294" s="12" t="inlineStr">
        <is>
          <t>10 % × 150,000 × split 90%</t>
        </is>
      </c>
    </row>
    <row r="295">
      <c r="A295" s="12" t="n">
        <v>294</v>
      </c>
      <c r="B295" s="15" t="n">
        <v>46576</v>
      </c>
      <c r="C295" s="16" t="n">
        <v>10</v>
      </c>
      <c r="D295" s="13" t="inlineStr">
        <is>
          <t>Payout</t>
        </is>
      </c>
      <c r="E295" s="12" t="inlineStr">
        <is>
          <t>Finotive Futures</t>
        </is>
      </c>
      <c r="F295" s="12" t="inlineStr">
        <is>
          <t>#17 1 Step 150k</t>
        </is>
      </c>
      <c r="G295" s="18" t="n">
        <v>150000</v>
      </c>
      <c r="H295" s="18" t="n">
        <v>13500</v>
      </c>
      <c r="I295" s="18" t="n">
        <v>2497980.15</v>
      </c>
      <c r="J295" s="12" t="inlineStr">
        <is>
          <t>10 % × 150,000 × split 90%</t>
        </is>
      </c>
    </row>
    <row r="296">
      <c r="A296" s="12" t="n">
        <v>295</v>
      </c>
      <c r="B296" s="15" t="n">
        <v>46576</v>
      </c>
      <c r="C296" s="16" t="n">
        <v>10</v>
      </c>
      <c r="D296" s="13" t="inlineStr">
        <is>
          <t>Payout</t>
        </is>
      </c>
      <c r="E296" s="12" t="inlineStr">
        <is>
          <t>Finotive Futures</t>
        </is>
      </c>
      <c r="F296" s="12" t="inlineStr">
        <is>
          <t>#18 1 Step 150k</t>
        </is>
      </c>
      <c r="G296" s="18" t="n">
        <v>150000</v>
      </c>
      <c r="H296" s="18" t="n">
        <v>13500</v>
      </c>
      <c r="I296" s="18" t="n">
        <v>2511480.15</v>
      </c>
      <c r="J296" s="12" t="inlineStr">
        <is>
          <t>10 % × 150,000 × split 90%</t>
        </is>
      </c>
    </row>
    <row r="297">
      <c r="A297" s="12" t="n">
        <v>296</v>
      </c>
      <c r="B297" s="15" t="n">
        <v>46576</v>
      </c>
      <c r="C297" s="16" t="n">
        <v>10</v>
      </c>
      <c r="D297" s="13" t="inlineStr">
        <is>
          <t>Payout</t>
        </is>
      </c>
      <c r="E297" s="12" t="inlineStr">
        <is>
          <t>Finotive Futures</t>
        </is>
      </c>
      <c r="F297" s="12" t="inlineStr">
        <is>
          <t>#19 1 Step 150k</t>
        </is>
      </c>
      <c r="G297" s="18" t="n">
        <v>150000</v>
      </c>
      <c r="H297" s="18" t="n">
        <v>13500</v>
      </c>
      <c r="I297" s="18" t="n">
        <v>2524980.15</v>
      </c>
      <c r="J297" s="12" t="inlineStr">
        <is>
          <t>10 % × 150,000 × split 90%</t>
        </is>
      </c>
    </row>
    <row r="298">
      <c r="A298" s="12" t="n">
        <v>297</v>
      </c>
      <c r="B298" s="15" t="n">
        <v>46576</v>
      </c>
      <c r="C298" s="16" t="n">
        <v>10</v>
      </c>
      <c r="D298" s="13" t="inlineStr">
        <is>
          <t>Payout</t>
        </is>
      </c>
      <c r="E298" s="12" t="inlineStr">
        <is>
          <t>Finotive Futures</t>
        </is>
      </c>
      <c r="F298" s="12" t="inlineStr">
        <is>
          <t>#20 1 Step 150k</t>
        </is>
      </c>
      <c r="G298" s="18" t="n">
        <v>150000</v>
      </c>
      <c r="H298" s="18" t="n">
        <v>13500</v>
      </c>
      <c r="I298" s="18" t="n">
        <v>2538480.15</v>
      </c>
      <c r="J298" s="12" t="inlineStr">
        <is>
          <t>10 % × 150,000 × split 90%</t>
        </is>
      </c>
    </row>
    <row r="299">
      <c r="A299" s="12" t="n">
        <v>298</v>
      </c>
      <c r="B299" s="15" t="n">
        <v>46576</v>
      </c>
      <c r="C299" s="16" t="n">
        <v>10</v>
      </c>
      <c r="D299" s="13" t="inlineStr">
        <is>
          <t>Payout</t>
        </is>
      </c>
      <c r="E299" s="12" t="inlineStr">
        <is>
          <t>Finotive Futures</t>
        </is>
      </c>
      <c r="F299" s="12" t="inlineStr">
        <is>
          <t>#21 1 Step 150k</t>
        </is>
      </c>
      <c r="G299" s="18" t="n">
        <v>150000</v>
      </c>
      <c r="H299" s="18" t="n">
        <v>13500</v>
      </c>
      <c r="I299" s="18" t="n">
        <v>2551980.15</v>
      </c>
      <c r="J299" s="12" t="inlineStr">
        <is>
          <t>10 % × 150,000 × split 90%</t>
        </is>
      </c>
    </row>
    <row r="300">
      <c r="A300" s="12" t="n">
        <v>299</v>
      </c>
      <c r="B300" s="15" t="n">
        <v>46576</v>
      </c>
      <c r="C300" s="16" t="n">
        <v>10</v>
      </c>
      <c r="D300" s="13" t="inlineStr">
        <is>
          <t>Payout</t>
        </is>
      </c>
      <c r="E300" s="12" t="inlineStr">
        <is>
          <t>10FOUR</t>
        </is>
      </c>
      <c r="F300" s="12" t="inlineStr">
        <is>
          <t>#22 1 Step 150k</t>
        </is>
      </c>
      <c r="G300" s="18" t="n">
        <v>150000</v>
      </c>
      <c r="H300" s="18" t="n">
        <v>13500</v>
      </c>
      <c r="I300" s="18" t="n">
        <v>2565480.15</v>
      </c>
      <c r="J300" s="12" t="inlineStr">
        <is>
          <t>10 % × 150,000 × split 90%</t>
        </is>
      </c>
    </row>
    <row r="301">
      <c r="A301" s="12" t="n">
        <v>300</v>
      </c>
      <c r="B301" s="15" t="n">
        <v>46576</v>
      </c>
      <c r="C301" s="16" t="n">
        <v>10</v>
      </c>
      <c r="D301" s="13" t="inlineStr">
        <is>
          <t>Payout</t>
        </is>
      </c>
      <c r="E301" s="12" t="inlineStr">
        <is>
          <t>10FOUR</t>
        </is>
      </c>
      <c r="F301" s="12" t="inlineStr">
        <is>
          <t>#23 1 Step 150k</t>
        </is>
      </c>
      <c r="G301" s="18" t="n">
        <v>150000</v>
      </c>
      <c r="H301" s="18" t="n">
        <v>13500</v>
      </c>
      <c r="I301" s="18" t="n">
        <v>2578980.15</v>
      </c>
      <c r="J301" s="12" t="inlineStr">
        <is>
          <t>10 % × 150,000 × split 90%</t>
        </is>
      </c>
    </row>
    <row r="302">
      <c r="A302" s="12" t="n">
        <v>301</v>
      </c>
      <c r="B302" s="15" t="n">
        <v>46576</v>
      </c>
      <c r="C302" s="16" t="n">
        <v>10</v>
      </c>
      <c r="D302" s="13" t="inlineStr">
        <is>
          <t>Payout</t>
        </is>
      </c>
      <c r="E302" s="12" t="inlineStr">
        <is>
          <t>10FOUR</t>
        </is>
      </c>
      <c r="F302" s="12" t="inlineStr">
        <is>
          <t>#24 1 Step 150k</t>
        </is>
      </c>
      <c r="G302" s="18" t="n">
        <v>150000</v>
      </c>
      <c r="H302" s="18" t="n">
        <v>13500</v>
      </c>
      <c r="I302" s="18" t="n">
        <v>2592480.15</v>
      </c>
      <c r="J302" s="12" t="inlineStr">
        <is>
          <t>10 % × 150,000 × split 90%</t>
        </is>
      </c>
    </row>
    <row r="303">
      <c r="A303" s="12" t="n">
        <v>302</v>
      </c>
      <c r="B303" s="15" t="n">
        <v>46576</v>
      </c>
      <c r="C303" s="16" t="n">
        <v>10</v>
      </c>
      <c r="D303" s="13" t="inlineStr">
        <is>
          <t>Payout</t>
        </is>
      </c>
      <c r="E303" s="12" t="inlineStr">
        <is>
          <t>10FOUR</t>
        </is>
      </c>
      <c r="F303" s="12" t="inlineStr">
        <is>
          <t>#25 1 Step 150k</t>
        </is>
      </c>
      <c r="G303" s="18" t="n">
        <v>150000</v>
      </c>
      <c r="H303" s="18" t="n">
        <v>13500</v>
      </c>
      <c r="I303" s="18" t="n">
        <v>2605980.15</v>
      </c>
      <c r="J303" s="12" t="inlineStr">
        <is>
          <t>10 % × 150,000 × split 90%</t>
        </is>
      </c>
    </row>
    <row r="304">
      <c r="A304" s="12" t="n">
        <v>303</v>
      </c>
      <c r="B304" s="15" t="n">
        <v>46576</v>
      </c>
      <c r="C304" s="16" t="n">
        <v>10</v>
      </c>
      <c r="D304" s="13" t="inlineStr">
        <is>
          <t>Payout</t>
        </is>
      </c>
      <c r="E304" s="12" t="inlineStr">
        <is>
          <t>10FOUR</t>
        </is>
      </c>
      <c r="F304" s="12" t="inlineStr">
        <is>
          <t>#26 1 Step 150k</t>
        </is>
      </c>
      <c r="G304" s="18" t="n">
        <v>150000</v>
      </c>
      <c r="H304" s="18" t="n">
        <v>13500</v>
      </c>
      <c r="I304" s="18" t="n">
        <v>2619480.15</v>
      </c>
      <c r="J304" s="12" t="inlineStr">
        <is>
          <t>10 % × 150,000 × split 90%</t>
        </is>
      </c>
    </row>
    <row r="305">
      <c r="A305" s="12" t="n">
        <v>304</v>
      </c>
      <c r="B305" s="15" t="n">
        <v>46576</v>
      </c>
      <c r="C305" s="16" t="n">
        <v>10</v>
      </c>
      <c r="D305" s="13" t="inlineStr">
        <is>
          <t>Payout</t>
        </is>
      </c>
      <c r="E305" s="12" t="inlineStr">
        <is>
          <t>Blue Guardian Futures</t>
        </is>
      </c>
      <c r="F305" s="12" t="inlineStr">
        <is>
          <t>#27 1 Step 100k</t>
        </is>
      </c>
      <c r="G305" s="18" t="n">
        <v>100000</v>
      </c>
      <c r="H305" s="18" t="n">
        <v>9000</v>
      </c>
      <c r="I305" s="18" t="n">
        <v>2628480.15</v>
      </c>
      <c r="J305" s="12" t="inlineStr">
        <is>
          <t>10 % × 100,000 × split 90%</t>
        </is>
      </c>
    </row>
    <row r="306">
      <c r="A306" s="12" t="n">
        <v>305</v>
      </c>
      <c r="B306" s="15" t="n">
        <v>46576</v>
      </c>
      <c r="C306" s="16" t="n">
        <v>10</v>
      </c>
      <c r="D306" s="13" t="inlineStr">
        <is>
          <t>Payout</t>
        </is>
      </c>
      <c r="E306" s="12" t="inlineStr">
        <is>
          <t>Blue Guardian Futures</t>
        </is>
      </c>
      <c r="F306" s="12" t="inlineStr">
        <is>
          <t>#28 1 Step 100k</t>
        </is>
      </c>
      <c r="G306" s="18" t="n">
        <v>100000</v>
      </c>
      <c r="H306" s="18" t="n">
        <v>9000</v>
      </c>
      <c r="I306" s="18" t="n">
        <v>2637480.15</v>
      </c>
      <c r="J306" s="12" t="inlineStr">
        <is>
          <t>10 % × 100,000 × split 90%</t>
        </is>
      </c>
    </row>
    <row r="307">
      <c r="A307" s="12" t="n">
        <v>306</v>
      </c>
      <c r="B307" s="15" t="n">
        <v>46576</v>
      </c>
      <c r="C307" s="16" t="n">
        <v>10</v>
      </c>
      <c r="D307" s="13" t="inlineStr">
        <is>
          <t>Payout</t>
        </is>
      </c>
      <c r="E307" s="12" t="inlineStr">
        <is>
          <t>Blue Guardian Futures</t>
        </is>
      </c>
      <c r="F307" s="12" t="inlineStr">
        <is>
          <t>#29 1 Step 100k</t>
        </is>
      </c>
      <c r="G307" s="18" t="n">
        <v>100000</v>
      </c>
      <c r="H307" s="18" t="n">
        <v>9000</v>
      </c>
      <c r="I307" s="18" t="n">
        <v>2646480.15</v>
      </c>
      <c r="J307" s="12" t="inlineStr">
        <is>
          <t>10 % × 100,000 × split 90%</t>
        </is>
      </c>
    </row>
    <row r="308">
      <c r="A308" s="12" t="n">
        <v>307</v>
      </c>
      <c r="B308" s="15" t="n">
        <v>46576</v>
      </c>
      <c r="C308" s="16" t="n">
        <v>10</v>
      </c>
      <c r="D308" s="13" t="inlineStr">
        <is>
          <t>Payout</t>
        </is>
      </c>
      <c r="E308" s="12" t="inlineStr">
        <is>
          <t>Blue Guardian Futures</t>
        </is>
      </c>
      <c r="F308" s="12" t="inlineStr">
        <is>
          <t>#30 1 Step 100k</t>
        </is>
      </c>
      <c r="G308" s="18" t="n">
        <v>100000</v>
      </c>
      <c r="H308" s="18" t="n">
        <v>9000</v>
      </c>
      <c r="I308" s="18" t="n">
        <v>2655480.15</v>
      </c>
      <c r="J308" s="12" t="inlineStr">
        <is>
          <t>10 % × 100,000 × split 90%</t>
        </is>
      </c>
    </row>
    <row r="309">
      <c r="A309" s="12" t="n">
        <v>308</v>
      </c>
      <c r="B309" s="15" t="n">
        <v>46576</v>
      </c>
      <c r="C309" s="16" t="n">
        <v>10</v>
      </c>
      <c r="D309" s="13" t="inlineStr">
        <is>
          <t>Payout</t>
        </is>
      </c>
      <c r="E309" s="12" t="inlineStr">
        <is>
          <t>Blue Guardian Futures</t>
        </is>
      </c>
      <c r="F309" s="12" t="inlineStr">
        <is>
          <t>#31 1 Step 100k</t>
        </is>
      </c>
      <c r="G309" s="18" t="n">
        <v>100000</v>
      </c>
      <c r="H309" s="18" t="n">
        <v>9000</v>
      </c>
      <c r="I309" s="18" t="n">
        <v>2664480.15</v>
      </c>
      <c r="J309" s="12" t="inlineStr">
        <is>
          <t>10 % × 100,000 × split 90%</t>
        </is>
      </c>
    </row>
    <row r="310">
      <c r="A310" s="12" t="n">
        <v>309</v>
      </c>
      <c r="B310" s="15" t="n">
        <v>46576</v>
      </c>
      <c r="C310" s="16" t="n">
        <v>10</v>
      </c>
      <c r="D310" s="13" t="inlineStr">
        <is>
          <t>Payout</t>
        </is>
      </c>
      <c r="E310" s="12" t="inlineStr">
        <is>
          <t>Blue Guardian Futures</t>
        </is>
      </c>
      <c r="F310" s="12" t="inlineStr">
        <is>
          <t>#32 1 Step 100k</t>
        </is>
      </c>
      <c r="G310" s="18" t="n">
        <v>100000</v>
      </c>
      <c r="H310" s="18" t="n">
        <v>9000</v>
      </c>
      <c r="I310" s="18" t="n">
        <v>2673480.15</v>
      </c>
      <c r="J310" s="12" t="inlineStr">
        <is>
          <t>10 % × 100,000 × split 90%</t>
        </is>
      </c>
    </row>
    <row r="311">
      <c r="A311" s="12" t="n">
        <v>310</v>
      </c>
      <c r="B311" s="15" t="n">
        <v>46576</v>
      </c>
      <c r="C311" s="16" t="n">
        <v>10</v>
      </c>
      <c r="D311" s="13" t="inlineStr">
        <is>
          <t>Payout</t>
        </is>
      </c>
      <c r="E311" s="12" t="inlineStr">
        <is>
          <t>Blue Guardian Futures</t>
        </is>
      </c>
      <c r="F311" s="12" t="inlineStr">
        <is>
          <t>#33 1 Step 100k</t>
        </is>
      </c>
      <c r="G311" s="18" t="n">
        <v>100000</v>
      </c>
      <c r="H311" s="18" t="n">
        <v>9000</v>
      </c>
      <c r="I311" s="18" t="n">
        <v>2682480.15</v>
      </c>
      <c r="J311" s="12" t="inlineStr">
        <is>
          <t>10 % × 100,000 × split 90%</t>
        </is>
      </c>
    </row>
    <row r="312">
      <c r="A312" s="12" t="n">
        <v>311</v>
      </c>
      <c r="B312" s="15" t="n">
        <v>46576</v>
      </c>
      <c r="C312" s="16" t="n">
        <v>10</v>
      </c>
      <c r="D312" s="13" t="inlineStr">
        <is>
          <t>Payout</t>
        </is>
      </c>
      <c r="E312" s="12" t="inlineStr">
        <is>
          <t>FTMO Futures</t>
        </is>
      </c>
      <c r="F312" s="12" t="inlineStr">
        <is>
          <t>#34 1 Step 150k</t>
        </is>
      </c>
      <c r="G312" s="18" t="n">
        <v>150000</v>
      </c>
      <c r="H312" s="18" t="n">
        <v>13500</v>
      </c>
      <c r="I312" s="18" t="n">
        <v>2695980.15</v>
      </c>
      <c r="J312" s="12" t="inlineStr">
        <is>
          <t>10 % × 150,000 × split 90%</t>
        </is>
      </c>
    </row>
    <row r="313">
      <c r="A313" s="12" t="n">
        <v>312</v>
      </c>
      <c r="B313" s="15" t="n">
        <v>46576</v>
      </c>
      <c r="C313" s="16" t="n">
        <v>10</v>
      </c>
      <c r="D313" s="13" t="inlineStr">
        <is>
          <t>Payout</t>
        </is>
      </c>
      <c r="E313" s="12" t="inlineStr">
        <is>
          <t>FTMO Futures</t>
        </is>
      </c>
      <c r="F313" s="12" t="inlineStr">
        <is>
          <t>#35 1 Step 150k</t>
        </is>
      </c>
      <c r="G313" s="18" t="n">
        <v>150000</v>
      </c>
      <c r="H313" s="18" t="n">
        <v>13500</v>
      </c>
      <c r="I313" s="18" t="n">
        <v>2709480.15</v>
      </c>
      <c r="J313" s="12" t="inlineStr">
        <is>
          <t>10 % × 150,000 × split 90%</t>
        </is>
      </c>
    </row>
    <row r="314">
      <c r="A314" s="12" t="n">
        <v>313</v>
      </c>
      <c r="B314" s="15" t="n">
        <v>46576</v>
      </c>
      <c r="C314" s="16" t="n">
        <v>10</v>
      </c>
      <c r="D314" s="13" t="inlineStr">
        <is>
          <t>Payout</t>
        </is>
      </c>
      <c r="E314" s="12" t="inlineStr">
        <is>
          <t>FTMO Futures</t>
        </is>
      </c>
      <c r="F314" s="12" t="inlineStr">
        <is>
          <t>#36 1 Step 150k</t>
        </is>
      </c>
      <c r="G314" s="18" t="n">
        <v>150000</v>
      </c>
      <c r="H314" s="18" t="n">
        <v>13500</v>
      </c>
      <c r="I314" s="18" t="n">
        <v>2722980.15</v>
      </c>
      <c r="J314" s="12" t="inlineStr">
        <is>
          <t>10 % × 150,000 × split 90%</t>
        </is>
      </c>
    </row>
    <row r="315">
      <c r="A315" s="12" t="n">
        <v>314</v>
      </c>
      <c r="B315" s="15" t="n">
        <v>46576</v>
      </c>
      <c r="C315" s="16" t="n">
        <v>10</v>
      </c>
      <c r="D315" s="13" t="inlineStr">
        <is>
          <t>Payout</t>
        </is>
      </c>
      <c r="E315" s="12" t="inlineStr">
        <is>
          <t>BrightFunded</t>
        </is>
      </c>
      <c r="F315" s="12" t="inlineStr">
        <is>
          <t>#37 1 Step 200k</t>
        </is>
      </c>
      <c r="G315" s="18" t="n">
        <v>200000</v>
      </c>
      <c r="H315" s="18" t="n">
        <v>20000</v>
      </c>
      <c r="I315" s="18" t="n">
        <v>2742980.15</v>
      </c>
      <c r="J315" s="12" t="inlineStr">
        <is>
          <t>10 % × 200,000 × split 100%</t>
        </is>
      </c>
    </row>
    <row r="316">
      <c r="A316" s="12" t="n">
        <v>315</v>
      </c>
      <c r="B316" s="15" t="n">
        <v>46576</v>
      </c>
      <c r="C316" s="16" t="n">
        <v>10</v>
      </c>
      <c r="D316" s="13" t="inlineStr">
        <is>
          <t>Payout</t>
        </is>
      </c>
      <c r="E316" s="12" t="inlineStr">
        <is>
          <t>BrightFunded</t>
        </is>
      </c>
      <c r="F316" s="12" t="inlineStr">
        <is>
          <t>#38 1 Step 200k</t>
        </is>
      </c>
      <c r="G316" s="18" t="n">
        <v>200000</v>
      </c>
      <c r="H316" s="18" t="n">
        <v>20000</v>
      </c>
      <c r="I316" s="18" t="n">
        <v>2762980.15</v>
      </c>
      <c r="J316" s="12" t="inlineStr">
        <is>
          <t>10 % × 200,000 × split 100%</t>
        </is>
      </c>
    </row>
    <row r="317">
      <c r="A317" s="12" t="n">
        <v>316</v>
      </c>
      <c r="B317" s="15" t="n">
        <v>46576</v>
      </c>
      <c r="C317" s="16" t="n">
        <v>10</v>
      </c>
      <c r="D317" s="13" t="inlineStr">
        <is>
          <t>Payout</t>
        </is>
      </c>
      <c r="E317" s="12" t="inlineStr">
        <is>
          <t>FTMO</t>
        </is>
      </c>
      <c r="F317" s="12" t="inlineStr">
        <is>
          <t>#39 1 Step 200k</t>
        </is>
      </c>
      <c r="G317" s="18" t="n">
        <v>200000</v>
      </c>
      <c r="H317" s="18" t="n">
        <v>16000</v>
      </c>
      <c r="I317" s="18" t="n">
        <v>2778980.15</v>
      </c>
      <c r="J317" s="12" t="inlineStr">
        <is>
          <t>10 % × 200,000 × split 80%</t>
        </is>
      </c>
    </row>
    <row r="318">
      <c r="A318" s="12" t="n">
        <v>317</v>
      </c>
      <c r="B318" s="15" t="n">
        <v>46576</v>
      </c>
      <c r="C318" s="16" t="n">
        <v>10</v>
      </c>
      <c r="D318" s="13" t="inlineStr">
        <is>
          <t>Payout</t>
        </is>
      </c>
      <c r="E318" s="12" t="inlineStr">
        <is>
          <t>FTMO</t>
        </is>
      </c>
      <c r="F318" s="12" t="inlineStr">
        <is>
          <t>#40 1 Step 200k</t>
        </is>
      </c>
      <c r="G318" s="18" t="n">
        <v>200000</v>
      </c>
      <c r="H318" s="18" t="n">
        <v>16000</v>
      </c>
      <c r="I318" s="18" t="n">
        <v>2794980.15</v>
      </c>
      <c r="J318" s="12" t="inlineStr">
        <is>
          <t>10 % × 200,000 × split 80%</t>
        </is>
      </c>
    </row>
  </sheetData>
  <autoFilter ref="A1:J3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8" customWidth="1" min="3" max="3"/>
    <col width="12" customWidth="1" min="4" max="4"/>
    <col width="14" customWidth="1" min="5" max="5"/>
    <col width="12" customWidth="1" min="6" max="6"/>
    <col width="12" customWidth="1" min="7" max="7"/>
    <col width="8" customWidth="1" min="8" max="8"/>
    <col width="14" customWidth="1" min="9" max="9"/>
    <col width="14" customWidth="1" min="10" max="10"/>
    <col width="10" customWidth="1" min="11" max="11"/>
    <col width="22" customWidth="1" min="12" max="12"/>
    <col width="8" customWidth="1" min="13" max="13"/>
    <col width="26" customWidth="1" min="14" max="14"/>
    <col width="10" customWidth="1" min="15" max="15"/>
    <col width="12" customWidth="1" min="16" max="16"/>
    <col width="12" customWidth="1" min="17" max="17"/>
    <col width="12" customWidth="1" min="18" max="18"/>
    <col width="70" customWidth="1" min="19" max="19"/>
  </cols>
  <sheetData>
    <row r="1" ht="40" customHeight="1">
      <c r="A1" s="11" t="inlineStr">
        <is>
          <t>Rang</t>
        </is>
      </c>
      <c r="B1" s="11" t="inlineStr">
        <is>
          <t>Groupe</t>
        </is>
      </c>
      <c r="C1" s="11" t="inlineStr">
        <is>
          <t>Prop firm</t>
        </is>
      </c>
      <c r="D1" s="11" t="inlineStr">
        <is>
          <t>Marché</t>
        </is>
      </c>
      <c r="E1" s="11" t="inlineStr">
        <is>
          <t>Type de compte</t>
        </is>
      </c>
      <c r="F1" s="11" t="inlineStr">
        <is>
          <t>Taille ($)</t>
        </is>
      </c>
      <c r="G1" s="11" t="inlineStr">
        <is>
          <t>Prix unitaire ($)</t>
        </is>
      </c>
      <c r="H1" s="11" t="inlineStr">
        <is>
          <t>Nb de comptes</t>
        </is>
      </c>
      <c r="I1" s="11" t="inlineStr">
        <is>
          <t>Capital cible ($)</t>
        </is>
      </c>
      <c r="J1" s="11" t="inlineStr">
        <is>
          <t>Coût total ($)</t>
        </is>
      </c>
      <c r="K1" s="11" t="inlineStr">
        <is>
          <t>Capital par $ de frais</t>
        </is>
      </c>
      <c r="L1" s="11" t="inlineStr">
        <is>
          <t>Même stratégie</t>
        </is>
      </c>
      <c r="M1" s="11" t="inlineStr">
        <is>
          <t>Profit split</t>
        </is>
      </c>
      <c r="N1" s="11" t="inlineStr">
        <is>
          <t>Objectif(s) de profit</t>
        </is>
      </c>
      <c r="O1" s="11" t="inlineStr">
        <is>
          <t>Durée d'évaluation (mois)</t>
        </is>
      </c>
      <c r="P1" s="11" t="inlineStr">
        <is>
          <t>Date du 1er achat</t>
        </is>
      </c>
      <c r="Q1" s="11" t="inlineStr">
        <is>
          <t>Date du dernier achat</t>
        </is>
      </c>
      <c r="R1" s="11" t="inlineStr">
        <is>
          <t>Date du 1er payout</t>
        </is>
      </c>
      <c r="S1" s="11" t="inlineStr">
        <is>
          <t>Prix : détail et source</t>
        </is>
      </c>
    </row>
    <row r="2">
      <c r="A2" s="12" t="n">
        <v>1</v>
      </c>
      <c r="B2" s="12" t="inlineStr">
        <is>
          <t>A – Instant/Direct CFD</t>
        </is>
      </c>
      <c r="C2" s="12" t="inlineStr">
        <is>
          <t>Kickstart Trading</t>
        </is>
      </c>
      <c r="D2" s="12" t="inlineStr">
        <is>
          <t>CFD + Futures</t>
        </is>
      </c>
      <c r="E2" s="12" t="inlineStr">
        <is>
          <t>Instant-Direct</t>
        </is>
      </c>
      <c r="F2" s="18" t="n">
        <v>100000</v>
      </c>
      <c r="G2" s="18" t="n">
        <v>5000</v>
      </c>
      <c r="H2" s="12" t="n">
        <v>10</v>
      </c>
      <c r="I2" s="18" t="n">
        <v>1000000</v>
      </c>
      <c r="J2" s="18" t="n">
        <v>50000</v>
      </c>
      <c r="K2" s="12" t="n">
        <v>20</v>
      </c>
      <c r="L2" s="12" t="inlineStr">
        <is>
          <t>OUI</t>
        </is>
      </c>
      <c r="M2" s="21" t="n">
        <v>0.8</v>
      </c>
      <c r="N2" s="12" t="inlineStr">
        <is>
          <t>aucun (instant)</t>
        </is>
      </c>
      <c r="O2" s="12" t="n">
        <v>0</v>
      </c>
      <c r="P2" s="15" t="n">
        <v>46352</v>
      </c>
      <c r="Q2" s="15" t="n">
        <v>46408</v>
      </c>
      <c r="R2" s="15" t="n">
        <v>46380</v>
      </c>
      <c r="S2" s="12" t="inlineStr">
        <is>
          <t>instant:5000 (100k);one_step_fx:9800 (1M) / 4895 (500k);two_step_fx:2760 (500k);futures_funding:1735 (150k);one_step_futures:360/month (150k);equities:1400 (200k) [official]</t>
        </is>
      </c>
    </row>
    <row r="3">
      <c r="A3" s="12" t="n">
        <v>2</v>
      </c>
      <c r="B3" s="12" t="inlineStr">
        <is>
          <t>A – Instant/Direct CFD</t>
        </is>
      </c>
      <c r="C3" s="12" t="inlineStr">
        <is>
          <t>Funding Traders</t>
        </is>
      </c>
      <c r="D3" s="12" t="inlineStr">
        <is>
          <t>CFD</t>
        </is>
      </c>
      <c r="E3" s="12" t="inlineStr">
        <is>
          <t>Instant-Direct</t>
        </is>
      </c>
      <c r="F3" s="18" t="n">
        <v>400000</v>
      </c>
      <c r="G3" s="18" t="n">
        <v>2349</v>
      </c>
      <c r="H3" s="12" t="n">
        <v>1</v>
      </c>
      <c r="I3" s="18" t="n">
        <v>400000</v>
      </c>
      <c r="J3" s="18" t="n">
        <v>2349</v>
      </c>
      <c r="K3" s="12" t="n">
        <v>170</v>
      </c>
      <c r="L3" s="12" t="inlineStr">
        <is>
          <t>OUI</t>
        </is>
      </c>
      <c r="M3" s="21" t="n">
        <v>1</v>
      </c>
      <c r="N3" s="12" t="inlineStr">
        <is>
          <t>aucun (instant)</t>
        </is>
      </c>
      <c r="O3" s="12" t="n">
        <v>0</v>
      </c>
      <c r="P3" s="15" t="n">
        <v>46408</v>
      </c>
      <c r="Q3" s="15" t="n">
        <v>46408</v>
      </c>
      <c r="R3" s="15" t="n">
        <v>46436</v>
      </c>
      <c r="S3" s="12" t="inlineStr">
        <is>
          <t>instant:2349 (400k);one_step_pro:999 (200k);two_step_pro10:999 (200k);two_step_pro6:799 (200k) [official homepage]</t>
        </is>
      </c>
    </row>
    <row r="4">
      <c r="A4" s="12" t="n">
        <v>3</v>
      </c>
      <c r="B4" s="12" t="inlineStr">
        <is>
          <t>A – Instant/Direct CFD</t>
        </is>
      </c>
      <c r="C4" s="12" t="inlineStr">
        <is>
          <t>Blue Guardian</t>
        </is>
      </c>
      <c r="D4" s="12" t="inlineStr">
        <is>
          <t>CFD + Futures</t>
        </is>
      </c>
      <c r="E4" s="12" t="inlineStr">
        <is>
          <t>Instant-Direct</t>
        </is>
      </c>
      <c r="F4" s="18" t="n">
        <v>400000</v>
      </c>
      <c r="G4" s="18" t="n">
        <v>2200</v>
      </c>
      <c r="H4" s="12" t="n">
        <v>1</v>
      </c>
      <c r="I4" s="18" t="n">
        <v>400000</v>
      </c>
      <c r="J4" s="18" t="n">
        <v>2200</v>
      </c>
      <c r="K4" s="12" t="n">
        <v>182</v>
      </c>
      <c r="L4" s="12" t="inlineStr">
        <is>
          <t>OUI</t>
        </is>
      </c>
      <c r="M4" s="21" t="n">
        <v>0.8</v>
      </c>
      <c r="N4" s="12" t="inlineStr">
        <is>
          <t>aucun (instant)</t>
        </is>
      </c>
      <c r="O4" s="12" t="n">
        <v>0</v>
      </c>
      <c r="P4" s="15" t="n">
        <v>46408</v>
      </c>
      <c r="Q4" s="15" t="n">
        <v>46408</v>
      </c>
      <c r="R4" s="15" t="n">
        <v>46436</v>
      </c>
      <c r="S4" s="12" t="inlineStr">
        <is>
          <t>instant:2200 (400k);one_step:2200 (400k);two_step:2200 (400k)</t>
        </is>
      </c>
    </row>
    <row r="5">
      <c r="A5" s="12" t="n">
        <v>4</v>
      </c>
      <c r="B5" s="12" t="inlineStr">
        <is>
          <t>A – Instant/Direct CFD</t>
        </is>
      </c>
      <c r="C5" s="12" t="inlineStr">
        <is>
          <t>Hex Funded</t>
        </is>
      </c>
      <c r="D5" s="12" t="inlineStr">
        <is>
          <t>CFD</t>
        </is>
      </c>
      <c r="E5" s="12" t="inlineStr">
        <is>
          <t>Instant-Direct</t>
        </is>
      </c>
      <c r="F5" s="18" t="n">
        <v>100000</v>
      </c>
      <c r="G5" s="18" t="n">
        <v>596</v>
      </c>
      <c r="H5" s="12" t="n">
        <v>1</v>
      </c>
      <c r="I5" s="18" t="n">
        <v>100000</v>
      </c>
      <c r="J5" s="18" t="n">
        <v>596</v>
      </c>
      <c r="K5" s="12" t="n">
        <v>168</v>
      </c>
      <c r="L5" s="12" t="inlineStr">
        <is>
          <t>sous conditions / un seul compte</t>
        </is>
      </c>
      <c r="M5" s="21" t="n">
        <v>0.9</v>
      </c>
      <c r="N5" s="12" t="inlineStr">
        <is>
          <t>aucun (instant)</t>
        </is>
      </c>
      <c r="O5" s="12" t="n">
        <v>0</v>
      </c>
      <c r="P5" s="15" t="n">
        <v>46324</v>
      </c>
      <c r="Q5" s="15" t="n">
        <v>46324</v>
      </c>
      <c r="R5" s="15" t="n">
        <v>46352</v>
      </c>
      <c r="S5" s="12" t="inlineStr">
        <is>
          <t>instant:954 (200k);instant_pro:596 (100k);one_step_rapid:294 (50k);two_step_rapid:921 (200k) [official homepage regular prices]</t>
        </is>
      </c>
    </row>
    <row r="6">
      <c r="A6" s="12" t="n">
        <v>5</v>
      </c>
      <c r="B6" s="12" t="inlineStr">
        <is>
          <t>A – Instant/Direct CFD</t>
        </is>
      </c>
      <c r="C6" s="12" t="inlineStr">
        <is>
          <t>FundingRock</t>
        </is>
      </c>
      <c r="D6" s="12" t="inlineStr">
        <is>
          <t>CFD</t>
        </is>
      </c>
      <c r="E6" s="12" t="inlineStr">
        <is>
          <t>Instant-Direct</t>
        </is>
      </c>
      <c r="F6" s="18" t="n">
        <v>100000</v>
      </c>
      <c r="G6" s="18" t="n">
        <v>600</v>
      </c>
      <c r="H6" s="12" t="n">
        <v>1</v>
      </c>
      <c r="I6" s="18" t="n">
        <v>100000</v>
      </c>
      <c r="J6" s="18" t="n">
        <v>600</v>
      </c>
      <c r="K6" s="12" t="n">
        <v>167</v>
      </c>
      <c r="L6" s="12" t="inlineStr">
        <is>
          <t>sous conditions / un seul compte</t>
        </is>
      </c>
      <c r="M6" s="21" t="n">
        <v>0.8</v>
      </c>
      <c r="N6" s="12" t="inlineStr">
        <is>
          <t>aucun (instant)</t>
        </is>
      </c>
      <c r="O6" s="12" t="n">
        <v>0</v>
      </c>
      <c r="P6" s="15" t="n">
        <v>46380</v>
      </c>
      <c r="Q6" s="15" t="n">
        <v>46380</v>
      </c>
      <c r="R6" s="15" t="n">
        <v>46408</v>
      </c>
      <c r="S6" s="12" t="inlineStr">
        <is>
          <t>instant:600 (100k);one_step:450 (100k);two_step:350 (100k) [official homepage]</t>
        </is>
      </c>
    </row>
    <row r="7">
      <c r="A7" s="12" t="n">
        <v>6</v>
      </c>
      <c r="B7" s="12" t="inlineStr">
        <is>
          <t>B – À étapes</t>
        </is>
      </c>
      <c r="C7" s="12" t="inlineStr">
        <is>
          <t>Finotive Futures</t>
        </is>
      </c>
      <c r="D7" s="12" t="inlineStr">
        <is>
          <t>Futures</t>
        </is>
      </c>
      <c r="E7" s="12" t="inlineStr">
        <is>
          <t>1 Step</t>
        </is>
      </c>
      <c r="F7" s="18" t="n">
        <v>150000</v>
      </c>
      <c r="G7" s="18" t="n">
        <v>399</v>
      </c>
      <c r="H7" s="12" t="n">
        <v>6</v>
      </c>
      <c r="I7" s="18" t="n">
        <v>900000</v>
      </c>
      <c r="J7" s="18" t="n">
        <v>2394</v>
      </c>
      <c r="K7" s="12" t="n">
        <v>376</v>
      </c>
      <c r="L7" s="12" t="inlineStr">
        <is>
          <t>OUI</t>
        </is>
      </c>
      <c r="M7" s="21" t="n">
        <v>0.9</v>
      </c>
      <c r="N7" s="12" t="inlineStr">
        <is>
          <t>objectif par défaut (non renseigné)</t>
        </is>
      </c>
      <c r="O7" s="12" t="n">
        <v>1</v>
      </c>
      <c r="P7" s="15" t="n">
        <v>46408</v>
      </c>
      <c r="Q7" s="15" t="n">
        <v>46408</v>
      </c>
      <c r="R7" s="15" t="n">
        <v>46464</v>
      </c>
      <c r="S7" s="12" t="inlineStr">
        <is>
          <t>one_step:399 (150k); 100k=299</t>
        </is>
      </c>
    </row>
    <row r="8">
      <c r="A8" s="12" t="n">
        <v>7</v>
      </c>
      <c r="B8" s="12" t="inlineStr">
        <is>
          <t>B – À étapes</t>
        </is>
      </c>
      <c r="C8" s="12" t="inlineStr">
        <is>
          <t>10FOUR</t>
        </is>
      </c>
      <c r="D8" s="12" t="inlineStr">
        <is>
          <t>Futures</t>
        </is>
      </c>
      <c r="E8" s="12" t="inlineStr">
        <is>
          <t>1 Step</t>
        </is>
      </c>
      <c r="F8" s="18" t="n">
        <v>150000</v>
      </c>
      <c r="G8" s="18" t="n">
        <v>248.57</v>
      </c>
      <c r="H8" s="12" t="n">
        <v>5</v>
      </c>
      <c r="I8" s="18" t="n">
        <v>750000</v>
      </c>
      <c r="J8" s="18" t="n">
        <v>1243</v>
      </c>
      <c r="K8" s="12" t="n">
        <v>603</v>
      </c>
      <c r="L8" s="12" t="inlineStr">
        <is>
          <t>OUI</t>
        </is>
      </c>
      <c r="M8" s="21" t="n">
        <v>0.9</v>
      </c>
      <c r="N8" s="12" t="inlineStr">
        <is>
          <t>objectif par défaut (non renseigné)</t>
        </is>
      </c>
      <c r="O8" s="12" t="n">
        <v>1</v>
      </c>
      <c r="P8" s="15" t="n">
        <v>46408</v>
      </c>
      <c r="Q8" s="15" t="n">
        <v>46408</v>
      </c>
      <c r="R8" s="15" t="n">
        <v>46464</v>
      </c>
      <c r="S8" s="12" t="inlineStr">
        <is>
          <t>instant:590;one_step_daily_eval:258;one_step_1day_pass:248.57;static_eval_50k:349</t>
        </is>
      </c>
    </row>
    <row r="9">
      <c r="A9" s="12" t="n">
        <v>8</v>
      </c>
      <c r="B9" s="12" t="inlineStr">
        <is>
          <t>B – À étapes</t>
        </is>
      </c>
      <c r="C9" s="12" t="inlineStr">
        <is>
          <t>Blue Guardian Futures</t>
        </is>
      </c>
      <c r="D9" s="12" t="inlineStr">
        <is>
          <t>Futures</t>
        </is>
      </c>
      <c r="E9" s="12" t="inlineStr">
        <is>
          <t>1 Step</t>
        </is>
      </c>
      <c r="F9" s="18" t="n">
        <v>100000</v>
      </c>
      <c r="G9" s="18" t="n">
        <v>2200</v>
      </c>
      <c r="H9" s="12" t="n">
        <v>7</v>
      </c>
      <c r="I9" s="18" t="n">
        <v>700000</v>
      </c>
      <c r="J9" s="18" t="n">
        <v>15400</v>
      </c>
      <c r="K9" s="12" t="n">
        <v>45</v>
      </c>
      <c r="L9" s="12" t="inlineStr">
        <is>
          <t>OUI</t>
        </is>
      </c>
      <c r="M9" s="21" t="n">
        <v>0.9</v>
      </c>
      <c r="N9" s="12" t="inlineStr">
        <is>
          <t>objectif par défaut (non renseigné)</t>
        </is>
      </c>
      <c r="O9" s="12" t="n">
        <v>1</v>
      </c>
      <c r="P9" s="15" t="n">
        <v>46408</v>
      </c>
      <c r="Q9" s="15" t="n">
        <v>46408</v>
      </c>
      <c r="R9" s="15" t="n">
        <v>46464</v>
      </c>
      <c r="S9" s="12" t="inlineStr">
        <is>
          <t>instant:2200 (400k);one_step:2200 (std)/1712 (nano) (400k);two_step:2200 (std)/1712 (nano) (400k)</t>
        </is>
      </c>
    </row>
    <row r="10">
      <c r="A10" s="12" t="n">
        <v>9</v>
      </c>
      <c r="B10" s="12" t="inlineStr">
        <is>
          <t>B – À étapes</t>
        </is>
      </c>
      <c r="C10" s="12" t="inlineStr">
        <is>
          <t>FTMO Futures</t>
        </is>
      </c>
      <c r="D10" s="12" t="inlineStr">
        <is>
          <t>Futures</t>
        </is>
      </c>
      <c r="E10" s="12" t="inlineStr">
        <is>
          <t>1 Step</t>
        </is>
      </c>
      <c r="F10" s="18" t="n">
        <v>150000</v>
      </c>
      <c r="G10" s="18" t="n">
        <v>229</v>
      </c>
      <c r="H10" s="12" t="n">
        <v>3</v>
      </c>
      <c r="I10" s="18" t="n">
        <v>450000</v>
      </c>
      <c r="J10" s="18" t="n">
        <v>687</v>
      </c>
      <c r="K10" s="12" t="n">
        <v>655</v>
      </c>
      <c r="L10" s="12" t="inlineStr">
        <is>
          <t>OUI</t>
        </is>
      </c>
      <c r="M10" s="21" t="n">
        <v>0.9</v>
      </c>
      <c r="N10" s="12" t="inlineStr">
        <is>
          <t>6%</t>
        </is>
      </c>
      <c r="O10" s="12" t="n">
        <v>1</v>
      </c>
      <c r="P10" s="15" t="n">
        <v>46408</v>
      </c>
      <c r="Q10" s="15" t="n">
        <v>46408</v>
      </c>
      <c r="R10" s="15" t="n">
        <v>46464</v>
      </c>
      <c r="S10" s="12" t="inlineStr">
        <is>
          <t>(abonnement mensuel pendant l'évaluation) one_step:229/month (Growth 150k)</t>
        </is>
      </c>
    </row>
    <row r="11">
      <c r="A11" s="12" t="n">
        <v>10</v>
      </c>
      <c r="B11" s="12" t="inlineStr">
        <is>
          <t>B – À étapes</t>
        </is>
      </c>
      <c r="C11" s="12" t="inlineStr">
        <is>
          <t>BrightFunded</t>
        </is>
      </c>
      <c r="D11" s="12" t="inlineStr">
        <is>
          <t>CFD</t>
        </is>
      </c>
      <c r="E11" s="12" t="inlineStr">
        <is>
          <t>1 Step</t>
        </is>
      </c>
      <c r="F11" s="18" t="n">
        <v>200000</v>
      </c>
      <c r="G11" s="18" t="n">
        <v>1032</v>
      </c>
      <c r="H11" s="12" t="n">
        <v>2</v>
      </c>
      <c r="I11" s="18" t="n">
        <v>400000</v>
      </c>
      <c r="J11" s="18" t="n">
        <v>2064</v>
      </c>
      <c r="K11" s="12" t="n">
        <v>194</v>
      </c>
      <c r="L11" s="12" t="inlineStr">
        <is>
          <t>OUI</t>
        </is>
      </c>
      <c r="M11" s="21" t="n">
        <v>1</v>
      </c>
      <c r="N11" s="12" t="inlineStr">
        <is>
          <t>10%</t>
        </is>
      </c>
      <c r="O11" s="12" t="n">
        <v>1</v>
      </c>
      <c r="P11" s="15" t="n">
        <v>46408</v>
      </c>
      <c r="Q11" s="15" t="n">
        <v>46408</v>
      </c>
      <c r="R11" s="15" t="n">
        <v>46464</v>
      </c>
      <c r="S11" s="12" t="inlineStr">
        <is>
          <t>one_step:1032 (EUR947 list, 200k);two_step:1032 (EUR947 list, 200k)</t>
        </is>
      </c>
    </row>
    <row r="12">
      <c r="A12" s="12" t="n">
        <v>11</v>
      </c>
      <c r="B12" s="12" t="inlineStr">
        <is>
          <t>B – À étapes</t>
        </is>
      </c>
      <c r="C12" s="12" t="inlineStr">
        <is>
          <t>FTMO</t>
        </is>
      </c>
      <c r="D12" s="12" t="inlineStr">
        <is>
          <t>CFD + Futures</t>
        </is>
      </c>
      <c r="E12" s="12" t="inlineStr">
        <is>
          <t>1 Step</t>
        </is>
      </c>
      <c r="F12" s="18" t="n">
        <v>200000</v>
      </c>
      <c r="G12" s="18" t="n">
        <v>1177</v>
      </c>
      <c r="H12" s="12" t="n">
        <v>2</v>
      </c>
      <c r="I12" s="18" t="n">
        <v>400000</v>
      </c>
      <c r="J12" s="18" t="n">
        <v>2354</v>
      </c>
      <c r="K12" s="12" t="n">
        <v>170</v>
      </c>
      <c r="L12" s="12" t="inlineStr">
        <is>
          <t>OUI</t>
        </is>
      </c>
      <c r="M12" s="21" t="n">
        <v>0.8</v>
      </c>
      <c r="N12" s="12" t="inlineStr">
        <is>
          <t>10%</t>
        </is>
      </c>
      <c r="O12" s="12" t="n">
        <v>1</v>
      </c>
      <c r="P12" s="15" t="n">
        <v>46408</v>
      </c>
      <c r="Q12" s="15" t="n">
        <v>46408</v>
      </c>
      <c r="R12" s="15" t="n">
        <v>46464</v>
      </c>
      <c r="S12" s="12" t="inlineStr">
        <is>
          <t>one_step:1177 (EUR1080, 200k);two_step:1177 (EUR1080, 200k)</t>
        </is>
      </c>
    </row>
    <row r="13">
      <c r="A13" s="12" t="n">
        <v>12</v>
      </c>
      <c r="B13" s="12" t="inlineStr">
        <is>
          <t>B – À étapes</t>
        </is>
      </c>
      <c r="C13" s="12" t="inlineStr">
        <is>
          <t>Fundora</t>
        </is>
      </c>
      <c r="D13" s="12" t="inlineStr">
        <is>
          <t>CFD</t>
        </is>
      </c>
      <c r="E13" s="12" t="inlineStr">
        <is>
          <t>2 Step</t>
        </is>
      </c>
      <c r="F13" s="18" t="n">
        <v>400000</v>
      </c>
      <c r="G13" s="18" t="n">
        <v>2133</v>
      </c>
      <c r="H13" s="12" t="n">
        <v>1</v>
      </c>
      <c r="I13" s="18" t="n">
        <v>400000</v>
      </c>
      <c r="J13" s="18" t="n">
        <v>2133</v>
      </c>
      <c r="K13" s="12" t="n">
        <v>188</v>
      </c>
      <c r="L13" s="12" t="inlineStr">
        <is>
          <t>sous conditions / un seul compte</t>
        </is>
      </c>
      <c r="M13" s="21" t="n">
        <v>0.8</v>
      </c>
      <c r="N13" s="12" t="inlineStr">
        <is>
          <t>objectif par défaut (non renseigné)</t>
        </is>
      </c>
      <c r="O13" s="12" t="n">
        <v>1.5</v>
      </c>
      <c r="P13" s="15" t="n">
        <v>46408</v>
      </c>
      <c r="Q13" s="15" t="n">
        <v>46408</v>
      </c>
      <c r="R13" s="15" t="n">
        <v>46478</v>
      </c>
      <c r="S13" s="12" t="inlineStr">
        <is>
          <t>two_step:2133 (400k Master) [official]</t>
        </is>
      </c>
    </row>
  </sheetData>
  <autoFilter ref="A1:S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0" customWidth="1" min="3" max="3"/>
    <col width="14" customWidth="1" min="4" max="4"/>
    <col width="16" customWidth="1" min="5" max="5"/>
    <col width="16" customWidth="1" min="6" max="6"/>
    <col width="18" customWidth="1" min="7" max="7"/>
    <col width="12" customWidth="1" min="8" max="8"/>
    <col width="12" customWidth="1" min="9" max="9"/>
    <col width="14" customWidth="1" min="10" max="10"/>
  </cols>
  <sheetData>
    <row r="1" ht="40" customHeight="1">
      <c r="A1" s="11" t="inlineStr">
        <is>
          <t>Prop firm</t>
        </is>
      </c>
      <c r="B1" s="11" t="inlineStr">
        <is>
          <t>Groupe</t>
        </is>
      </c>
      <c r="C1" s="11" t="inlineStr">
        <is>
          <t>Challenges achetés</t>
        </is>
      </c>
      <c r="D1" s="11" t="inlineStr">
        <is>
          <t>Frais engagés ($)</t>
        </is>
      </c>
      <c r="E1" s="11" t="inlineStr">
        <is>
          <t>Capital financé ($)</t>
        </is>
      </c>
      <c r="F1" s="11" t="inlineStr">
        <is>
          <t>Payout mensuel en croisière ($)</t>
        </is>
      </c>
      <c r="G1" s="11" t="inlineStr">
        <is>
          <t>Payouts encaissés sur la simulation ($)</t>
        </is>
      </c>
      <c r="H1" s="11" t="inlineStr">
        <is>
          <t>Date du 1er achat</t>
        </is>
      </c>
      <c r="I1" s="11" t="inlineStr">
        <is>
          <t>Date du 1er payout</t>
        </is>
      </c>
      <c r="J1" s="11" t="inlineStr">
        <is>
          <t>Retour sur frais (payouts / frais)</t>
        </is>
      </c>
    </row>
    <row r="2">
      <c r="A2" s="12" t="inlineStr">
        <is>
          <t>Kickstart Trading</t>
        </is>
      </c>
      <c r="B2" s="12" t="inlineStr">
        <is>
          <t>A – Instant/Direct CFD</t>
        </is>
      </c>
      <c r="C2" s="12" t="n">
        <v>10</v>
      </c>
      <c r="D2" s="18" t="n">
        <v>50000</v>
      </c>
      <c r="E2" s="18" t="n">
        <v>1000000</v>
      </c>
      <c r="F2" s="18" t="n">
        <v>80000</v>
      </c>
      <c r="G2" s="18" t="n">
        <v>552000</v>
      </c>
      <c r="H2" s="15" t="n">
        <v>46352</v>
      </c>
      <c r="I2" s="15" t="n">
        <v>46380</v>
      </c>
      <c r="J2" s="19">
        <f>IF(D2&gt;0,G2/D2,"")</f>
        <v/>
      </c>
    </row>
    <row r="3">
      <c r="A3" s="12" t="inlineStr">
        <is>
          <t>Finotive Futures</t>
        </is>
      </c>
      <c r="B3" s="12" t="inlineStr">
        <is>
          <t>B – À étapes</t>
        </is>
      </c>
      <c r="C3" s="12" t="n">
        <v>6</v>
      </c>
      <c r="D3" s="18" t="n">
        <v>2394</v>
      </c>
      <c r="E3" s="18" t="n">
        <v>900000</v>
      </c>
      <c r="F3" s="18" t="n">
        <v>81000</v>
      </c>
      <c r="G3" s="18" t="n">
        <v>405000</v>
      </c>
      <c r="H3" s="15" t="n">
        <v>46408</v>
      </c>
      <c r="I3" s="15" t="n">
        <v>46464</v>
      </c>
      <c r="J3" s="19">
        <f>IF(D3&gt;0,G3/D3,"")</f>
        <v/>
      </c>
    </row>
    <row r="4">
      <c r="A4" s="12" t="inlineStr">
        <is>
          <t>10FOUR</t>
        </is>
      </c>
      <c r="B4" s="12" t="inlineStr">
        <is>
          <t>B – À étapes</t>
        </is>
      </c>
      <c r="C4" s="12" t="n">
        <v>5</v>
      </c>
      <c r="D4" s="18" t="n">
        <v>1243</v>
      </c>
      <c r="E4" s="18" t="n">
        <v>750000</v>
      </c>
      <c r="F4" s="18" t="n">
        <v>67500</v>
      </c>
      <c r="G4" s="18" t="n">
        <v>337500</v>
      </c>
      <c r="H4" s="15" t="n">
        <v>46408</v>
      </c>
      <c r="I4" s="15" t="n">
        <v>46464</v>
      </c>
      <c r="J4" s="19">
        <f>IF(D4&gt;0,G4/D4,"")</f>
        <v/>
      </c>
    </row>
    <row r="5">
      <c r="A5" s="12" t="inlineStr">
        <is>
          <t>Blue Guardian Futures</t>
        </is>
      </c>
      <c r="B5" s="12" t="inlineStr">
        <is>
          <t>B – À étapes</t>
        </is>
      </c>
      <c r="C5" s="12" t="n">
        <v>7</v>
      </c>
      <c r="D5" s="18" t="n">
        <v>15400</v>
      </c>
      <c r="E5" s="18" t="n">
        <v>700000</v>
      </c>
      <c r="F5" s="18" t="n">
        <v>63000</v>
      </c>
      <c r="G5" s="18" t="n">
        <v>315000</v>
      </c>
      <c r="H5" s="15" t="n">
        <v>46408</v>
      </c>
      <c r="I5" s="15" t="n">
        <v>46464</v>
      </c>
      <c r="J5" s="19">
        <f>IF(D5&gt;0,G5/D5,"")</f>
        <v/>
      </c>
    </row>
    <row r="6">
      <c r="A6" s="12" t="inlineStr">
        <is>
          <t>FTMO Futures</t>
        </is>
      </c>
      <c r="B6" s="12" t="inlineStr">
        <is>
          <t>B – À étapes</t>
        </is>
      </c>
      <c r="C6" s="12" t="n">
        <v>3</v>
      </c>
      <c r="D6" s="18" t="n">
        <v>687</v>
      </c>
      <c r="E6" s="18" t="n">
        <v>450000</v>
      </c>
      <c r="F6" s="18" t="n">
        <v>40500</v>
      </c>
      <c r="G6" s="18" t="n">
        <v>202500</v>
      </c>
      <c r="H6" s="15" t="n">
        <v>46408</v>
      </c>
      <c r="I6" s="15" t="n">
        <v>46464</v>
      </c>
      <c r="J6" s="19">
        <f>IF(D6&gt;0,G6/D6,"")</f>
        <v/>
      </c>
    </row>
    <row r="7">
      <c r="A7" s="12" t="inlineStr">
        <is>
          <t>Funding Traders</t>
        </is>
      </c>
      <c r="B7" s="12" t="inlineStr">
        <is>
          <t>A – Instant/Direct CFD</t>
        </is>
      </c>
      <c r="C7" s="12" t="n">
        <v>1</v>
      </c>
      <c r="D7" s="18" t="n">
        <v>2349</v>
      </c>
      <c r="E7" s="18" t="n">
        <v>400000</v>
      </c>
      <c r="F7" s="18" t="n">
        <v>40000</v>
      </c>
      <c r="G7" s="18" t="n">
        <v>240000</v>
      </c>
      <c r="H7" s="15" t="n">
        <v>46408</v>
      </c>
      <c r="I7" s="15" t="n">
        <v>46436</v>
      </c>
      <c r="J7" s="19">
        <f>IF(D7&gt;0,G7/D7,"")</f>
        <v/>
      </c>
    </row>
    <row r="8">
      <c r="A8" s="12" t="inlineStr">
        <is>
          <t>Blue Guardian</t>
        </is>
      </c>
      <c r="B8" s="12" t="inlineStr">
        <is>
          <t>A – Instant/Direct CFD</t>
        </is>
      </c>
      <c r="C8" s="12" t="n">
        <v>1</v>
      </c>
      <c r="D8" s="18" t="n">
        <v>2200</v>
      </c>
      <c r="E8" s="18" t="n">
        <v>400000</v>
      </c>
      <c r="F8" s="18" t="n">
        <v>32000</v>
      </c>
      <c r="G8" s="18" t="n">
        <v>192000</v>
      </c>
      <c r="H8" s="15" t="n">
        <v>46408</v>
      </c>
      <c r="I8" s="15" t="n">
        <v>46436</v>
      </c>
      <c r="J8" s="19">
        <f>IF(D8&gt;0,G8/D8,"")</f>
        <v/>
      </c>
    </row>
    <row r="9">
      <c r="A9" s="12" t="inlineStr">
        <is>
          <t>BrightFunded</t>
        </is>
      </c>
      <c r="B9" s="12" t="inlineStr">
        <is>
          <t>B – À étapes</t>
        </is>
      </c>
      <c r="C9" s="12" t="n">
        <v>2</v>
      </c>
      <c r="D9" s="18" t="n">
        <v>2064</v>
      </c>
      <c r="E9" s="18" t="n">
        <v>400000</v>
      </c>
      <c r="F9" s="18" t="n">
        <v>40000</v>
      </c>
      <c r="G9" s="18" t="n">
        <v>200000</v>
      </c>
      <c r="H9" s="15" t="n">
        <v>46408</v>
      </c>
      <c r="I9" s="15" t="n">
        <v>46464</v>
      </c>
      <c r="J9" s="19">
        <f>IF(D9&gt;0,G9/D9,"")</f>
        <v/>
      </c>
    </row>
    <row r="10">
      <c r="A10" s="12" t="inlineStr">
        <is>
          <t>FTMO</t>
        </is>
      </c>
      <c r="B10" s="12" t="inlineStr">
        <is>
          <t>B – À étapes</t>
        </is>
      </c>
      <c r="C10" s="12" t="n">
        <v>2</v>
      </c>
      <c r="D10" s="18" t="n">
        <v>2354</v>
      </c>
      <c r="E10" s="18" t="n">
        <v>400000</v>
      </c>
      <c r="F10" s="18" t="n">
        <v>32000</v>
      </c>
      <c r="G10" s="18" t="n">
        <v>160000</v>
      </c>
      <c r="H10" s="15" t="n">
        <v>46408</v>
      </c>
      <c r="I10" s="15" t="n">
        <v>46464</v>
      </c>
      <c r="J10" s="19">
        <f>IF(D10&gt;0,G10/D10,"")</f>
        <v/>
      </c>
    </row>
    <row r="11">
      <c r="A11" s="12" t="inlineStr">
        <is>
          <t>Fundora</t>
        </is>
      </c>
      <c r="B11" s="12" t="inlineStr">
        <is>
          <t>B – À étapes</t>
        </is>
      </c>
      <c r="C11" s="12" t="n">
        <v>1</v>
      </c>
      <c r="D11" s="18" t="n">
        <v>2133</v>
      </c>
      <c r="E11" s="18" t="n">
        <v>400000</v>
      </c>
      <c r="F11" s="18" t="n">
        <v>32000</v>
      </c>
      <c r="G11" s="18" t="n">
        <v>128000</v>
      </c>
      <c r="H11" s="15" t="n">
        <v>46408</v>
      </c>
      <c r="I11" s="15" t="n">
        <v>46478</v>
      </c>
      <c r="J11" s="19">
        <f>IF(D11&gt;0,G11/D11,"")</f>
        <v/>
      </c>
    </row>
    <row r="12">
      <c r="A12" s="12" t="inlineStr">
        <is>
          <t>Hex Funded</t>
        </is>
      </c>
      <c r="B12" s="12" t="inlineStr">
        <is>
          <t>A – Instant/Direct CFD</t>
        </is>
      </c>
      <c r="C12" s="12" t="n">
        <v>1</v>
      </c>
      <c r="D12" s="18" t="n">
        <v>596</v>
      </c>
      <c r="E12" s="18" t="n">
        <v>100000</v>
      </c>
      <c r="F12" s="18" t="n">
        <v>9000</v>
      </c>
      <c r="G12" s="18" t="n">
        <v>81000</v>
      </c>
      <c r="H12" s="15" t="n">
        <v>46324</v>
      </c>
      <c r="I12" s="15" t="n">
        <v>46352</v>
      </c>
      <c r="J12" s="19">
        <f>IF(D12&gt;0,G12/D12,"")</f>
        <v/>
      </c>
    </row>
    <row r="13">
      <c r="A13" s="12" t="inlineStr">
        <is>
          <t>FundingRock</t>
        </is>
      </c>
      <c r="B13" s="12" t="inlineStr">
        <is>
          <t>A – Instant/Direct CFD</t>
        </is>
      </c>
      <c r="C13" s="12" t="n">
        <v>1</v>
      </c>
      <c r="D13" s="18" t="n">
        <v>600</v>
      </c>
      <c r="E13" s="18" t="n">
        <v>100000</v>
      </c>
      <c r="F13" s="18" t="n">
        <v>8000</v>
      </c>
      <c r="G13" s="18" t="n">
        <v>56000</v>
      </c>
      <c r="H13" s="15" t="n">
        <v>46380</v>
      </c>
      <c r="I13" s="15" t="n">
        <v>46408</v>
      </c>
      <c r="J13" s="19">
        <f>IF(D13&gt;0,G13/D13,"")</f>
        <v/>
      </c>
    </row>
    <row r="14">
      <c r="A14" s="12" t="inlineStr">
        <is>
          <t>FundedNext</t>
        </is>
      </c>
      <c r="B14" s="12" t="inlineStr">
        <is>
          <t>Départ</t>
        </is>
      </c>
      <c r="C14" s="12" t="n">
        <v>0</v>
      </c>
      <c r="D14" s="18" t="n">
        <v>0</v>
      </c>
      <c r="E14" s="18" t="n">
        <v>10000</v>
      </c>
      <c r="F14" s="18" t="n">
        <v>800</v>
      </c>
      <c r="G14" s="18" t="n">
        <v>8000</v>
      </c>
      <c r="H14" s="15" t="n">
        <v>46296</v>
      </c>
      <c r="I14" s="15" t="n">
        <v>46324</v>
      </c>
      <c r="J14" s="19">
        <f>IF(D14&gt;0,G14/D14,"")</f>
        <v/>
      </c>
    </row>
    <row r="15">
      <c r="A15" s="8" t="inlineStr">
        <is>
          <t>TOTAL</t>
        </is>
      </c>
      <c r="C15" s="22">
        <f>SUM(C2:C14)</f>
        <v/>
      </c>
      <c r="D15" s="9">
        <f>SUM(D2:D14)</f>
        <v/>
      </c>
      <c r="E15" s="9">
        <f>SUM(E2:E14)</f>
        <v/>
      </c>
      <c r="F15" s="9">
        <f>SUM(F2:F14)</f>
        <v/>
      </c>
      <c r="G15" s="9">
        <f>SUM(G2:G14)</f>
        <v/>
      </c>
    </row>
  </sheetData>
  <autoFilter ref="A1:J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10" customWidth="1" min="3" max="3"/>
    <col width="14" customWidth="1" min="4" max="4"/>
    <col width="16" customWidth="1" min="5" max="5"/>
    <col width="10" customWidth="1" min="6" max="6"/>
    <col width="16" customWidth="1" min="7" max="7"/>
  </cols>
  <sheetData>
    <row r="1" ht="40" customHeight="1">
      <c r="A1" s="11" t="inlineStr">
        <is>
          <t>Prop firm</t>
        </is>
      </c>
      <c r="B1" s="11" t="inlineStr">
        <is>
          <t>Type</t>
        </is>
      </c>
      <c r="C1" s="11" t="inlineStr">
        <is>
          <t>Comptes financés</t>
        </is>
      </c>
      <c r="D1" s="11" t="inlineStr">
        <is>
          <t>Taille ($)</t>
        </is>
      </c>
      <c r="E1" s="11" t="inlineStr">
        <is>
          <t>Capital financé ($)</t>
        </is>
      </c>
      <c r="F1" s="11" t="inlineStr">
        <is>
          <t>Profit split</t>
        </is>
      </c>
      <c r="G1" s="11" t="inlineStr">
        <is>
          <t>Payout mensuel net ($)</t>
        </is>
      </c>
    </row>
    <row r="2">
      <c r="A2" s="12" t="inlineStr">
        <is>
          <t>Kickstart Trading</t>
        </is>
      </c>
      <c r="B2" s="12" t="inlineStr">
        <is>
          <t>Instant-Direct</t>
        </is>
      </c>
      <c r="C2" s="12" t="n">
        <v>10</v>
      </c>
      <c r="D2" s="18" t="n">
        <v>100000</v>
      </c>
      <c r="E2" s="18" t="n">
        <v>1000000</v>
      </c>
      <c r="F2" s="21" t="n">
        <v>0.8</v>
      </c>
      <c r="G2" s="18" t="n">
        <v>80000</v>
      </c>
    </row>
    <row r="3">
      <c r="A3" s="12" t="inlineStr">
        <is>
          <t>Finotive Futures</t>
        </is>
      </c>
      <c r="B3" s="12" t="inlineStr">
        <is>
          <t>1 Step</t>
        </is>
      </c>
      <c r="C3" s="12" t="n">
        <v>6</v>
      </c>
      <c r="D3" s="18" t="n">
        <v>150000</v>
      </c>
      <c r="E3" s="18" t="n">
        <v>900000</v>
      </c>
      <c r="F3" s="21" t="n">
        <v>0.9</v>
      </c>
      <c r="G3" s="18" t="n">
        <v>81000</v>
      </c>
    </row>
    <row r="4">
      <c r="A4" s="12" t="inlineStr">
        <is>
          <t>10FOUR</t>
        </is>
      </c>
      <c r="B4" s="12" t="inlineStr">
        <is>
          <t>1 Step</t>
        </is>
      </c>
      <c r="C4" s="12" t="n">
        <v>5</v>
      </c>
      <c r="D4" s="18" t="n">
        <v>150000</v>
      </c>
      <c r="E4" s="18" t="n">
        <v>750000</v>
      </c>
      <c r="F4" s="21" t="n">
        <v>0.9</v>
      </c>
      <c r="G4" s="18" t="n">
        <v>67500</v>
      </c>
    </row>
    <row r="5">
      <c r="A5" s="12" t="inlineStr">
        <is>
          <t>Blue Guardian Futures</t>
        </is>
      </c>
      <c r="B5" s="12" t="inlineStr">
        <is>
          <t>1 Step</t>
        </is>
      </c>
      <c r="C5" s="12" t="n">
        <v>7</v>
      </c>
      <c r="D5" s="18" t="n">
        <v>100000</v>
      </c>
      <c r="E5" s="18" t="n">
        <v>700000</v>
      </c>
      <c r="F5" s="21" t="n">
        <v>0.9</v>
      </c>
      <c r="G5" s="18" t="n">
        <v>63000</v>
      </c>
    </row>
    <row r="6">
      <c r="A6" s="12" t="inlineStr">
        <is>
          <t>FTMO Futures</t>
        </is>
      </c>
      <c r="B6" s="12" t="inlineStr">
        <is>
          <t>1 Step</t>
        </is>
      </c>
      <c r="C6" s="12" t="n">
        <v>3</v>
      </c>
      <c r="D6" s="18" t="n">
        <v>150000</v>
      </c>
      <c r="E6" s="18" t="n">
        <v>450000</v>
      </c>
      <c r="F6" s="21" t="n">
        <v>0.9</v>
      </c>
      <c r="G6" s="18" t="n">
        <v>40500</v>
      </c>
    </row>
    <row r="7">
      <c r="A7" s="12" t="inlineStr">
        <is>
          <t>Funding Traders</t>
        </is>
      </c>
      <c r="B7" s="12" t="inlineStr">
        <is>
          <t>Instant-Direct</t>
        </is>
      </c>
      <c r="C7" s="12" t="n">
        <v>1</v>
      </c>
      <c r="D7" s="18" t="n">
        <v>400000</v>
      </c>
      <c r="E7" s="18" t="n">
        <v>400000</v>
      </c>
      <c r="F7" s="21" t="n">
        <v>1</v>
      </c>
      <c r="G7" s="18" t="n">
        <v>40000</v>
      </c>
    </row>
    <row r="8">
      <c r="A8" s="12" t="inlineStr">
        <is>
          <t>Blue Guardian</t>
        </is>
      </c>
      <c r="B8" s="12" t="inlineStr">
        <is>
          <t>Instant-Direct</t>
        </is>
      </c>
      <c r="C8" s="12" t="n">
        <v>1</v>
      </c>
      <c r="D8" s="18" t="n">
        <v>400000</v>
      </c>
      <c r="E8" s="18" t="n">
        <v>400000</v>
      </c>
      <c r="F8" s="21" t="n">
        <v>0.8</v>
      </c>
      <c r="G8" s="18" t="n">
        <v>32000</v>
      </c>
    </row>
    <row r="9">
      <c r="A9" s="12" t="inlineStr">
        <is>
          <t>BrightFunded</t>
        </is>
      </c>
      <c r="B9" s="12" t="inlineStr">
        <is>
          <t>1 Step</t>
        </is>
      </c>
      <c r="C9" s="12" t="n">
        <v>2</v>
      </c>
      <c r="D9" s="18" t="n">
        <v>200000</v>
      </c>
      <c r="E9" s="18" t="n">
        <v>400000</v>
      </c>
      <c r="F9" s="21" t="n">
        <v>1</v>
      </c>
      <c r="G9" s="18" t="n">
        <v>40000</v>
      </c>
    </row>
    <row r="10">
      <c r="A10" s="12" t="inlineStr">
        <is>
          <t>FTMO</t>
        </is>
      </c>
      <c r="B10" s="12" t="inlineStr">
        <is>
          <t>1 Step</t>
        </is>
      </c>
      <c r="C10" s="12" t="n">
        <v>2</v>
      </c>
      <c r="D10" s="18" t="n">
        <v>200000</v>
      </c>
      <c r="E10" s="18" t="n">
        <v>400000</v>
      </c>
      <c r="F10" s="21" t="n">
        <v>0.8</v>
      </c>
      <c r="G10" s="18" t="n">
        <v>32000</v>
      </c>
    </row>
    <row r="11">
      <c r="A11" s="12" t="inlineStr">
        <is>
          <t>Fundora</t>
        </is>
      </c>
      <c r="B11" s="12" t="inlineStr">
        <is>
          <t>2 Step</t>
        </is>
      </c>
      <c r="C11" s="12" t="n">
        <v>1</v>
      </c>
      <c r="D11" s="18" t="n">
        <v>400000</v>
      </c>
      <c r="E11" s="18" t="n">
        <v>400000</v>
      </c>
      <c r="F11" s="21" t="n">
        <v>0.8</v>
      </c>
      <c r="G11" s="18" t="n">
        <v>32000</v>
      </c>
    </row>
    <row r="12">
      <c r="A12" s="12" t="inlineStr">
        <is>
          <t>Hex Funded</t>
        </is>
      </c>
      <c r="B12" s="12" t="inlineStr">
        <is>
          <t>Instant-Direct</t>
        </is>
      </c>
      <c r="C12" s="12" t="n">
        <v>1</v>
      </c>
      <c r="D12" s="18" t="n">
        <v>100000</v>
      </c>
      <c r="E12" s="18" t="n">
        <v>100000</v>
      </c>
      <c r="F12" s="21" t="n">
        <v>0.9</v>
      </c>
      <c r="G12" s="18" t="n">
        <v>9000</v>
      </c>
    </row>
    <row r="13">
      <c r="A13" s="12" t="inlineStr">
        <is>
          <t>FundingRock</t>
        </is>
      </c>
      <c r="B13" s="12" t="inlineStr">
        <is>
          <t>Instant-Direct</t>
        </is>
      </c>
      <c r="C13" s="12" t="n">
        <v>1</v>
      </c>
      <c r="D13" s="18" t="n">
        <v>100000</v>
      </c>
      <c r="E13" s="18" t="n">
        <v>100000</v>
      </c>
      <c r="F13" s="21" t="n">
        <v>0.8</v>
      </c>
      <c r="G13" s="18" t="n">
        <v>8000</v>
      </c>
    </row>
    <row r="14">
      <c r="A14" s="12" t="inlineStr">
        <is>
          <t>FundedNext</t>
        </is>
      </c>
      <c r="B14" s="12" t="inlineStr">
        <is>
          <t>Départ</t>
        </is>
      </c>
      <c r="C14" s="12" t="n">
        <v>1</v>
      </c>
      <c r="D14" s="18" t="n">
        <v>10000</v>
      </c>
      <c r="E14" s="18" t="n">
        <v>10000</v>
      </c>
      <c r="F14" s="21" t="n">
        <v>0.8</v>
      </c>
      <c r="G14" s="18" t="n">
        <v>800</v>
      </c>
    </row>
  </sheetData>
  <autoFilter ref="A1:G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24" customWidth="1" min="11" max="11"/>
    <col width="20" customWidth="1" min="12" max="12"/>
  </cols>
  <sheetData>
    <row r="1" ht="40" customHeight="1">
      <c r="A1" s="11" t="inlineStr">
        <is>
          <t>Mois</t>
        </is>
      </c>
      <c r="B1" s="11" t="inlineStr">
        <is>
          <t>Capital financé ($)</t>
        </is>
      </c>
      <c r="C1" s="11" t="inlineStr">
        <is>
          <t>Capital en évaluation ($)</t>
        </is>
      </c>
      <c r="D1" s="11" t="inlineStr">
        <is>
          <t>Payouts de la quinzaine ($)</t>
        </is>
      </c>
      <c r="E1" s="11" t="inlineStr">
        <is>
          <t>Frais de la quinzaine ($)</t>
        </is>
      </c>
      <c r="F1" s="11" t="inlineStr">
        <is>
          <t>Reste après investissement ($)</t>
        </is>
      </c>
      <c r="G1" s="11" t="inlineStr">
        <is>
          <t>Payouts cumulés ($)</t>
        </is>
      </c>
      <c r="H1" s="11" t="inlineStr">
        <is>
          <t>Frais cumulés ($)</t>
        </is>
      </c>
      <c r="K1" s="23" t="inlineStr">
        <is>
          <t>Groupe</t>
        </is>
      </c>
      <c r="L1" s="23" t="inlineStr">
        <is>
          <t>Capital financé cible ($)</t>
        </is>
      </c>
    </row>
    <row r="2">
      <c r="A2" s="12" t="n">
        <v>0.5</v>
      </c>
      <c r="B2" s="18" t="n">
        <v>10000</v>
      </c>
      <c r="C2" s="18" t="n">
        <v>0</v>
      </c>
      <c r="D2" s="18" t="n">
        <v>0</v>
      </c>
      <c r="E2" s="18" t="n">
        <v>0</v>
      </c>
      <c r="F2" s="18" t="n">
        <v>0</v>
      </c>
      <c r="G2" s="18" t="n">
        <v>0</v>
      </c>
      <c r="H2" s="18" t="n">
        <v>0</v>
      </c>
      <c r="K2" s="5" t="inlineStr">
        <is>
          <t>Départ FundedNext</t>
        </is>
      </c>
      <c r="L2" s="24" t="n">
        <v>10000</v>
      </c>
    </row>
    <row r="3">
      <c r="A3" s="12" t="n">
        <v>1</v>
      </c>
      <c r="B3" s="18" t="n">
        <v>110000</v>
      </c>
      <c r="C3" s="18" t="n">
        <v>0</v>
      </c>
      <c r="D3" s="18" t="n">
        <v>800</v>
      </c>
      <c r="E3" s="18" t="n">
        <v>596</v>
      </c>
      <c r="F3" s="18" t="n">
        <v>204</v>
      </c>
      <c r="G3" s="18" t="n">
        <v>800</v>
      </c>
      <c r="H3" s="18" t="n">
        <v>596</v>
      </c>
      <c r="K3" s="5" t="inlineStr">
        <is>
          <t>A – Instant/Direct CFD</t>
        </is>
      </c>
      <c r="L3" s="24" t="n">
        <v>2000000</v>
      </c>
    </row>
    <row r="4">
      <c r="A4" s="12" t="n">
        <v>1.5</v>
      </c>
      <c r="B4" s="18" t="n">
        <v>110000</v>
      </c>
      <c r="C4" s="18" t="n">
        <v>0</v>
      </c>
      <c r="D4" s="18" t="n">
        <v>0</v>
      </c>
      <c r="E4" s="18" t="n">
        <v>0</v>
      </c>
      <c r="F4" s="18" t="n">
        <v>204</v>
      </c>
      <c r="G4" s="18" t="n">
        <v>800</v>
      </c>
      <c r="H4" s="18" t="n">
        <v>596</v>
      </c>
      <c r="K4" s="5" t="inlineStr">
        <is>
          <t>B – À étapes</t>
        </is>
      </c>
      <c r="L4" s="24" t="n">
        <v>4000000</v>
      </c>
    </row>
    <row r="5">
      <c r="A5" s="12" t="n">
        <v>2</v>
      </c>
      <c r="B5" s="18" t="n">
        <v>310000</v>
      </c>
      <c r="C5" s="18" t="n">
        <v>0</v>
      </c>
      <c r="D5" s="18" t="n">
        <v>9800</v>
      </c>
      <c r="E5" s="18" t="n">
        <v>10000</v>
      </c>
      <c r="F5" s="18" t="n">
        <v>4</v>
      </c>
      <c r="G5" s="18" t="n">
        <v>10600</v>
      </c>
      <c r="H5" s="18" t="n">
        <v>10596</v>
      </c>
    </row>
    <row r="6">
      <c r="A6" s="12" t="n">
        <v>2.5</v>
      </c>
      <c r="B6" s="18" t="n">
        <v>310000</v>
      </c>
      <c r="C6" s="18" t="n">
        <v>0</v>
      </c>
      <c r="D6" s="18" t="n">
        <v>0</v>
      </c>
      <c r="E6" s="18" t="n">
        <v>0</v>
      </c>
      <c r="F6" s="18" t="n">
        <v>4</v>
      </c>
      <c r="G6" s="18" t="n">
        <v>10600</v>
      </c>
      <c r="H6" s="18" t="n">
        <v>10596</v>
      </c>
    </row>
    <row r="7">
      <c r="A7" s="12" t="n">
        <v>3</v>
      </c>
      <c r="B7" s="18" t="n">
        <v>910000</v>
      </c>
      <c r="C7" s="18" t="n">
        <v>0</v>
      </c>
      <c r="D7" s="18" t="n">
        <v>25800</v>
      </c>
      <c r="E7" s="18" t="n">
        <v>25600</v>
      </c>
      <c r="F7" s="18" t="n">
        <v>204</v>
      </c>
      <c r="G7" s="18" t="n">
        <v>36400</v>
      </c>
      <c r="H7" s="18" t="n">
        <v>36196</v>
      </c>
    </row>
    <row r="8">
      <c r="A8" s="12" t="n">
        <v>3.5</v>
      </c>
      <c r="B8" s="18" t="n">
        <v>910000</v>
      </c>
      <c r="C8" s="18" t="n">
        <v>0</v>
      </c>
      <c r="D8" s="18" t="n">
        <v>0</v>
      </c>
      <c r="E8" s="18" t="n">
        <v>0</v>
      </c>
      <c r="F8" s="18" t="n">
        <v>204</v>
      </c>
      <c r="G8" s="18" t="n">
        <v>36400</v>
      </c>
      <c r="H8" s="18" t="n">
        <v>36196</v>
      </c>
    </row>
    <row r="9">
      <c r="A9" s="12" t="n">
        <v>4</v>
      </c>
      <c r="B9" s="18" t="n">
        <v>2010000</v>
      </c>
      <c r="C9" s="18" t="n">
        <v>4000000</v>
      </c>
      <c r="D9" s="18" t="n">
        <v>73800</v>
      </c>
      <c r="E9" s="18" t="n">
        <v>45824</v>
      </c>
      <c r="F9" s="18" t="n">
        <v>28180</v>
      </c>
      <c r="G9" s="18" t="n">
        <v>110200</v>
      </c>
      <c r="H9" s="18" t="n">
        <v>82020</v>
      </c>
    </row>
    <row r="10">
      <c r="A10" s="12" t="n">
        <v>4.5</v>
      </c>
      <c r="B10" s="18" t="n">
        <v>2010000</v>
      </c>
      <c r="C10" s="18" t="n">
        <v>4000000</v>
      </c>
      <c r="D10" s="18" t="n">
        <v>0</v>
      </c>
      <c r="E10" s="18" t="n">
        <v>0</v>
      </c>
      <c r="F10" s="18" t="n">
        <v>28180</v>
      </c>
      <c r="G10" s="18" t="n">
        <v>110200</v>
      </c>
      <c r="H10" s="18" t="n">
        <v>82020</v>
      </c>
    </row>
    <row r="11">
      <c r="A11" s="12" t="n">
        <v>5</v>
      </c>
      <c r="B11" s="18" t="n">
        <v>5610000</v>
      </c>
      <c r="C11" s="18" t="n">
        <v>400000</v>
      </c>
      <c r="D11" s="18" t="n">
        <v>169800</v>
      </c>
      <c r="E11" s="18" t="n">
        <v>0</v>
      </c>
      <c r="F11" s="18" t="n">
        <v>197980</v>
      </c>
      <c r="G11" s="18" t="n">
        <v>280000</v>
      </c>
      <c r="H11" s="18" t="n">
        <v>82020</v>
      </c>
    </row>
    <row r="12">
      <c r="A12" s="12" t="n">
        <v>5.5</v>
      </c>
      <c r="B12" s="18" t="n">
        <v>6010000</v>
      </c>
      <c r="C12" s="18" t="n">
        <v>0</v>
      </c>
      <c r="D12" s="18" t="n">
        <v>0</v>
      </c>
      <c r="E12" s="18" t="n">
        <v>0</v>
      </c>
      <c r="F12" s="18" t="n">
        <v>197980</v>
      </c>
      <c r="G12" s="18" t="n">
        <v>280000</v>
      </c>
      <c r="H12" s="18" t="n">
        <v>82020</v>
      </c>
    </row>
    <row r="13">
      <c r="A13" s="12" t="n">
        <v>6</v>
      </c>
      <c r="B13" s="18" t="n">
        <v>6010000</v>
      </c>
      <c r="C13" s="18" t="n">
        <v>0</v>
      </c>
      <c r="D13" s="18" t="n">
        <v>493800</v>
      </c>
      <c r="E13" s="18" t="n">
        <v>0</v>
      </c>
      <c r="F13" s="18" t="n">
        <v>691780</v>
      </c>
      <c r="G13" s="18" t="n">
        <v>773800</v>
      </c>
      <c r="H13" s="18" t="n">
        <v>82020</v>
      </c>
    </row>
    <row r="14">
      <c r="A14" s="12" t="n">
        <v>6.5</v>
      </c>
      <c r="B14" s="18" t="n">
        <v>6010000</v>
      </c>
      <c r="C14" s="18" t="n">
        <v>0</v>
      </c>
      <c r="D14" s="18" t="n">
        <v>32000</v>
      </c>
      <c r="E14" s="18" t="n">
        <v>0</v>
      </c>
      <c r="F14" s="18" t="n">
        <v>723780</v>
      </c>
      <c r="G14" s="18" t="n">
        <v>805800</v>
      </c>
      <c r="H14" s="18" t="n">
        <v>82020</v>
      </c>
    </row>
    <row r="15">
      <c r="A15" s="12" t="n">
        <v>7</v>
      </c>
      <c r="B15" s="18" t="n">
        <v>6010000</v>
      </c>
      <c r="C15" s="18" t="n">
        <v>0</v>
      </c>
      <c r="D15" s="18" t="n">
        <v>493800</v>
      </c>
      <c r="E15" s="18" t="n">
        <v>0</v>
      </c>
      <c r="F15" s="18" t="n">
        <v>1217580</v>
      </c>
      <c r="G15" s="18" t="n">
        <v>1299600</v>
      </c>
      <c r="H15" s="18" t="n">
        <v>82020</v>
      </c>
    </row>
    <row r="16">
      <c r="A16" s="12" t="n">
        <v>7.5</v>
      </c>
      <c r="B16" s="18" t="n">
        <v>6010000</v>
      </c>
      <c r="C16" s="18" t="n">
        <v>0</v>
      </c>
      <c r="D16" s="18" t="n">
        <v>32000</v>
      </c>
      <c r="E16" s="18" t="n">
        <v>0</v>
      </c>
      <c r="F16" s="18" t="n">
        <v>1249580</v>
      </c>
      <c r="G16" s="18" t="n">
        <v>1331600</v>
      </c>
      <c r="H16" s="18" t="n">
        <v>82020</v>
      </c>
    </row>
    <row r="17">
      <c r="A17" s="12" t="n">
        <v>8</v>
      </c>
      <c r="B17" s="18" t="n">
        <v>6010000</v>
      </c>
      <c r="C17" s="18" t="n">
        <v>0</v>
      </c>
      <c r="D17" s="18" t="n">
        <v>493800</v>
      </c>
      <c r="E17" s="18" t="n">
        <v>0</v>
      </c>
      <c r="F17" s="18" t="n">
        <v>1743380</v>
      </c>
      <c r="G17" s="18" t="n">
        <v>1825400</v>
      </c>
      <c r="H17" s="18" t="n">
        <v>82020</v>
      </c>
    </row>
    <row r="18">
      <c r="A18" s="12" t="n">
        <v>8.5</v>
      </c>
      <c r="B18" s="18" t="n">
        <v>6010000</v>
      </c>
      <c r="C18" s="18" t="n">
        <v>0</v>
      </c>
      <c r="D18" s="18" t="n">
        <v>32000</v>
      </c>
      <c r="E18" s="18" t="n">
        <v>0</v>
      </c>
      <c r="F18" s="18" t="n">
        <v>1775380</v>
      </c>
      <c r="G18" s="18" t="n">
        <v>1857400</v>
      </c>
      <c r="H18" s="18" t="n">
        <v>82020</v>
      </c>
    </row>
    <row r="19">
      <c r="A19" s="12" t="n">
        <v>9</v>
      </c>
      <c r="B19" s="18" t="n">
        <v>6010000</v>
      </c>
      <c r="C19" s="18" t="n">
        <v>0</v>
      </c>
      <c r="D19" s="18" t="n">
        <v>493800</v>
      </c>
      <c r="E19" s="18" t="n">
        <v>0</v>
      </c>
      <c r="F19" s="18" t="n">
        <v>2269180</v>
      </c>
      <c r="G19" s="18" t="n">
        <v>2351200</v>
      </c>
      <c r="H19" s="18" t="n">
        <v>82020</v>
      </c>
    </row>
    <row r="20">
      <c r="A20" s="12" t="n">
        <v>9.5</v>
      </c>
      <c r="B20" s="18" t="n">
        <v>6010000</v>
      </c>
      <c r="C20" s="18" t="n">
        <v>0</v>
      </c>
      <c r="D20" s="18" t="n">
        <v>32000</v>
      </c>
      <c r="E20" s="18" t="n">
        <v>0</v>
      </c>
      <c r="F20" s="18" t="n">
        <v>2301180</v>
      </c>
      <c r="G20" s="18" t="n">
        <v>2383200</v>
      </c>
      <c r="H20" s="18" t="n">
        <v>82020</v>
      </c>
    </row>
    <row r="21">
      <c r="A21" s="12" t="n">
        <v>10</v>
      </c>
      <c r="B21" s="18" t="n">
        <v>6010000</v>
      </c>
      <c r="C21" s="18" t="n">
        <v>0</v>
      </c>
      <c r="D21" s="18" t="n">
        <v>493800</v>
      </c>
      <c r="E21" s="18" t="n">
        <v>0</v>
      </c>
      <c r="F21" s="18" t="n">
        <v>2794980</v>
      </c>
      <c r="G21" s="18" t="n">
        <v>2877000</v>
      </c>
      <c r="H21" s="18" t="n">
        <v>82020</v>
      </c>
    </row>
  </sheetData>
  <autoFilter ref="A1:H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2026-09-28T07:15:26Z</dcterms:created>
  <dcterms:modified xsi:type="dcterms:W3CDTF">2026-09-28T07:15:26Z</dcterms:modified>
</cp:coreProperties>
</file>