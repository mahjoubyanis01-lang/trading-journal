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aramètres" sheetId="2" state="visible" r:id="rId2"/>
    <sheet name="Plan mensuel" sheetId="3" state="visible" r:id="rId3"/>
    <sheet name="Détail des achats" sheetId="4" state="visible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$&quot;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4" borderId="1" pivotButton="0" quotePrefix="0" xfId="0"/>
    <xf numFmtId="165" fontId="2" fillId="5" borderId="1" pivotButton="0" quotePrefix="0" xfId="0"/>
    <xf numFmtId="165" fontId="2" fillId="0" borderId="1" pivotButton="0" quotePrefix="0" xfId="0"/>
    <xf numFmtId="0" fontId="5" fillId="3" borderId="1" applyAlignment="1" pivotButton="0" quotePrefix="0" xfId="0">
      <alignment horizontal="center" wrapText="1"/>
    </xf>
    <xf numFmtId="0" fontId="2" fillId="6" borderId="1" pivotButton="0" quotePrefix="0" xfId="0"/>
    <xf numFmtId="0" fontId="2" fillId="5" borderId="1" pivotButton="0" quotePrefix="0" xfId="0"/>
    <xf numFmtId="0" fontId="2" fillId="7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financé (validé)</a:t>
            </a:r>
          </a:p>
        </rich>
      </tx>
    </title>
    <plotArea>
      <lineChart>
        <grouping val="standard"/>
        <ser>
          <idx val="0"/>
          <order val="0"/>
          <tx>
            <strRef>
              <f>'Plan mensuel'!D1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'Plan mensuel'!$A$2:$A$8</f>
            </numRef>
          </cat>
          <val>
            <numRef>
              <f>'Plan mensuel'!$D$2:$D$8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Salaire net mensuel</a:t>
            </a:r>
          </a:p>
        </rich>
      </tx>
    </title>
    <plotArea>
      <lineChart>
        <grouping val="standard"/>
        <ser>
          <idx val="0"/>
          <order val="0"/>
          <tx>
            <strRef>
              <f>'Plan mensuel'!H1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'Plan mensuel'!$A$2:$A$8</f>
            </numRef>
          </cat>
          <val>
            <numRef>
              <f>'Plan mensuel'!$H$2:$H$8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Plan de scaling PropFirmMatch — avec temps de validation des étapes</t>
        </is>
      </c>
    </row>
    <row r="2">
      <c r="A2" s="2" t="inlineStr"/>
    </row>
    <row r="3">
      <c r="A3" s="2" t="inlineStr">
        <is>
          <t>Pour Google Sheets : Fichier &gt; Importer. Cellules bleues (Paramètres) modifiables ; les montants se recalculent.</t>
        </is>
      </c>
    </row>
    <row r="4">
      <c r="A4" s="2" t="inlineStr"/>
    </row>
    <row r="5">
      <c r="A5" s="3" t="inlineStr">
        <is>
          <t>VOTRE MÉTHODE + TEMPS DE VALIDATION</t>
        </is>
      </c>
    </row>
    <row r="6">
      <c r="A6" s="2" t="inlineStr">
        <is>
          <t>01 octobre 2026 : compte direct FundedNext 10 000 $. Fin octobre, payout 10 % = 1 000 $, moins 30 % = 700 $.</t>
        </is>
      </c>
    </row>
    <row r="7">
      <c r="A7" s="2" t="inlineStr">
        <is>
          <t>Chaque mois, tout l'argent disponible achète le maximum de firmes (chacune une fois).</t>
        </is>
      </c>
    </row>
    <row r="8">
      <c r="A8" s="2" t="inlineStr">
        <is>
          <t>ORDRE D'ACHAT : d'abord tous les comptes DIRECTS / INSTANT, puis tous les 1 étape, puis les 2 étapes, puis les 3 étapes, puis les 4 étapes et plus. Au sein de chaque type : d'abord le cycle CFD (MetaTrader 5 en premier, puis les autres plateformes), ensuite le cycle Futures. À prix égal de rang, le plus gros capital est pris en premier.</t>
        </is>
      </c>
    </row>
    <row r="9">
      <c r="A9" s="2" t="inlineStr">
        <is>
          <t>Comptes DIRECTS / INSTANT : financés immédiatement, ils rapportent dès la fin du mois d'achat.</t>
        </is>
      </c>
    </row>
    <row r="10">
      <c r="A10" s="2" t="inlineStr">
        <is>
          <t>Comptes À ÉTAPES : il faut d'abord valider l'évaluation, à raison de 10 % par mois. Un objectif de 10 % prend 1 mois, 5 % prend une demi-mois. Un 2 étapes 10 %+5 % met donc 1,5 mois à être financé, et ne rapporte qu'ensuite. La durée exacte est dans l'onglet Détail (colonne Durée d'évaluation) et sa date de financement.</t>
        </is>
      </c>
    </row>
    <row r="11">
      <c r="A11" s="2" t="inlineStr">
        <is>
          <t>Ce classeur ne contient QUE les firmes listées sur le site PropFirmMatch.</t>
        </is>
      </c>
    </row>
    <row r="12">
      <c r="A12" s="2" t="inlineStr">
        <is>
          <t>Dans ce scénario (10 % / 30 %), la dernière firme est financée vers le 01 avril 2027.</t>
        </is>
      </c>
    </row>
    <row r="13">
      <c r="A13" s="2" t="inlineStr"/>
    </row>
    <row r="14">
      <c r="A14" s="3" t="inlineStr">
        <is>
          <t>LES ONGLETS</t>
        </is>
      </c>
    </row>
    <row r="15">
      <c r="A15" s="2" t="inlineStr">
        <is>
          <t>Plan mensuel : date en lettres, firmes achetées, capital financé (déjà validé), capital en cours d'évaluation, payout brut, part firme, salaire net, trésorerie.</t>
        </is>
      </c>
    </row>
    <row r="16">
      <c r="A16" s="2" t="inlineStr">
        <is>
          <t>Détail des achats : chaque firme, sa date d'achat, son type, sa durée d'évaluation et sa date de financement.</t>
        </is>
      </c>
    </row>
    <row r="17">
      <c r="A17" s="2" t="inlineStr">
        <is>
          <t>Paramètres / Graphiques.</t>
        </is>
      </c>
    </row>
    <row r="18">
      <c r="A18" s="2" t="inlineStr"/>
    </row>
    <row r="19">
      <c r="A19" s="3" t="inlineStr">
        <is>
          <t>NOTE</t>
        </is>
      </c>
    </row>
    <row r="20">
      <c r="A20" s="2" t="inlineStr">
        <is>
          <t>Ordre et calendrier calculés pour 10 %/30 %. Colonnes d'argent en formules. Prix hors codes promo. Borne théorique sans échec d'évaluation ni plafond de retrait.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4" t="inlineStr">
        <is>
          <t>Paramètres</t>
        </is>
      </c>
    </row>
    <row r="3">
      <c r="A3" s="5" t="inlineStr">
        <is>
          <t>Payout mensuel (%)</t>
        </is>
      </c>
      <c r="B3" s="6" t="n">
        <v>0.1</v>
      </c>
    </row>
    <row r="4">
      <c r="A4" s="5" t="inlineStr">
        <is>
          <t>Part de la firme (%)</t>
        </is>
      </c>
      <c r="B4" s="6" t="n">
        <v>0.3</v>
      </c>
    </row>
    <row r="5">
      <c r="A5" s="5" t="inlineStr">
        <is>
          <t>Capital de départ ($)</t>
        </is>
      </c>
      <c r="B5" s="7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8" customWidth="1" min="3" max="3"/>
    <col width="18" customWidth="1" min="4" max="4"/>
    <col width="17" customWidth="1" min="5" max="5"/>
    <col width="15" customWidth="1" min="6" max="6"/>
    <col width="13" customWidth="1" min="7" max="7"/>
    <col width="15" customWidth="1" min="8" max="8"/>
    <col width="16" customWidth="1" min="9" max="9"/>
    <col width="12" customWidth="1" min="10" max="10"/>
    <col width="12" customWidth="1" min="11" max="11"/>
  </cols>
  <sheetData>
    <row r="1" ht="42" customHeight="1">
      <c r="A1" s="8" t="inlineStr">
        <is>
          <t>Date</t>
        </is>
      </c>
      <c r="B1" s="8" t="inlineStr">
        <is>
          <t>Firmes achetées ce mois</t>
        </is>
      </c>
      <c r="C1" s="8" t="inlineStr">
        <is>
          <t>Nombre</t>
        </is>
      </c>
      <c r="D1" s="8" t="inlineStr">
        <is>
          <t>Capital financé (validé) ($)</t>
        </is>
      </c>
      <c r="E1" s="8" t="inlineStr">
        <is>
          <t>Capital en évaluation ($)</t>
        </is>
      </c>
      <c r="F1" s="8" t="inlineStr">
        <is>
          <t>Payout brut ($)</t>
        </is>
      </c>
      <c r="G1" s="8" t="inlineStr">
        <is>
          <t>Part firme ($)</t>
        </is>
      </c>
      <c r="H1" s="8" t="inlineStr">
        <is>
          <t>Salaire net ($)</t>
        </is>
      </c>
      <c r="I1" s="8" t="inlineStr">
        <is>
          <t>Trésorerie ($)</t>
        </is>
      </c>
      <c r="J1" s="8" t="inlineStr">
        <is>
          <t>Comptes financés</t>
        </is>
      </c>
      <c r="K1" s="8" t="inlineStr">
        <is>
          <t>Comptes au total</t>
        </is>
      </c>
    </row>
    <row r="2">
      <c r="A2" s="9" t="inlineStr">
        <is>
          <t>01 octobre 2026</t>
        </is>
      </c>
      <c r="B2" s="9" t="inlineStr">
        <is>
          <t>FundedNext (compte de départ)</t>
        </is>
      </c>
      <c r="C2" s="9" t="n">
        <v>1</v>
      </c>
      <c r="D2" s="10" t="n">
        <v>10000</v>
      </c>
      <c r="E2" s="11" t="n">
        <v>0</v>
      </c>
      <c r="F2" s="12">
        <f>D2*Paramètres!$B$3</f>
        <v/>
      </c>
      <c r="G2" s="12">
        <f>F2*Paramètres!$B$4</f>
        <v/>
      </c>
      <c r="H2" s="10">
        <f>F2-G2</f>
        <v/>
      </c>
      <c r="I2" s="12">
        <f>H2-0</f>
        <v/>
      </c>
      <c r="J2" s="9" t="n">
        <v>1</v>
      </c>
      <c r="K2" s="9" t="n">
        <v>1</v>
      </c>
    </row>
    <row r="3">
      <c r="A3" s="9" t="inlineStr">
        <is>
          <t>01 novembre 2026</t>
        </is>
      </c>
      <c r="B3" s="9" t="inlineStr">
        <is>
          <t>Real Trader Fund</t>
        </is>
      </c>
      <c r="C3" s="9" t="n">
        <v>1</v>
      </c>
      <c r="D3" s="10" t="n">
        <v>110000</v>
      </c>
      <c r="E3" s="11" t="n">
        <v>0</v>
      </c>
      <c r="F3" s="12">
        <f>D3*Paramètres!$B$3</f>
        <v/>
      </c>
      <c r="G3" s="12">
        <f>F3*Paramètres!$B$4</f>
        <v/>
      </c>
      <c r="H3" s="10">
        <f>F3-G3</f>
        <v/>
      </c>
      <c r="I3" s="12">
        <f>I2+H3-360</f>
        <v/>
      </c>
      <c r="J3" s="9" t="n">
        <v>2</v>
      </c>
      <c r="K3" s="9" t="n">
        <v>2</v>
      </c>
    </row>
    <row r="4">
      <c r="A4" s="9" t="inlineStr">
        <is>
          <t>01 décembre 2026</t>
        </is>
      </c>
      <c r="B4" s="9" t="inlineStr">
        <is>
          <t>XPIPS; Funding Pips; Alpine Funded; FX2 Funding; Ifunds</t>
        </is>
      </c>
      <c r="C4" s="9" t="n">
        <v>5</v>
      </c>
      <c r="D4" s="10" t="n">
        <v>1210000</v>
      </c>
      <c r="E4" s="11" t="n">
        <v>0</v>
      </c>
      <c r="F4" s="12">
        <f>D4*Paramètres!$B$3</f>
        <v/>
      </c>
      <c r="G4" s="12">
        <f>F4*Paramètres!$B$4</f>
        <v/>
      </c>
      <c r="H4" s="10">
        <f>F4-G4</f>
        <v/>
      </c>
      <c r="I4" s="12">
        <f>I3+H4-5522</f>
        <v/>
      </c>
      <c r="J4" s="9" t="n">
        <v>7</v>
      </c>
      <c r="K4" s="9" t="n">
        <v>7</v>
      </c>
    </row>
    <row r="5">
      <c r="A5" s="9" t="inlineStr">
        <is>
          <t>01 janvier 2027</t>
        </is>
      </c>
      <c r="B5" s="9" t="inlineStr">
        <is>
          <t>ADN Broker; FundedHive; FundedForge; BuoyTrade; PaidPex; Lux Trading Firm … (+20)</t>
        </is>
      </c>
      <c r="C5" s="9" t="n">
        <v>26</v>
      </c>
      <c r="D5" s="10" t="n">
        <v>5850000</v>
      </c>
      <c r="E5" s="11" t="n">
        <v>17340000</v>
      </c>
      <c r="F5" s="12">
        <f>D5*Paramètres!$B$3</f>
        <v/>
      </c>
      <c r="G5" s="12">
        <f>F5*Paramètres!$B$4</f>
        <v/>
      </c>
      <c r="H5" s="10">
        <f>F5-G5</f>
        <v/>
      </c>
      <c r="I5" s="12">
        <f>I4+H5-121739</f>
        <v/>
      </c>
      <c r="J5" s="9" t="n">
        <v>15</v>
      </c>
      <c r="K5" s="9" t="n">
        <v>33</v>
      </c>
    </row>
    <row r="6">
      <c r="A6" s="9" t="inlineStr">
        <is>
          <t>01 février 2027</t>
        </is>
      </c>
      <c r="B6" s="9" t="inlineStr">
        <is>
          <t>PipFarm; Get Funded Now; Tradeify; BluSky; The Trading Pit Futures; Bulenox … (+47)</t>
        </is>
      </c>
      <c r="C6" s="9" t="n">
        <v>53</v>
      </c>
      <c r="D6" s="10" t="n">
        <v>29590000</v>
      </c>
      <c r="E6" s="11" t="n">
        <v>21038000</v>
      </c>
      <c r="F6" s="12">
        <f>D6*Paramètres!$B$3</f>
        <v/>
      </c>
      <c r="G6" s="12">
        <f>F6*Paramètres!$B$4</f>
        <v/>
      </c>
      <c r="H6" s="10">
        <f>F6-G6</f>
        <v/>
      </c>
      <c r="I6" s="12">
        <f>I5+H6-144314</f>
        <v/>
      </c>
      <c r="J6" s="9" t="n">
        <v>36</v>
      </c>
      <c r="K6" s="9" t="n">
        <v>86</v>
      </c>
    </row>
    <row r="7">
      <c r="A7" s="9" t="inlineStr">
        <is>
          <t>01 mars 2027</t>
        </is>
      </c>
      <c r="B7" s="9" t="inlineStr"/>
      <c r="C7" s="9" t="n">
        <v>0</v>
      </c>
      <c r="D7" s="10" t="n">
        <v>48208000</v>
      </c>
      <c r="E7" s="11" t="n">
        <v>2420000</v>
      </c>
      <c r="F7" s="12">
        <f>D7*Paramètres!$B$3</f>
        <v/>
      </c>
      <c r="G7" s="12">
        <f>F7*Paramètres!$B$4</f>
        <v/>
      </c>
      <c r="H7" s="10">
        <f>F7-G7</f>
        <v/>
      </c>
      <c r="I7" s="12">
        <f>I6+H7-0</f>
        <v/>
      </c>
      <c r="J7" s="9" t="n">
        <v>81</v>
      </c>
      <c r="K7" s="9" t="n">
        <v>86</v>
      </c>
    </row>
    <row r="8">
      <c r="A8" s="9" t="inlineStr">
        <is>
          <t>01 avril 2027</t>
        </is>
      </c>
      <c r="B8" s="9" t="inlineStr"/>
      <c r="C8" s="9" t="n">
        <v>0</v>
      </c>
      <c r="D8" s="10" t="n">
        <v>50628000</v>
      </c>
      <c r="E8" s="11" t="n">
        <v>0</v>
      </c>
      <c r="F8" s="12">
        <f>D8*Paramètres!$B$3</f>
        <v/>
      </c>
      <c r="G8" s="12">
        <f>F8*Paramètres!$B$4</f>
        <v/>
      </c>
      <c r="H8" s="10">
        <f>F8-G8</f>
        <v/>
      </c>
      <c r="I8" s="12">
        <f>I7+H8-0</f>
        <v/>
      </c>
      <c r="J8" s="9" t="n">
        <v>86</v>
      </c>
      <c r="K8" s="9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22" customWidth="1" min="4" max="4"/>
    <col width="8" customWidth="1" min="5" max="5"/>
    <col width="10" customWidth="1" min="6" max="6"/>
    <col width="14" customWidth="1" min="7" max="7"/>
    <col width="18" customWidth="1" min="8" max="8"/>
    <col width="14" customWidth="1" min="9" max="9"/>
    <col width="12" customWidth="1" min="10" max="10"/>
  </cols>
  <sheetData>
    <row r="1" ht="30" customHeight="1">
      <c r="A1" s="13" t="inlineStr">
        <is>
          <t>Date d'achat</t>
        </is>
      </c>
      <c r="B1" s="13" t="inlineStr">
        <is>
          <t>Cycle</t>
        </is>
      </c>
      <c r="C1" s="13" t="inlineStr">
        <is>
          <t>Prop firm</t>
        </is>
      </c>
      <c r="D1" s="13" t="inlineStr">
        <is>
          <t>Plateforme</t>
        </is>
      </c>
      <c r="E1" s="13" t="inlineStr">
        <is>
          <t>MT5 ?</t>
        </is>
      </c>
      <c r="F1" s="13" t="inlineStr">
        <is>
          <t>Type</t>
        </is>
      </c>
      <c r="G1" s="13" t="inlineStr">
        <is>
          <t>Durée évaluation (mois)</t>
        </is>
      </c>
      <c r="H1" s="13" t="inlineStr">
        <is>
          <t>Date de financement</t>
        </is>
      </c>
      <c r="I1" s="13" t="inlineStr">
        <is>
          <t>Capital ($)</t>
        </is>
      </c>
      <c r="J1" s="13" t="inlineStr">
        <is>
          <t>Prix ($)</t>
        </is>
      </c>
    </row>
    <row r="2">
      <c r="A2" s="9" t="inlineStr">
        <is>
          <t>01 novembre 2026</t>
        </is>
      </c>
      <c r="B2" s="14" t="inlineStr">
        <is>
          <t>CFD</t>
        </is>
      </c>
      <c r="C2" s="9" t="inlineStr">
        <is>
          <t>Real Trader Fund</t>
        </is>
      </c>
      <c r="D2" s="9" t="inlineStr">
        <is>
          <t>MT5</t>
        </is>
      </c>
      <c r="E2" s="9" t="inlineStr">
        <is>
          <t>Oui</t>
        </is>
      </c>
      <c r="F2" s="9" t="inlineStr">
        <is>
          <t>Instant</t>
        </is>
      </c>
      <c r="G2" s="9" t="n">
        <v>0</v>
      </c>
      <c r="H2" s="9" t="inlineStr">
        <is>
          <t>01 novembre 2026</t>
        </is>
      </c>
      <c r="I2" s="12" t="n">
        <v>100000</v>
      </c>
      <c r="J2" s="12" t="n">
        <v>360</v>
      </c>
    </row>
    <row r="3">
      <c r="A3" s="9" t="inlineStr">
        <is>
          <t>01 décembre 2026</t>
        </is>
      </c>
      <c r="B3" s="14" t="inlineStr">
        <is>
          <t>CFD</t>
        </is>
      </c>
      <c r="C3" s="9" t="inlineStr">
        <is>
          <t>XPIPS</t>
        </is>
      </c>
      <c r="D3" s="9" t="inlineStr">
        <is>
          <t>MetaTrader 5</t>
        </is>
      </c>
      <c r="E3" s="9" t="inlineStr">
        <is>
          <t>Oui</t>
        </is>
      </c>
      <c r="F3" s="9" t="inlineStr">
        <is>
          <t>Instant</t>
        </is>
      </c>
      <c r="G3" s="9" t="n">
        <v>0</v>
      </c>
      <c r="H3" s="9" t="inlineStr">
        <is>
          <t>01 décembre 2026</t>
        </is>
      </c>
      <c r="I3" s="12" t="n">
        <v>400000</v>
      </c>
      <c r="J3" s="12" t="n">
        <v>1596</v>
      </c>
    </row>
    <row r="4">
      <c r="A4" s="9" t="inlineStr">
        <is>
          <t>01 décembre 2026</t>
        </is>
      </c>
      <c r="B4" s="14" t="inlineStr">
        <is>
          <t>CFD</t>
        </is>
      </c>
      <c r="C4" s="9" t="inlineStr">
        <is>
          <t>Funding Pips</t>
        </is>
      </c>
      <c r="D4" s="9" t="inlineStr">
        <is>
          <t>cTrader, Match-Trader</t>
        </is>
      </c>
      <c r="E4" s="9" t="inlineStr">
        <is>
          <t>Oui</t>
        </is>
      </c>
      <c r="F4" s="9" t="inlineStr">
        <is>
          <t>Instant</t>
        </is>
      </c>
      <c r="G4" s="9" t="n">
        <v>0</v>
      </c>
      <c r="H4" s="9" t="inlineStr">
        <is>
          <t>01 décembre 2026</t>
        </is>
      </c>
      <c r="I4" s="12" t="n">
        <v>300000</v>
      </c>
      <c r="J4" s="12" t="n">
        <v>1332</v>
      </c>
    </row>
    <row r="5">
      <c r="A5" s="9" t="inlineStr">
        <is>
          <t>01 décembre 2026</t>
        </is>
      </c>
      <c r="B5" s="14" t="inlineStr">
        <is>
          <t>CFD</t>
        </is>
      </c>
      <c r="C5" s="9" t="inlineStr">
        <is>
          <t>Alpine Funded</t>
        </is>
      </c>
      <c r="D5" s="9" t="inlineStr">
        <is>
          <t>MetaTrader 5, cTrader</t>
        </is>
      </c>
      <c r="E5" s="9" t="inlineStr">
        <is>
          <t>Oui</t>
        </is>
      </c>
      <c r="F5" s="9" t="inlineStr">
        <is>
          <t>Instant</t>
        </is>
      </c>
      <c r="G5" s="9" t="n">
        <v>0</v>
      </c>
      <c r="H5" s="9" t="inlineStr">
        <is>
          <t>01 décembre 2026</t>
        </is>
      </c>
      <c r="I5" s="12" t="n">
        <v>200000</v>
      </c>
      <c r="J5" s="12" t="n">
        <v>839</v>
      </c>
    </row>
    <row r="6">
      <c r="A6" s="9" t="inlineStr">
        <is>
          <t>01 décembre 2026</t>
        </is>
      </c>
      <c r="B6" s="14" t="inlineStr">
        <is>
          <t>CFD</t>
        </is>
      </c>
      <c r="C6" s="9" t="inlineStr">
        <is>
          <t>FX2 Funding</t>
        </is>
      </c>
      <c r="D6" s="9" t="inlineStr">
        <is>
          <t>cTrader, DXtrade</t>
        </is>
      </c>
      <c r="E6" s="9" t="inlineStr">
        <is>
          <t>Oui</t>
        </is>
      </c>
      <c r="F6" s="9" t="inlineStr">
        <is>
          <t>Instant</t>
        </is>
      </c>
      <c r="G6" s="9" t="n">
        <v>0</v>
      </c>
      <c r="H6" s="9" t="inlineStr">
        <is>
          <t>01 décembre 2026</t>
        </is>
      </c>
      <c r="I6" s="12" t="n">
        <v>190000</v>
      </c>
      <c r="J6" s="12" t="n">
        <v>1055</v>
      </c>
    </row>
    <row r="7">
      <c r="A7" s="9" t="inlineStr">
        <is>
          <t>01 décembre 2026</t>
        </is>
      </c>
      <c r="B7" s="14" t="inlineStr">
        <is>
          <t>CFD</t>
        </is>
      </c>
      <c r="C7" s="9" t="inlineStr">
        <is>
          <t>Ifunds</t>
        </is>
      </c>
      <c r="D7" s="9" t="inlineStr">
        <is>
          <t>MetaTrader 5</t>
        </is>
      </c>
      <c r="E7" s="9" t="inlineStr">
        <is>
          <t>Oui</t>
        </is>
      </c>
      <c r="F7" s="9" t="inlineStr">
        <is>
          <t>Instant</t>
        </is>
      </c>
      <c r="G7" s="9" t="n">
        <v>0</v>
      </c>
      <c r="H7" s="9" t="inlineStr">
        <is>
          <t>01 décembre 2026</t>
        </is>
      </c>
      <c r="I7" s="12" t="n">
        <v>10000</v>
      </c>
      <c r="J7" s="12" t="n">
        <v>700</v>
      </c>
    </row>
    <row r="8">
      <c r="A8" s="9" t="inlineStr">
        <is>
          <t>01 janvier 2027</t>
        </is>
      </c>
      <c r="B8" s="14" t="inlineStr">
        <is>
          <t>CFD</t>
        </is>
      </c>
      <c r="C8" s="9" t="inlineStr">
        <is>
          <t>ADN Broker</t>
        </is>
      </c>
      <c r="D8" s="9" t="inlineStr">
        <is>
          <t>MT5</t>
        </is>
      </c>
      <c r="E8" s="9" t="inlineStr">
        <is>
          <t>Oui</t>
        </is>
      </c>
      <c r="F8" s="9" t="inlineStr">
        <is>
          <t>Instant</t>
        </is>
      </c>
      <c r="G8" s="9" t="n">
        <v>0</v>
      </c>
      <c r="H8" s="9" t="inlineStr">
        <is>
          <t>01 janvier 2027</t>
        </is>
      </c>
      <c r="I8" s="12" t="n">
        <v>500000</v>
      </c>
      <c r="J8" s="12" t="n">
        <v>50000</v>
      </c>
    </row>
    <row r="9">
      <c r="A9" s="9" t="inlineStr">
        <is>
          <t>01 janvier 2027</t>
        </is>
      </c>
      <c r="B9" s="14" t="inlineStr">
        <is>
          <t>CFD</t>
        </is>
      </c>
      <c r="C9" s="9" t="inlineStr">
        <is>
          <t>FundedHive</t>
        </is>
      </c>
      <c r="D9" s="9" t="inlineStr">
        <is>
          <t>cTrader</t>
        </is>
      </c>
      <c r="E9" s="9" t="inlineStr">
        <is>
          <t>Non</t>
        </is>
      </c>
      <c r="F9" s="9" t="inlineStr">
        <is>
          <t>Instant</t>
        </is>
      </c>
      <c r="G9" s="9" t="n">
        <v>0</v>
      </c>
      <c r="H9" s="9" t="inlineStr">
        <is>
          <t>01 janvier 2027</t>
        </is>
      </c>
      <c r="I9" s="12" t="n">
        <v>1000000</v>
      </c>
      <c r="J9" s="12" t="n">
        <v>349</v>
      </c>
    </row>
    <row r="10">
      <c r="A10" s="9" t="inlineStr">
        <is>
          <t>01 janvier 2027</t>
        </is>
      </c>
      <c r="B10" s="14" t="inlineStr">
        <is>
          <t>CFD</t>
        </is>
      </c>
      <c r="C10" s="9" t="inlineStr">
        <is>
          <t>FundedForge</t>
        </is>
      </c>
      <c r="D10" s="9" t="inlineStr">
        <is>
          <t>cTrader, Match-Trader, DXtrade</t>
        </is>
      </c>
      <c r="E10" s="9" t="inlineStr">
        <is>
          <t>Non</t>
        </is>
      </c>
      <c r="F10" s="9" t="inlineStr">
        <is>
          <t>Instant</t>
        </is>
      </c>
      <c r="G10" s="9" t="n">
        <v>0</v>
      </c>
      <c r="H10" s="9" t="inlineStr">
        <is>
          <t>01 janvier 2027</t>
        </is>
      </c>
      <c r="I10" s="12" t="n">
        <v>100000</v>
      </c>
      <c r="J10" s="12" t="n">
        <v>650</v>
      </c>
    </row>
    <row r="11">
      <c r="A11" s="9" t="inlineStr">
        <is>
          <t>01 janvier 2027</t>
        </is>
      </c>
      <c r="B11" s="14" t="inlineStr">
        <is>
          <t>CFD</t>
        </is>
      </c>
      <c r="C11" s="9" t="inlineStr">
        <is>
          <t>BuoyTrade</t>
        </is>
      </c>
      <c r="D11" s="9" t="inlineStr">
        <is>
          <t xml:space="preserve">MetaTrader </t>
        </is>
      </c>
      <c r="E11" s="9" t="inlineStr">
        <is>
          <t>Non</t>
        </is>
      </c>
      <c r="F11" s="9" t="inlineStr">
        <is>
          <t>Instant</t>
        </is>
      </c>
      <c r="G11" s="9" t="n">
        <v>0</v>
      </c>
      <c r="H11" s="9" t="inlineStr">
        <is>
          <t>01 janvier 2027</t>
        </is>
      </c>
      <c r="I11" s="12" t="n">
        <v>40000</v>
      </c>
      <c r="J11" s="12" t="n">
        <v>1980</v>
      </c>
    </row>
    <row r="12">
      <c r="A12" s="9" t="inlineStr">
        <is>
          <t>01 janvier 2027</t>
        </is>
      </c>
      <c r="B12" s="14" t="inlineStr">
        <is>
          <t>CFD</t>
        </is>
      </c>
      <c r="C12" s="9" t="inlineStr">
        <is>
          <t>PaidPex</t>
        </is>
      </c>
      <c r="D12" s="9" t="inlineStr">
        <is>
          <t>cTrader</t>
        </is>
      </c>
      <c r="E12" s="9" t="inlineStr">
        <is>
          <t>Oui</t>
        </is>
      </c>
      <c r="F12" s="9" t="inlineStr">
        <is>
          <t>1 étape</t>
        </is>
      </c>
      <c r="G12" s="15" t="n">
        <v>1</v>
      </c>
      <c r="H12" s="9" t="inlineStr">
        <is>
          <t>01 février 2027</t>
        </is>
      </c>
      <c r="I12" s="12" t="n">
        <v>6000000</v>
      </c>
      <c r="J12" s="12" t="n">
        <v>11960</v>
      </c>
    </row>
    <row r="13">
      <c r="A13" s="9" t="inlineStr">
        <is>
          <t>01 janvier 2027</t>
        </is>
      </c>
      <c r="B13" s="14" t="inlineStr">
        <is>
          <t>CFD</t>
        </is>
      </c>
      <c r="C13" s="9" t="inlineStr">
        <is>
          <t>Lux Trading Firm</t>
        </is>
      </c>
      <c r="D13" s="9" t="inlineStr">
        <is>
          <t>TradingView</t>
        </is>
      </c>
      <c r="E13" s="9" t="inlineStr">
        <is>
          <t>Oui</t>
        </is>
      </c>
      <c r="F13" s="9" t="inlineStr">
        <is>
          <t>1 étape</t>
        </is>
      </c>
      <c r="G13" s="15" t="n">
        <v>1</v>
      </c>
      <c r="H13" s="9" t="inlineStr">
        <is>
          <t>01 février 2027</t>
        </is>
      </c>
      <c r="I13" s="12" t="n">
        <v>5000000</v>
      </c>
      <c r="J13" s="12" t="n">
        <v>4995</v>
      </c>
    </row>
    <row r="14">
      <c r="A14" s="9" t="inlineStr">
        <is>
          <t>01 janvier 2027</t>
        </is>
      </c>
      <c r="B14" s="14" t="inlineStr">
        <is>
          <t>CFD</t>
        </is>
      </c>
      <c r="C14" s="9" t="inlineStr">
        <is>
          <t>XLTrade</t>
        </is>
      </c>
      <c r="D14" s="9" t="inlineStr">
        <is>
          <t>MetaTrader 5</t>
        </is>
      </c>
      <c r="E14" s="9" t="inlineStr">
        <is>
          <t>Oui</t>
        </is>
      </c>
      <c r="F14" s="9" t="inlineStr">
        <is>
          <t>1 étape</t>
        </is>
      </c>
      <c r="G14" s="15" t="n">
        <v>1</v>
      </c>
      <c r="H14" s="9" t="inlineStr">
        <is>
          <t>01 février 2027</t>
        </is>
      </c>
      <c r="I14" s="12" t="n">
        <v>1000000</v>
      </c>
      <c r="J14" s="12" t="n">
        <v>3168</v>
      </c>
    </row>
    <row r="15">
      <c r="A15" s="9" t="inlineStr">
        <is>
          <t>01 janvier 2027</t>
        </is>
      </c>
      <c r="B15" s="14" t="inlineStr">
        <is>
          <t>CFD</t>
        </is>
      </c>
      <c r="C15" s="9" t="inlineStr">
        <is>
          <t>Funded Trader Markets</t>
        </is>
      </c>
      <c r="D15" s="9" t="inlineStr">
        <is>
          <t>cTrader, Match-Trader, TradeLocker</t>
        </is>
      </c>
      <c r="E15" s="9" t="inlineStr">
        <is>
          <t>Oui</t>
        </is>
      </c>
      <c r="F15" s="9" t="inlineStr">
        <is>
          <t>1 étape</t>
        </is>
      </c>
      <c r="G15" s="15" t="n">
        <v>0.6</v>
      </c>
      <c r="H15" s="9" t="inlineStr">
        <is>
          <t>19 janvier 2027</t>
        </is>
      </c>
      <c r="I15" s="12" t="n">
        <v>1000000</v>
      </c>
      <c r="J15" s="12" t="n">
        <v>5436</v>
      </c>
    </row>
    <row r="16">
      <c r="A16" s="9" t="inlineStr">
        <is>
          <t>01 janvier 2027</t>
        </is>
      </c>
      <c r="B16" s="14" t="inlineStr">
        <is>
          <t>CFD</t>
        </is>
      </c>
      <c r="C16" s="9" t="inlineStr">
        <is>
          <t>IF Crypto</t>
        </is>
      </c>
      <c r="D16" s="9" t="inlineStr">
        <is>
          <t>cTrader, Match-Trader</t>
        </is>
      </c>
      <c r="E16" s="9" t="inlineStr">
        <is>
          <t>Oui</t>
        </is>
      </c>
      <c r="F16" s="9" t="inlineStr">
        <is>
          <t>1 étape</t>
        </is>
      </c>
      <c r="G16" s="15" t="n">
        <v>1</v>
      </c>
      <c r="H16" s="9" t="inlineStr">
        <is>
          <t>01 février 2027</t>
        </is>
      </c>
      <c r="I16" s="12" t="n">
        <v>1000000</v>
      </c>
      <c r="J16" s="12" t="n">
        <v>7390</v>
      </c>
    </row>
    <row r="17">
      <c r="A17" s="9" t="inlineStr">
        <is>
          <t>01 janvier 2027</t>
        </is>
      </c>
      <c r="B17" s="14" t="inlineStr">
        <is>
          <t>CFD</t>
        </is>
      </c>
      <c r="C17" s="9" t="inlineStr">
        <is>
          <t>Instant Funding</t>
        </is>
      </c>
      <c r="D17" s="9" t="inlineStr">
        <is>
          <t>MetaTrader 5, cTrader, Match-Trader</t>
        </is>
      </c>
      <c r="E17" s="9" t="inlineStr">
        <is>
          <t>Oui</t>
        </is>
      </c>
      <c r="F17" s="9" t="inlineStr">
        <is>
          <t>1 étape</t>
        </is>
      </c>
      <c r="G17" s="15" t="n">
        <v>0.9</v>
      </c>
      <c r="H17" s="9" t="inlineStr">
        <is>
          <t>28 janvier 2027</t>
        </is>
      </c>
      <c r="I17" s="12" t="n">
        <v>1000000</v>
      </c>
      <c r="J17" s="12" t="n">
        <v>7390</v>
      </c>
    </row>
    <row r="18">
      <c r="A18" s="9" t="inlineStr">
        <is>
          <t>01 janvier 2027</t>
        </is>
      </c>
      <c r="B18" s="14" t="inlineStr">
        <is>
          <t>CFD</t>
        </is>
      </c>
      <c r="C18" s="9" t="inlineStr">
        <is>
          <t>Hola Prime</t>
        </is>
      </c>
      <c r="D18" s="9" t="inlineStr">
        <is>
          <t>cTrader, Match-Trader, TradeLocker</t>
        </is>
      </c>
      <c r="E18" s="9" t="inlineStr">
        <is>
          <t>Oui</t>
        </is>
      </c>
      <c r="F18" s="9" t="inlineStr">
        <is>
          <t>1 étape</t>
        </is>
      </c>
      <c r="G18" s="15" t="n">
        <v>0.6</v>
      </c>
      <c r="H18" s="9" t="inlineStr">
        <is>
          <t>19 janvier 2027</t>
        </is>
      </c>
      <c r="I18" s="12" t="n">
        <v>500000</v>
      </c>
      <c r="J18" s="12" t="n">
        <v>1236</v>
      </c>
    </row>
    <row r="19">
      <c r="A19" s="9" t="inlineStr">
        <is>
          <t>01 janvier 2027</t>
        </is>
      </c>
      <c r="B19" s="14" t="inlineStr">
        <is>
          <t>CFD</t>
        </is>
      </c>
      <c r="C19" s="9" t="inlineStr">
        <is>
          <t>E8 Perpetuals</t>
        </is>
      </c>
      <c r="D19" s="9" t="inlineStr">
        <is>
          <t>MetaTrader 5, cTrader, TradeLocker</t>
        </is>
      </c>
      <c r="E19" s="9" t="inlineStr">
        <is>
          <t>Oui</t>
        </is>
      </c>
      <c r="F19" s="9" t="inlineStr">
        <is>
          <t>1 étape</t>
        </is>
      </c>
      <c r="G19" s="15" t="n">
        <v>1</v>
      </c>
      <c r="H19" s="9" t="inlineStr">
        <is>
          <t>01 février 2027</t>
        </is>
      </c>
      <c r="I19" s="12" t="n">
        <v>500000</v>
      </c>
      <c r="J19" s="12" t="n">
        <v>1300</v>
      </c>
    </row>
    <row r="20">
      <c r="A20" s="9" t="inlineStr">
        <is>
          <t>01 janvier 2027</t>
        </is>
      </c>
      <c r="B20" s="14" t="inlineStr">
        <is>
          <t>CFD</t>
        </is>
      </c>
      <c r="C20" s="9" t="inlineStr">
        <is>
          <t>E8 Markets</t>
        </is>
      </c>
      <c r="D20" s="9" t="inlineStr">
        <is>
          <t>MetaTrader 5, cTrader, Match-Trader, Tra</t>
        </is>
      </c>
      <c r="E20" s="9" t="inlineStr">
        <is>
          <t>Oui</t>
        </is>
      </c>
      <c r="F20" s="9" t="inlineStr">
        <is>
          <t>1 étape</t>
        </is>
      </c>
      <c r="G20" s="15" t="n">
        <v>0.6</v>
      </c>
      <c r="H20" s="9" t="inlineStr">
        <is>
          <t>19 janvier 2027</t>
        </is>
      </c>
      <c r="I20" s="12" t="n">
        <v>500000</v>
      </c>
      <c r="J20" s="12" t="n">
        <v>1300</v>
      </c>
    </row>
    <row r="21">
      <c r="A21" s="9" t="inlineStr">
        <is>
          <t>01 janvier 2027</t>
        </is>
      </c>
      <c r="B21" s="14" t="inlineStr">
        <is>
          <t>CFD</t>
        </is>
      </c>
      <c r="C21" s="9" t="inlineStr">
        <is>
          <t>Foxx Funded</t>
        </is>
      </c>
      <c r="D21" s="9" t="inlineStr">
        <is>
          <t>MetaTrader 5, cTrader</t>
        </is>
      </c>
      <c r="E21" s="9" t="inlineStr">
        <is>
          <t>Oui</t>
        </is>
      </c>
      <c r="F21" s="9" t="inlineStr">
        <is>
          <t>1 étape</t>
        </is>
      </c>
      <c r="G21" s="15" t="n">
        <v>1</v>
      </c>
      <c r="H21" s="9" t="inlineStr">
        <is>
          <t>01 février 2027</t>
        </is>
      </c>
      <c r="I21" s="12" t="n">
        <v>500000</v>
      </c>
      <c r="J21" s="12" t="n">
        <v>1990</v>
      </c>
    </row>
    <row r="22">
      <c r="A22" s="9" t="inlineStr">
        <is>
          <t>01 janvier 2027</t>
        </is>
      </c>
      <c r="B22" s="14" t="inlineStr">
        <is>
          <t>CFD</t>
        </is>
      </c>
      <c r="C22" s="9" t="inlineStr">
        <is>
          <t>Quantum Funding</t>
        </is>
      </c>
      <c r="D22" s="9" t="inlineStr">
        <is>
          <t>cTrader</t>
        </is>
      </c>
      <c r="E22" s="9" t="inlineStr">
        <is>
          <t>Oui</t>
        </is>
      </c>
      <c r="F22" s="9" t="inlineStr">
        <is>
          <t>1 étape</t>
        </is>
      </c>
      <c r="G22" s="15" t="n">
        <v>1</v>
      </c>
      <c r="H22" s="9" t="inlineStr">
        <is>
          <t>01 février 2027</t>
        </is>
      </c>
      <c r="I22" s="12" t="n">
        <v>500000</v>
      </c>
      <c r="J22" s="12" t="n">
        <v>2145</v>
      </c>
    </row>
    <row r="23">
      <c r="A23" s="9" t="inlineStr">
        <is>
          <t>01 janvier 2027</t>
        </is>
      </c>
      <c r="B23" s="14" t="inlineStr">
        <is>
          <t>CFD</t>
        </is>
      </c>
      <c r="C23" s="9" t="inlineStr">
        <is>
          <t>Blue Guardian</t>
        </is>
      </c>
      <c r="D23" s="9" t="inlineStr">
        <is>
          <t>MetaTrader 5, Match-Trader, TradeLocker,</t>
        </is>
      </c>
      <c r="E23" s="9" t="inlineStr">
        <is>
          <t>Oui</t>
        </is>
      </c>
      <c r="F23" s="9" t="inlineStr">
        <is>
          <t>1 étape</t>
        </is>
      </c>
      <c r="G23" s="15" t="n">
        <v>1</v>
      </c>
      <c r="H23" s="9" t="inlineStr">
        <is>
          <t>01 février 2027</t>
        </is>
      </c>
      <c r="I23" s="12" t="n">
        <v>400000</v>
      </c>
      <c r="J23" s="12" t="n">
        <v>1472</v>
      </c>
    </row>
    <row r="24">
      <c r="A24" s="9" t="inlineStr">
        <is>
          <t>01 janvier 2027</t>
        </is>
      </c>
      <c r="B24" s="14" t="inlineStr">
        <is>
          <t>CFD</t>
        </is>
      </c>
      <c r="C24" s="9" t="inlineStr">
        <is>
          <t>FTMO</t>
        </is>
      </c>
      <c r="D24" s="9" t="inlineStr">
        <is>
          <t>MetaTrader 5, cTrader, TradingView</t>
        </is>
      </c>
      <c r="E24" s="9" t="inlineStr">
        <is>
          <t>Oui</t>
        </is>
      </c>
      <c r="F24" s="9" t="inlineStr">
        <is>
          <t>1 étape</t>
        </is>
      </c>
      <c r="G24" s="15" t="n">
        <v>1</v>
      </c>
      <c r="H24" s="9" t="inlineStr">
        <is>
          <t>01 février 2027</t>
        </is>
      </c>
      <c r="I24" s="12" t="n">
        <v>400000</v>
      </c>
      <c r="J24" s="12" t="n">
        <v>1996</v>
      </c>
    </row>
    <row r="25">
      <c r="A25" s="9" t="inlineStr">
        <is>
          <t>01 janvier 2027</t>
        </is>
      </c>
      <c r="B25" s="14" t="inlineStr">
        <is>
          <t>CFD</t>
        </is>
      </c>
      <c r="C25" s="9" t="inlineStr">
        <is>
          <t>TradersFlow</t>
        </is>
      </c>
      <c r="D25" s="9" t="inlineStr">
        <is>
          <t>MetaTrader 5</t>
        </is>
      </c>
      <c r="E25" s="9" t="inlineStr">
        <is>
          <t>Oui</t>
        </is>
      </c>
      <c r="F25" s="9" t="inlineStr">
        <is>
          <t>1 étape</t>
        </is>
      </c>
      <c r="G25" s="15" t="n">
        <v>1</v>
      </c>
      <c r="H25" s="9" t="inlineStr">
        <is>
          <t>01 février 2027</t>
        </is>
      </c>
      <c r="I25" s="12" t="n">
        <v>400000</v>
      </c>
      <c r="J25" s="12" t="n">
        <v>2018</v>
      </c>
    </row>
    <row r="26">
      <c r="A26" s="9" t="inlineStr">
        <is>
          <t>01 janvier 2027</t>
        </is>
      </c>
      <c r="B26" s="14" t="inlineStr">
        <is>
          <t>CFD</t>
        </is>
      </c>
      <c r="C26" s="9" t="inlineStr">
        <is>
          <t>The Trading Pit</t>
        </is>
      </c>
      <c r="D26" s="9" t="inlineStr">
        <is>
          <t>MT5</t>
        </is>
      </c>
      <c r="E26" s="9" t="inlineStr">
        <is>
          <t>Oui</t>
        </is>
      </c>
      <c r="F26" s="9" t="inlineStr">
        <is>
          <t>1 étape</t>
        </is>
      </c>
      <c r="G26" s="15" t="n">
        <v>1</v>
      </c>
      <c r="H26" s="9" t="inlineStr">
        <is>
          <t>01 février 2027</t>
        </is>
      </c>
      <c r="I26" s="12" t="n">
        <v>400000</v>
      </c>
      <c r="J26" s="12" t="n">
        <v>2276</v>
      </c>
    </row>
    <row r="27">
      <c r="A27" s="9" t="inlineStr">
        <is>
          <t>01 janvier 2027</t>
        </is>
      </c>
      <c r="B27" s="14" t="inlineStr">
        <is>
          <t>CFD</t>
        </is>
      </c>
      <c r="C27" s="9" t="inlineStr">
        <is>
          <t>FundYourFX</t>
        </is>
      </c>
      <c r="D27" s="9" t="inlineStr">
        <is>
          <t>MT5</t>
        </is>
      </c>
      <c r="E27" s="9" t="inlineStr">
        <is>
          <t>Oui</t>
        </is>
      </c>
      <c r="F27" s="9" t="inlineStr">
        <is>
          <t>1 étape</t>
        </is>
      </c>
      <c r="G27" s="15" t="n">
        <v>1</v>
      </c>
      <c r="H27" s="9" t="inlineStr">
        <is>
          <t>01 février 2027</t>
        </is>
      </c>
      <c r="I27" s="12" t="n">
        <v>200000</v>
      </c>
      <c r="J27" s="12" t="n">
        <v>514</v>
      </c>
    </row>
    <row r="28">
      <c r="A28" s="9" t="inlineStr">
        <is>
          <t>01 janvier 2027</t>
        </is>
      </c>
      <c r="B28" s="14" t="inlineStr">
        <is>
          <t>CFD</t>
        </is>
      </c>
      <c r="C28" s="9" t="inlineStr">
        <is>
          <t>FunderPro</t>
        </is>
      </c>
      <c r="D28" s="9" t="inlineStr">
        <is>
          <t>cTrader, TradeLocker</t>
        </is>
      </c>
      <c r="E28" s="9" t="inlineStr">
        <is>
          <t>Oui</t>
        </is>
      </c>
      <c r="F28" s="9" t="inlineStr">
        <is>
          <t>1 étape</t>
        </is>
      </c>
      <c r="G28" s="15" t="n">
        <v>1.4</v>
      </c>
      <c r="H28" s="9" t="inlineStr">
        <is>
          <t>13 février 2027</t>
        </is>
      </c>
      <c r="I28" s="12" t="n">
        <v>200000</v>
      </c>
      <c r="J28" s="12" t="n">
        <v>989</v>
      </c>
    </row>
    <row r="29">
      <c r="A29" s="9" t="inlineStr">
        <is>
          <t>01 janvier 2027</t>
        </is>
      </c>
      <c r="B29" s="14" t="inlineStr">
        <is>
          <t>CFD</t>
        </is>
      </c>
      <c r="C29" s="9" t="inlineStr">
        <is>
          <t>Funded Trading Plus</t>
        </is>
      </c>
      <c r="D29" s="9" t="inlineStr">
        <is>
          <t>cTrader, Match-Trader, DXtrade</t>
        </is>
      </c>
      <c r="E29" s="9" t="inlineStr">
        <is>
          <t>Oui</t>
        </is>
      </c>
      <c r="F29" s="9" t="inlineStr">
        <is>
          <t>1 étape</t>
        </is>
      </c>
      <c r="G29" s="15" t="n">
        <v>1</v>
      </c>
      <c r="H29" s="9" t="inlineStr">
        <is>
          <t>01 février 2027</t>
        </is>
      </c>
      <c r="I29" s="12" t="n">
        <v>200000</v>
      </c>
      <c r="J29" s="12" t="n">
        <v>999</v>
      </c>
    </row>
    <row r="30">
      <c r="A30" s="9" t="inlineStr">
        <is>
          <t>01 janvier 2027</t>
        </is>
      </c>
      <c r="B30" s="14" t="inlineStr">
        <is>
          <t>CFD</t>
        </is>
      </c>
      <c r="C30" s="9" t="inlineStr">
        <is>
          <t>CK Capital</t>
        </is>
      </c>
      <c r="D30" s="9" t="inlineStr">
        <is>
          <t>TradeLocker</t>
        </is>
      </c>
      <c r="E30" s="9" t="inlineStr">
        <is>
          <t>Oui</t>
        </is>
      </c>
      <c r="F30" s="9" t="inlineStr">
        <is>
          <t>1 étape</t>
        </is>
      </c>
      <c r="G30" s="15" t="n">
        <v>1.2</v>
      </c>
      <c r="H30" s="9" t="inlineStr">
        <is>
          <t>07 février 2027</t>
        </is>
      </c>
      <c r="I30" s="12" t="n">
        <v>200000</v>
      </c>
      <c r="J30" s="12" t="n">
        <v>1056</v>
      </c>
    </row>
    <row r="31">
      <c r="A31" s="9" t="inlineStr">
        <is>
          <t>01 janvier 2027</t>
        </is>
      </c>
      <c r="B31" s="14" t="inlineStr">
        <is>
          <t>CFD</t>
        </is>
      </c>
      <c r="C31" s="9" t="inlineStr">
        <is>
          <t>Ment Funding</t>
        </is>
      </c>
      <c r="D31" s="9" t="inlineStr">
        <is>
          <t>cTrader, DXtrade</t>
        </is>
      </c>
      <c r="E31" s="9" t="inlineStr">
        <is>
          <t>Oui</t>
        </is>
      </c>
      <c r="F31" s="9" t="inlineStr">
        <is>
          <t>1 étape</t>
        </is>
      </c>
      <c r="G31" s="15" t="n">
        <v>1</v>
      </c>
      <c r="H31" s="9" t="inlineStr">
        <is>
          <t>01 février 2027</t>
        </is>
      </c>
      <c r="I31" s="12" t="n">
        <v>190000</v>
      </c>
      <c r="J31" s="12" t="n">
        <v>7451</v>
      </c>
    </row>
    <row r="32">
      <c r="A32" s="9" t="inlineStr">
        <is>
          <t>01 janvier 2027</t>
        </is>
      </c>
      <c r="B32" s="14" t="inlineStr">
        <is>
          <t>CFD</t>
        </is>
      </c>
      <c r="C32" s="9" t="inlineStr">
        <is>
          <t>Leveraged Crypto</t>
        </is>
      </c>
      <c r="D32" s="9" t="inlineStr">
        <is>
          <t>MetaTrader 5</t>
        </is>
      </c>
      <c r="E32" s="9" t="inlineStr">
        <is>
          <t>Oui</t>
        </is>
      </c>
      <c r="F32" s="9" t="inlineStr">
        <is>
          <t>1 étape</t>
        </is>
      </c>
      <c r="G32" s="15" t="n">
        <v>1</v>
      </c>
      <c r="H32" s="9" t="inlineStr">
        <is>
          <t>01 février 2027</t>
        </is>
      </c>
      <c r="I32" s="12" t="n">
        <v>150000</v>
      </c>
      <c r="J32" s="12" t="n">
        <v>980</v>
      </c>
    </row>
    <row r="33">
      <c r="A33" s="9" t="inlineStr">
        <is>
          <t>01 janvier 2027</t>
        </is>
      </c>
      <c r="B33" s="14" t="inlineStr">
        <is>
          <t>CFD</t>
        </is>
      </c>
      <c r="C33" s="9" t="inlineStr">
        <is>
          <t>Paid To Trade</t>
        </is>
      </c>
      <c r="D33" s="9" t="inlineStr">
        <is>
          <t>Match-Trader</t>
        </is>
      </c>
      <c r="E33" s="9" t="inlineStr">
        <is>
          <t>Oui</t>
        </is>
      </c>
      <c r="F33" s="9" t="inlineStr">
        <is>
          <t>1 étape</t>
        </is>
      </c>
      <c r="G33" s="15" t="n">
        <v>1</v>
      </c>
      <c r="H33" s="9" t="inlineStr">
        <is>
          <t>01 février 2027</t>
        </is>
      </c>
      <c r="I33" s="12" t="n">
        <v>100000</v>
      </c>
      <c r="J33" s="12" t="n">
        <v>699</v>
      </c>
    </row>
    <row r="34">
      <c r="A34" s="9" t="inlineStr">
        <is>
          <t>01 février 2027</t>
        </is>
      </c>
      <c r="B34" s="14" t="inlineStr">
        <is>
          <t>CFD</t>
        </is>
      </c>
      <c r="C34" s="9" t="inlineStr">
        <is>
          <t>PipFarm</t>
        </is>
      </c>
      <c r="D34" s="9" t="inlineStr">
        <is>
          <t>cTrader</t>
        </is>
      </c>
      <c r="E34" s="9" t="inlineStr">
        <is>
          <t>Non</t>
        </is>
      </c>
      <c r="F34" s="9" t="inlineStr">
        <is>
          <t>1 étape</t>
        </is>
      </c>
      <c r="G34" s="15" t="n">
        <v>1.2</v>
      </c>
      <c r="H34" s="9" t="inlineStr">
        <is>
          <t>07 mars 2027</t>
        </is>
      </c>
      <c r="I34" s="12" t="n">
        <v>600000</v>
      </c>
      <c r="J34" s="12" t="n">
        <v>2360</v>
      </c>
    </row>
    <row r="35">
      <c r="A35" s="9" t="inlineStr">
        <is>
          <t>01 février 2027</t>
        </is>
      </c>
      <c r="B35" s="14" t="inlineStr">
        <is>
          <t>CFD</t>
        </is>
      </c>
      <c r="C35" s="9" t="inlineStr">
        <is>
          <t>Get Funded Now</t>
        </is>
      </c>
      <c r="D35" s="9" t="inlineStr">
        <is>
          <t xml:space="preserve">Not named on the official site </t>
        </is>
      </c>
      <c r="E35" s="9" t="inlineStr">
        <is>
          <t>Non</t>
        </is>
      </c>
      <c r="F35" s="9" t="inlineStr">
        <is>
          <t>1 étape</t>
        </is>
      </c>
      <c r="G35" s="15" t="n">
        <v>1</v>
      </c>
      <c r="H35" s="9" t="inlineStr">
        <is>
          <t>01 mars 2027</t>
        </is>
      </c>
      <c r="I35" s="12" t="n">
        <v>400000</v>
      </c>
      <c r="J35" s="12" t="n">
        <v>2625</v>
      </c>
    </row>
    <row r="36">
      <c r="A36" s="9" t="inlineStr">
        <is>
          <t>01 février 2027</t>
        </is>
      </c>
      <c r="B36" s="16" t="inlineStr">
        <is>
          <t>Futures</t>
        </is>
      </c>
      <c r="C36" s="9" t="inlineStr">
        <is>
          <t>Tradeify</t>
        </is>
      </c>
      <c r="D36" s="9" t="inlineStr">
        <is>
          <t>NinjaTrader, Tradovate, Quantower, Tradi</t>
        </is>
      </c>
      <c r="E36" s="9" t="inlineStr">
        <is>
          <t>Non</t>
        </is>
      </c>
      <c r="F36" s="9" t="inlineStr">
        <is>
          <t>1 étape</t>
        </is>
      </c>
      <c r="G36" s="15" t="n">
        <v>0.6</v>
      </c>
      <c r="H36" s="9" t="inlineStr">
        <is>
          <t>19 février 2027</t>
        </is>
      </c>
      <c r="I36" s="12" t="n">
        <v>1650000</v>
      </c>
      <c r="J36" s="12" t="n">
        <v>2114</v>
      </c>
    </row>
    <row r="37">
      <c r="A37" s="9" t="inlineStr">
        <is>
          <t>01 février 2027</t>
        </is>
      </c>
      <c r="B37" s="16" t="inlineStr">
        <is>
          <t>Futures</t>
        </is>
      </c>
      <c r="C37" s="9" t="inlineStr">
        <is>
          <t>BluSky</t>
        </is>
      </c>
      <c r="D37" s="9" t="inlineStr">
        <is>
          <t>NinjaTrader, Tradovate, Rithmic, Quantow</t>
        </is>
      </c>
      <c r="E37" s="9" t="inlineStr">
        <is>
          <t>Non</t>
        </is>
      </c>
      <c r="F37" s="9" t="inlineStr">
        <is>
          <t>1 étape</t>
        </is>
      </c>
      <c r="G37" s="15" t="n">
        <v>1</v>
      </c>
      <c r="H37" s="9" t="inlineStr">
        <is>
          <t>01 mars 2027</t>
        </is>
      </c>
      <c r="I37" s="12" t="n">
        <v>900000</v>
      </c>
      <c r="J37" s="12" t="n">
        <v>672</v>
      </c>
    </row>
    <row r="38">
      <c r="A38" s="9" t="inlineStr">
        <is>
          <t>01 février 2027</t>
        </is>
      </c>
      <c r="B38" s="16" t="inlineStr">
        <is>
          <t>Futures</t>
        </is>
      </c>
      <c r="C38" s="9" t="inlineStr">
        <is>
          <t>The Trading Pit Futures</t>
        </is>
      </c>
      <c r="D38" s="9" t="inlineStr">
        <is>
          <t>NinjaTrader, Tradovate, Rithmic, Quantow</t>
        </is>
      </c>
      <c r="E38" s="9" t="inlineStr">
        <is>
          <t>Non</t>
        </is>
      </c>
      <c r="F38" s="9" t="inlineStr">
        <is>
          <t>1 étape</t>
        </is>
      </c>
      <c r="G38" s="15" t="n">
        <v>1</v>
      </c>
      <c r="H38" s="9" t="inlineStr">
        <is>
          <t>01 mars 2027</t>
        </is>
      </c>
      <c r="I38" s="12" t="n">
        <v>750000</v>
      </c>
      <c r="J38" s="12" t="n">
        <v>1445</v>
      </c>
    </row>
    <row r="39">
      <c r="A39" s="9" t="inlineStr">
        <is>
          <t>01 février 2027</t>
        </is>
      </c>
      <c r="B39" s="16" t="inlineStr">
        <is>
          <t>Futures</t>
        </is>
      </c>
      <c r="C39" s="9" t="inlineStr">
        <is>
          <t>Bulenox</t>
        </is>
      </c>
      <c r="D39" s="9" t="inlineStr">
        <is>
          <t>NinjaTrader, Rithmic, Quantower</t>
        </is>
      </c>
      <c r="E39" s="9" t="inlineStr">
        <is>
          <t>Non</t>
        </is>
      </c>
      <c r="F39" s="9" t="inlineStr">
        <is>
          <t>1 étape</t>
        </is>
      </c>
      <c r="G39" s="15" t="n">
        <v>0.6</v>
      </c>
      <c r="H39" s="9" t="inlineStr">
        <is>
          <t>19 février 2027</t>
        </is>
      </c>
      <c r="I39" s="12" t="n">
        <v>750000</v>
      </c>
      <c r="J39" s="12" t="n">
        <v>1625</v>
      </c>
    </row>
    <row r="40">
      <c r="A40" s="9" t="inlineStr">
        <is>
          <t>01 février 2027</t>
        </is>
      </c>
      <c r="B40" s="14" t="inlineStr">
        <is>
          <t>CFD</t>
        </is>
      </c>
      <c r="C40" s="9" t="inlineStr">
        <is>
          <t>Upcomers</t>
        </is>
      </c>
      <c r="D40" s="9" t="inlineStr">
        <is>
          <t>cTrader, Match-Trader, TradeLocker, DXtr</t>
        </is>
      </c>
      <c r="E40" s="9" t="inlineStr">
        <is>
          <t>Oui</t>
        </is>
      </c>
      <c r="F40" s="9" t="inlineStr">
        <is>
          <t>2 étapes</t>
        </is>
      </c>
      <c r="G40" s="15" t="n">
        <v>0.8</v>
      </c>
      <c r="H40" s="9" t="inlineStr">
        <is>
          <t>25 février 2027</t>
        </is>
      </c>
      <c r="I40" s="12" t="n">
        <v>4000000</v>
      </c>
      <c r="J40" s="12" t="n">
        <v>30795</v>
      </c>
    </row>
    <row r="41">
      <c r="A41" s="9" t="inlineStr">
        <is>
          <t>01 février 2027</t>
        </is>
      </c>
      <c r="B41" s="14" t="inlineStr">
        <is>
          <t>CFD</t>
        </is>
      </c>
      <c r="C41" s="9" t="inlineStr">
        <is>
          <t>Finotive Funding</t>
        </is>
      </c>
      <c r="D41" s="9" t="inlineStr">
        <is>
          <t>MetaTrader 5, Match-Trader</t>
        </is>
      </c>
      <c r="E41" s="9" t="inlineStr">
        <is>
          <t>Oui</t>
        </is>
      </c>
      <c r="F41" s="9" t="inlineStr">
        <is>
          <t>2 étapes</t>
        </is>
      </c>
      <c r="G41" s="15" t="n">
        <v>1.25</v>
      </c>
      <c r="H41" s="9" t="inlineStr">
        <is>
          <t>09 mars 2027</t>
        </is>
      </c>
      <c r="I41" s="12" t="n">
        <v>1400000</v>
      </c>
      <c r="J41" s="12" t="n">
        <v>11200</v>
      </c>
    </row>
    <row r="42">
      <c r="A42" s="9" t="inlineStr">
        <is>
          <t>01 février 2027</t>
        </is>
      </c>
      <c r="B42" s="14" t="inlineStr">
        <is>
          <t>CFD</t>
        </is>
      </c>
      <c r="C42" s="9" t="inlineStr">
        <is>
          <t>Sway Funded</t>
        </is>
      </c>
      <c r="D42" s="9" t="inlineStr">
        <is>
          <t>cTrader</t>
        </is>
      </c>
      <c r="E42" s="9" t="inlineStr">
        <is>
          <t>Oui</t>
        </is>
      </c>
      <c r="F42" s="9" t="inlineStr">
        <is>
          <t>2 étapes</t>
        </is>
      </c>
      <c r="G42" s="15" t="n">
        <v>1.8</v>
      </c>
      <c r="H42" s="9" t="inlineStr">
        <is>
          <t>25 mars 2027</t>
        </is>
      </c>
      <c r="I42" s="12" t="n">
        <v>1000000</v>
      </c>
      <c r="J42" s="12" t="n">
        <v>4945</v>
      </c>
    </row>
    <row r="43">
      <c r="A43" s="9" t="inlineStr">
        <is>
          <t>01 février 2027</t>
        </is>
      </c>
      <c r="B43" s="14" t="inlineStr">
        <is>
          <t>CFD</t>
        </is>
      </c>
      <c r="C43" s="9" t="inlineStr">
        <is>
          <t>Pro Traders Fund</t>
        </is>
      </c>
      <c r="D43" s="9" t="inlineStr">
        <is>
          <t>MT5</t>
        </is>
      </c>
      <c r="E43" s="9" t="inlineStr">
        <is>
          <t>Oui</t>
        </is>
      </c>
      <c r="F43" s="9" t="inlineStr">
        <is>
          <t>2 étapes</t>
        </is>
      </c>
      <c r="G43" s="15" t="n">
        <v>1.2</v>
      </c>
      <c r="H43" s="9" t="inlineStr">
        <is>
          <t>07 mars 2027</t>
        </is>
      </c>
      <c r="I43" s="12" t="n">
        <v>900000</v>
      </c>
      <c r="J43" s="12" t="n">
        <v>4197</v>
      </c>
    </row>
    <row r="44">
      <c r="A44" s="9" t="inlineStr">
        <is>
          <t>01 février 2027</t>
        </is>
      </c>
      <c r="B44" s="14" t="inlineStr">
        <is>
          <t>CFD</t>
        </is>
      </c>
      <c r="C44" s="9" t="inlineStr">
        <is>
          <t>Mainet Funded</t>
        </is>
      </c>
      <c r="D44" s="9" t="inlineStr">
        <is>
          <t>MT5</t>
        </is>
      </c>
      <c r="E44" s="9" t="inlineStr">
        <is>
          <t>Oui</t>
        </is>
      </c>
      <c r="F44" s="9" t="inlineStr">
        <is>
          <t>2 étapes</t>
        </is>
      </c>
      <c r="G44" s="15" t="n">
        <v>1.3</v>
      </c>
      <c r="H44" s="9" t="inlineStr">
        <is>
          <t>10 mars 2027</t>
        </is>
      </c>
      <c r="I44" s="12" t="n">
        <v>700000</v>
      </c>
      <c r="J44" s="12" t="n">
        <v>2975</v>
      </c>
    </row>
    <row r="45">
      <c r="A45" s="9" t="inlineStr">
        <is>
          <t>01 février 2027</t>
        </is>
      </c>
      <c r="B45" s="14" t="inlineStr">
        <is>
          <t>CFD</t>
        </is>
      </c>
      <c r="C45" s="9" t="inlineStr">
        <is>
          <t>IC Funded</t>
        </is>
      </c>
      <c r="D45" s="9" t="inlineStr">
        <is>
          <t>MetaTrader 5, cTrader</t>
        </is>
      </c>
      <c r="E45" s="9" t="inlineStr">
        <is>
          <t>Oui</t>
        </is>
      </c>
      <c r="F45" s="9" t="inlineStr">
        <is>
          <t>2 étapes</t>
        </is>
      </c>
      <c r="G45" s="15" t="n">
        <v>1.5</v>
      </c>
      <c r="H45" s="9" t="inlineStr">
        <is>
          <t>16 mars 2027</t>
        </is>
      </c>
      <c r="I45" s="12" t="n">
        <v>500000</v>
      </c>
      <c r="J45" s="12" t="n">
        <v>2495</v>
      </c>
    </row>
    <row r="46">
      <c r="A46" s="9" t="inlineStr">
        <is>
          <t>01 février 2027</t>
        </is>
      </c>
      <c r="B46" s="14" t="inlineStr">
        <is>
          <t>CFD</t>
        </is>
      </c>
      <c r="C46" s="9" t="inlineStr">
        <is>
          <t>Vertex Funding</t>
        </is>
      </c>
      <c r="D46" s="9" t="inlineStr">
        <is>
          <t>cTrader, Match-Trader, DXtrade</t>
        </is>
      </c>
      <c r="E46" s="9" t="inlineStr">
        <is>
          <t>Oui</t>
        </is>
      </c>
      <c r="F46" s="9" t="inlineStr">
        <is>
          <t>2 étapes</t>
        </is>
      </c>
      <c r="G46" s="15" t="n">
        <v>1.5</v>
      </c>
      <c r="H46" s="9" t="inlineStr">
        <is>
          <t>16 mars 2027</t>
        </is>
      </c>
      <c r="I46" s="12" t="n">
        <v>500000</v>
      </c>
      <c r="J46" s="12" t="n">
        <v>2525</v>
      </c>
    </row>
    <row r="47">
      <c r="A47" s="9" t="inlineStr">
        <is>
          <t>01 février 2027</t>
        </is>
      </c>
      <c r="B47" s="14" t="inlineStr">
        <is>
          <t>CFD</t>
        </is>
      </c>
      <c r="C47" s="9" t="inlineStr">
        <is>
          <t>FNC Funding</t>
        </is>
      </c>
      <c r="D47" s="9" t="inlineStr">
        <is>
          <t>cTrader, Match-Trader, DXtrade</t>
        </is>
      </c>
      <c r="E47" s="9" t="inlineStr">
        <is>
          <t>Oui</t>
        </is>
      </c>
      <c r="F47" s="9" t="inlineStr">
        <is>
          <t>2 étapes</t>
        </is>
      </c>
      <c r="G47" s="15" t="n">
        <v>2</v>
      </c>
      <c r="H47" s="9" t="inlineStr">
        <is>
          <t>01 avril 2027</t>
        </is>
      </c>
      <c r="I47" s="12" t="n">
        <v>500000</v>
      </c>
      <c r="J47" s="12" t="n">
        <v>2625</v>
      </c>
    </row>
    <row r="48">
      <c r="A48" s="9" t="inlineStr">
        <is>
          <t>01 février 2027</t>
        </is>
      </c>
      <c r="B48" s="14" t="inlineStr">
        <is>
          <t>CFD</t>
        </is>
      </c>
      <c r="C48" s="9" t="inlineStr">
        <is>
          <t>SFX Funded</t>
        </is>
      </c>
      <c r="D48" s="9" t="inlineStr">
        <is>
          <t>Match-Trader</t>
        </is>
      </c>
      <c r="E48" s="9" t="inlineStr">
        <is>
          <t>Oui</t>
        </is>
      </c>
      <c r="F48" s="9" t="inlineStr">
        <is>
          <t>2 étapes</t>
        </is>
      </c>
      <c r="G48" s="15" t="n">
        <v>1.3</v>
      </c>
      <c r="H48" s="9" t="inlineStr">
        <is>
          <t>10 mars 2027</t>
        </is>
      </c>
      <c r="I48" s="12" t="n">
        <v>495000</v>
      </c>
      <c r="J48" s="12" t="n">
        <v>2125</v>
      </c>
    </row>
    <row r="49">
      <c r="A49" s="9" t="inlineStr">
        <is>
          <t>01 février 2027</t>
        </is>
      </c>
      <c r="B49" s="14" t="inlineStr">
        <is>
          <t>CFD</t>
        </is>
      </c>
      <c r="C49" s="9" t="inlineStr">
        <is>
          <t>Ultimate Traders</t>
        </is>
      </c>
      <c r="D49" s="9" t="inlineStr">
        <is>
          <t>MT5</t>
        </is>
      </c>
      <c r="E49" s="9" t="inlineStr">
        <is>
          <t>Oui</t>
        </is>
      </c>
      <c r="F49" s="9" t="inlineStr">
        <is>
          <t>2 étapes</t>
        </is>
      </c>
      <c r="G49" s="15" t="n">
        <v>1.5</v>
      </c>
      <c r="H49" s="9" t="inlineStr">
        <is>
          <t>16 mars 2027</t>
        </is>
      </c>
      <c r="I49" s="12" t="n">
        <v>400000</v>
      </c>
      <c r="J49" s="12" t="n">
        <v>1798</v>
      </c>
    </row>
    <row r="50">
      <c r="A50" s="9" t="inlineStr">
        <is>
          <t>01 février 2027</t>
        </is>
      </c>
      <c r="B50" s="14" t="inlineStr">
        <is>
          <t>CFD</t>
        </is>
      </c>
      <c r="C50" s="9" t="inlineStr">
        <is>
          <t>BrightFunded</t>
        </is>
      </c>
      <c r="D50" s="9" t="inlineStr">
        <is>
          <t>cTrader, DXtrade</t>
        </is>
      </c>
      <c r="E50" s="9" t="inlineStr">
        <is>
          <t>Oui</t>
        </is>
      </c>
      <c r="F50" s="9" t="inlineStr">
        <is>
          <t>2 étapes</t>
        </is>
      </c>
      <c r="G50" s="15" t="n">
        <v>1.3</v>
      </c>
      <c r="H50" s="9" t="inlineStr">
        <is>
          <t>10 mars 2027</t>
        </is>
      </c>
      <c r="I50" s="12" t="n">
        <v>400000</v>
      </c>
      <c r="J50" s="12" t="n">
        <v>1894</v>
      </c>
    </row>
    <row r="51">
      <c r="A51" s="9" t="inlineStr">
        <is>
          <t>01 février 2027</t>
        </is>
      </c>
      <c r="B51" s="14" t="inlineStr">
        <is>
          <t>CFD</t>
        </is>
      </c>
      <c r="C51" s="9" t="inlineStr">
        <is>
          <t>Quant Funded</t>
        </is>
      </c>
      <c r="D51" s="9" t="inlineStr">
        <is>
          <t>MetaTrader 5</t>
        </is>
      </c>
      <c r="E51" s="9" t="inlineStr">
        <is>
          <t>Oui</t>
        </is>
      </c>
      <c r="F51" s="9" t="inlineStr">
        <is>
          <t>2 étapes</t>
        </is>
      </c>
      <c r="G51" s="15" t="n">
        <v>1.5</v>
      </c>
      <c r="H51" s="9" t="inlineStr">
        <is>
          <t>16 mars 2027</t>
        </is>
      </c>
      <c r="I51" s="12" t="n">
        <v>400000</v>
      </c>
      <c r="J51" s="12" t="n">
        <v>1996</v>
      </c>
    </row>
    <row r="52">
      <c r="A52" s="9" t="inlineStr">
        <is>
          <t>01 février 2027</t>
        </is>
      </c>
      <c r="B52" s="14" t="inlineStr">
        <is>
          <t>CFD</t>
        </is>
      </c>
      <c r="C52" s="9" t="inlineStr">
        <is>
          <t>Audacity Capital</t>
        </is>
      </c>
      <c r="D52" s="9" t="inlineStr">
        <is>
          <t>MetaTrader 5, DXtrade</t>
        </is>
      </c>
      <c r="E52" s="9" t="inlineStr">
        <is>
          <t>Oui</t>
        </is>
      </c>
      <c r="F52" s="9" t="inlineStr">
        <is>
          <t>2 étapes</t>
        </is>
      </c>
      <c r="G52" s="15" t="n">
        <v>1.5</v>
      </c>
      <c r="H52" s="9" t="inlineStr">
        <is>
          <t>16 mars 2027</t>
        </is>
      </c>
      <c r="I52" s="12" t="n">
        <v>400000</v>
      </c>
      <c r="J52" s="12" t="n">
        <v>2098</v>
      </c>
    </row>
    <row r="53">
      <c r="A53" s="9" t="inlineStr">
        <is>
          <t>01 février 2027</t>
        </is>
      </c>
      <c r="B53" s="14" t="inlineStr">
        <is>
          <t>CFD</t>
        </is>
      </c>
      <c r="C53" s="9" t="inlineStr">
        <is>
          <t>WSFunded</t>
        </is>
      </c>
      <c r="D53" s="9" t="inlineStr">
        <is>
          <t>MetaTrader 5, cTrader, Match-Trader</t>
        </is>
      </c>
      <c r="E53" s="9" t="inlineStr">
        <is>
          <t>Oui</t>
        </is>
      </c>
      <c r="F53" s="9" t="inlineStr">
        <is>
          <t>2 étapes</t>
        </is>
      </c>
      <c r="G53" s="15" t="n">
        <v>1.5</v>
      </c>
      <c r="H53" s="9" t="inlineStr">
        <is>
          <t>16 mars 2027</t>
        </is>
      </c>
      <c r="I53" s="12" t="n">
        <v>400000</v>
      </c>
      <c r="J53" s="12" t="n">
        <v>2236</v>
      </c>
    </row>
    <row r="54">
      <c r="A54" s="9" t="inlineStr">
        <is>
          <t>01 février 2027</t>
        </is>
      </c>
      <c r="B54" s="14" t="inlineStr">
        <is>
          <t>CFD</t>
        </is>
      </c>
      <c r="C54" s="9" t="inlineStr">
        <is>
          <t>Clarity Traders</t>
        </is>
      </c>
      <c r="D54" s="9" t="inlineStr">
        <is>
          <t>MetaTrader 5, TradeLocker</t>
        </is>
      </c>
      <c r="E54" s="9" t="inlineStr">
        <is>
          <t>Oui</t>
        </is>
      </c>
      <c r="F54" s="9" t="inlineStr">
        <is>
          <t>2 étapes</t>
        </is>
      </c>
      <c r="G54" s="15" t="n">
        <v>1.3</v>
      </c>
      <c r="H54" s="9" t="inlineStr">
        <is>
          <t>10 mars 2027</t>
        </is>
      </c>
      <c r="I54" s="12" t="n">
        <v>300000</v>
      </c>
      <c r="J54" s="12" t="n">
        <v>1399</v>
      </c>
    </row>
    <row r="55">
      <c r="A55" s="9" t="inlineStr">
        <is>
          <t>01 février 2027</t>
        </is>
      </c>
      <c r="B55" s="14" t="inlineStr">
        <is>
          <t>CFD</t>
        </is>
      </c>
      <c r="C55" s="9" t="inlineStr">
        <is>
          <t>Prop Number One</t>
        </is>
      </c>
      <c r="D55" s="9" t="inlineStr">
        <is>
          <t>MetaTrader 5, cTrader, Match-Trader, Tra</t>
        </is>
      </c>
      <c r="E55" s="9" t="inlineStr">
        <is>
          <t>Oui</t>
        </is>
      </c>
      <c r="F55" s="9" t="inlineStr">
        <is>
          <t>2 étapes</t>
        </is>
      </c>
      <c r="G55" s="15" t="n">
        <v>1.5</v>
      </c>
      <c r="H55" s="9" t="inlineStr">
        <is>
          <t>16 mars 2027</t>
        </is>
      </c>
      <c r="I55" s="12" t="n">
        <v>300000</v>
      </c>
      <c r="J55" s="12" t="n">
        <v>1592</v>
      </c>
    </row>
    <row r="56">
      <c r="A56" s="9" t="inlineStr">
        <is>
          <t>01 février 2027</t>
        </is>
      </c>
      <c r="B56" s="14" t="inlineStr">
        <is>
          <t>CFD</t>
        </is>
      </c>
      <c r="C56" s="9" t="inlineStr">
        <is>
          <t>Tradeify 247</t>
        </is>
      </c>
      <c r="D56" s="9" t="inlineStr">
        <is>
          <t>MetaTrader 5, DXtrade</t>
        </is>
      </c>
      <c r="E56" s="9" t="inlineStr">
        <is>
          <t>Oui</t>
        </is>
      </c>
      <c r="F56" s="9" t="inlineStr">
        <is>
          <t>2 étapes</t>
        </is>
      </c>
      <c r="G56" s="15" t="n">
        <v>1.5</v>
      </c>
      <c r="H56" s="9" t="inlineStr">
        <is>
          <t>16 mars 2027</t>
        </is>
      </c>
      <c r="I56" s="12" t="n">
        <v>300000</v>
      </c>
      <c r="J56" s="12" t="n">
        <v>1740</v>
      </c>
    </row>
    <row r="57">
      <c r="A57" s="9" t="inlineStr">
        <is>
          <t>01 février 2027</t>
        </is>
      </c>
      <c r="B57" s="14" t="inlineStr">
        <is>
          <t>CFD</t>
        </is>
      </c>
      <c r="C57" s="9" t="inlineStr">
        <is>
          <t>Myfundedcapital</t>
        </is>
      </c>
      <c r="D57" s="9" t="inlineStr">
        <is>
          <t>cTrader, Match-Trader, DXtrade</t>
        </is>
      </c>
      <c r="E57" s="9" t="inlineStr">
        <is>
          <t>Oui</t>
        </is>
      </c>
      <c r="F57" s="9" t="inlineStr">
        <is>
          <t>2 étapes</t>
        </is>
      </c>
      <c r="G57" s="15" t="n">
        <v>1.5</v>
      </c>
      <c r="H57" s="9" t="inlineStr">
        <is>
          <t>16 mars 2027</t>
        </is>
      </c>
      <c r="I57" s="12" t="n">
        <v>300000</v>
      </c>
      <c r="J57" s="12" t="n">
        <v>1905</v>
      </c>
    </row>
    <row r="58">
      <c r="A58" s="9" t="inlineStr">
        <is>
          <t>01 février 2027</t>
        </is>
      </c>
      <c r="B58" s="14" t="inlineStr">
        <is>
          <t>CFD</t>
        </is>
      </c>
      <c r="C58" s="9" t="inlineStr">
        <is>
          <t>NowTradeFunded</t>
        </is>
      </c>
      <c r="D58" s="9" t="inlineStr">
        <is>
          <t>cTrader</t>
        </is>
      </c>
      <c r="E58" s="9" t="inlineStr">
        <is>
          <t>Oui</t>
        </is>
      </c>
      <c r="F58" s="9" t="inlineStr">
        <is>
          <t>2 étapes</t>
        </is>
      </c>
      <c r="G58" s="15" t="n">
        <v>1.7</v>
      </c>
      <c r="H58" s="9" t="inlineStr">
        <is>
          <t>22 mars 2027</t>
        </is>
      </c>
      <c r="I58" s="12" t="n">
        <v>200000</v>
      </c>
      <c r="J58" s="12" t="n">
        <v>900</v>
      </c>
    </row>
    <row r="59">
      <c r="A59" s="9" t="inlineStr">
        <is>
          <t>01 février 2027</t>
        </is>
      </c>
      <c r="B59" s="14" t="inlineStr">
        <is>
          <t>CFD</t>
        </is>
      </c>
      <c r="C59" s="9" t="inlineStr">
        <is>
          <t>Crypto Fund Trader</t>
        </is>
      </c>
      <c r="D59" s="9" t="inlineStr">
        <is>
          <t>MetaTrader 5, Match-Trader</t>
        </is>
      </c>
      <c r="E59" s="9" t="inlineStr">
        <is>
          <t>Oui</t>
        </is>
      </c>
      <c r="F59" s="9" t="inlineStr">
        <is>
          <t>2 étapes</t>
        </is>
      </c>
      <c r="G59" s="15" t="n">
        <v>1.3</v>
      </c>
      <c r="H59" s="9" t="inlineStr">
        <is>
          <t>10 mars 2027</t>
        </is>
      </c>
      <c r="I59" s="12" t="n">
        <v>200000</v>
      </c>
      <c r="J59" s="12" t="n">
        <v>1250</v>
      </c>
    </row>
    <row r="60">
      <c r="A60" s="9" t="inlineStr">
        <is>
          <t>01 février 2027</t>
        </is>
      </c>
      <c r="B60" s="14" t="inlineStr">
        <is>
          <t>CFD</t>
        </is>
      </c>
      <c r="C60" s="9" t="inlineStr">
        <is>
          <t>MasterFunders</t>
        </is>
      </c>
      <c r="D60" s="9" t="inlineStr">
        <is>
          <t>Match-Trader, TradingView</t>
        </is>
      </c>
      <c r="E60" s="9" t="inlineStr">
        <is>
          <t>Oui</t>
        </is>
      </c>
      <c r="F60" s="9" t="inlineStr">
        <is>
          <t>2 étapes</t>
        </is>
      </c>
      <c r="G60" s="15" t="n">
        <v>1.5</v>
      </c>
      <c r="H60" s="9" t="inlineStr">
        <is>
          <t>16 mars 2027</t>
        </is>
      </c>
      <c r="I60" s="12" t="n">
        <v>100000</v>
      </c>
      <c r="J60" s="12" t="n">
        <v>549</v>
      </c>
    </row>
    <row r="61">
      <c r="A61" s="9" t="inlineStr">
        <is>
          <t>01 février 2027</t>
        </is>
      </c>
      <c r="B61" s="14" t="inlineStr">
        <is>
          <t>CFD</t>
        </is>
      </c>
      <c r="C61" s="9" t="inlineStr">
        <is>
          <t>Prop Funders</t>
        </is>
      </c>
      <c r="D61" s="9" t="inlineStr">
        <is>
          <t>cTrader, Match-Trader, DXtrade</t>
        </is>
      </c>
      <c r="E61" s="9" t="inlineStr">
        <is>
          <t>Oui</t>
        </is>
      </c>
      <c r="F61" s="9" t="inlineStr">
        <is>
          <t>2 étapes</t>
        </is>
      </c>
      <c r="G61" s="15" t="n">
        <v>1.5</v>
      </c>
      <c r="H61" s="9" t="inlineStr">
        <is>
          <t>16 mars 2027</t>
        </is>
      </c>
      <c r="I61" s="12" t="n">
        <v>100000</v>
      </c>
      <c r="J61" s="12" t="n">
        <v>579</v>
      </c>
    </row>
    <row r="62">
      <c r="A62" s="9" t="inlineStr">
        <is>
          <t>01 février 2027</t>
        </is>
      </c>
      <c r="B62" s="14" t="inlineStr">
        <is>
          <t>CFD</t>
        </is>
      </c>
      <c r="C62" s="9" t="inlineStr">
        <is>
          <t>The Upside Funding</t>
        </is>
      </c>
      <c r="D62" s="9" t="inlineStr">
        <is>
          <t>MetaTrader 5</t>
        </is>
      </c>
      <c r="E62" s="9" t="inlineStr">
        <is>
          <t>Oui</t>
        </is>
      </c>
      <c r="F62" s="9" t="inlineStr">
        <is>
          <t>2 étapes</t>
        </is>
      </c>
      <c r="G62" s="15" t="n">
        <v>1.5</v>
      </c>
      <c r="H62" s="9" t="inlineStr">
        <is>
          <t>16 mars 2027</t>
        </is>
      </c>
      <c r="I62" s="12" t="n">
        <v>100000</v>
      </c>
      <c r="J62" s="12" t="n">
        <v>589</v>
      </c>
    </row>
    <row r="63">
      <c r="A63" s="9" t="inlineStr">
        <is>
          <t>01 février 2027</t>
        </is>
      </c>
      <c r="B63" s="14" t="inlineStr">
        <is>
          <t>CFD</t>
        </is>
      </c>
      <c r="C63" s="9" t="inlineStr">
        <is>
          <t>Key to Prop</t>
        </is>
      </c>
      <c r="D63" s="9" t="inlineStr">
        <is>
          <t>MT5</t>
        </is>
      </c>
      <c r="E63" s="9" t="inlineStr">
        <is>
          <t>Oui</t>
        </is>
      </c>
      <c r="F63" s="9" t="inlineStr">
        <is>
          <t>2 étapes</t>
        </is>
      </c>
      <c r="G63" s="15" t="n">
        <v>1.5</v>
      </c>
      <c r="H63" s="9" t="inlineStr">
        <is>
          <t>16 mars 2027</t>
        </is>
      </c>
      <c r="I63" s="12" t="n">
        <v>100000</v>
      </c>
      <c r="J63" s="12" t="n">
        <v>650</v>
      </c>
    </row>
    <row r="64">
      <c r="A64" s="9" t="inlineStr">
        <is>
          <t>01 février 2027</t>
        </is>
      </c>
      <c r="B64" s="14" t="inlineStr">
        <is>
          <t>CFD</t>
        </is>
      </c>
      <c r="C64" s="9" t="inlineStr">
        <is>
          <t>Thetradercapital</t>
        </is>
      </c>
      <c r="D64" s="9" t="inlineStr">
        <is>
          <t>MT5</t>
        </is>
      </c>
      <c r="E64" s="9" t="inlineStr">
        <is>
          <t>Oui</t>
        </is>
      </c>
      <c r="F64" s="9" t="inlineStr">
        <is>
          <t>2 étapes</t>
        </is>
      </c>
      <c r="G64" s="15" t="n">
        <v>1.5</v>
      </c>
      <c r="H64" s="9" t="inlineStr">
        <is>
          <t>16 mars 2027</t>
        </is>
      </c>
      <c r="I64" s="12" t="n">
        <v>3000</v>
      </c>
      <c r="J64" s="12" t="n">
        <v>55</v>
      </c>
    </row>
    <row r="65">
      <c r="A65" s="9" t="inlineStr">
        <is>
          <t>01 février 2027</t>
        </is>
      </c>
      <c r="B65" s="14" t="inlineStr">
        <is>
          <t>CFD</t>
        </is>
      </c>
      <c r="C65" s="9" t="inlineStr">
        <is>
          <t>Tradexprop</t>
        </is>
      </c>
      <c r="D65" s="9" t="inlineStr">
        <is>
          <t>cTrader, DXtrade</t>
        </is>
      </c>
      <c r="E65" s="9" t="inlineStr">
        <is>
          <t>Non</t>
        </is>
      </c>
      <c r="F65" s="9" t="inlineStr">
        <is>
          <t>2 étapes</t>
        </is>
      </c>
      <c r="G65" s="15" t="n">
        <v>1.5</v>
      </c>
      <c r="H65" s="9" t="inlineStr">
        <is>
          <t>16 mars 2027</t>
        </is>
      </c>
      <c r="I65" s="12" t="n">
        <v>1000000</v>
      </c>
      <c r="J65" s="12" t="n">
        <v>6150</v>
      </c>
    </row>
    <row r="66">
      <c r="A66" s="9" t="inlineStr">
        <is>
          <t>01 février 2027</t>
        </is>
      </c>
      <c r="B66" s="14" t="inlineStr">
        <is>
          <t>CFD</t>
        </is>
      </c>
      <c r="C66" s="9" t="inlineStr">
        <is>
          <t>GoFunding</t>
        </is>
      </c>
      <c r="D66" s="9" t="inlineStr">
        <is>
          <t>cTrader, Match-Trader, DXtrade</t>
        </is>
      </c>
      <c r="E66" s="9" t="inlineStr">
        <is>
          <t>Non</t>
        </is>
      </c>
      <c r="F66" s="9" t="inlineStr">
        <is>
          <t>2 étapes</t>
        </is>
      </c>
      <c r="G66" s="15" t="n">
        <v>1.5</v>
      </c>
      <c r="H66" s="9" t="inlineStr">
        <is>
          <t>16 mars 2027</t>
        </is>
      </c>
      <c r="I66" s="12" t="n">
        <v>800000</v>
      </c>
      <c r="J66" s="12" t="n">
        <v>3600</v>
      </c>
    </row>
    <row r="67">
      <c r="A67" s="9" t="inlineStr">
        <is>
          <t>01 février 2027</t>
        </is>
      </c>
      <c r="B67" s="14" t="inlineStr">
        <is>
          <t>CFD</t>
        </is>
      </c>
      <c r="C67" s="9" t="inlineStr">
        <is>
          <t>Nordic Funder</t>
        </is>
      </c>
      <c r="D67" s="9" t="inlineStr">
        <is>
          <t>cTrader, Match-Trader, DXtrade</t>
        </is>
      </c>
      <c r="E67" s="9" t="inlineStr">
        <is>
          <t>Non</t>
        </is>
      </c>
      <c r="F67" s="9" t="inlineStr">
        <is>
          <t>2 étapes</t>
        </is>
      </c>
      <c r="G67" s="15" t="n">
        <v>1.5</v>
      </c>
      <c r="H67" s="9" t="inlineStr">
        <is>
          <t>16 mars 2027</t>
        </is>
      </c>
      <c r="I67" s="12" t="n">
        <v>500000</v>
      </c>
      <c r="J67" s="12" t="n">
        <v>2450</v>
      </c>
    </row>
    <row r="68">
      <c r="A68" s="9" t="inlineStr">
        <is>
          <t>01 février 2027</t>
        </is>
      </c>
      <c r="B68" s="14" t="inlineStr">
        <is>
          <t>CFD</t>
        </is>
      </c>
      <c r="C68" s="9" t="inlineStr">
        <is>
          <t>Mockapital</t>
        </is>
      </c>
      <c r="D68" s="9" t="inlineStr">
        <is>
          <t>cTrader, Match-Trader, DXtrade</t>
        </is>
      </c>
      <c r="E68" s="9" t="inlineStr">
        <is>
          <t>Non</t>
        </is>
      </c>
      <c r="F68" s="9" t="inlineStr">
        <is>
          <t>2 étapes</t>
        </is>
      </c>
      <c r="G68" s="15" t="n">
        <v>1.5</v>
      </c>
      <c r="H68" s="9" t="inlineStr">
        <is>
          <t>16 mars 2027</t>
        </is>
      </c>
      <c r="I68" s="12" t="n">
        <v>300000</v>
      </c>
      <c r="J68" s="12" t="n">
        <v>1450</v>
      </c>
    </row>
    <row r="69">
      <c r="A69" s="9" t="inlineStr">
        <is>
          <t>01 février 2027</t>
        </is>
      </c>
      <c r="B69" s="14" t="inlineStr">
        <is>
          <t>CFD</t>
        </is>
      </c>
      <c r="C69" s="9" t="inlineStr">
        <is>
          <t>The Concept Trading</t>
        </is>
      </c>
      <c r="D69" s="9" t="inlineStr">
        <is>
          <t>TradeLocker</t>
        </is>
      </c>
      <c r="E69" s="9" t="inlineStr">
        <is>
          <t>Non</t>
        </is>
      </c>
      <c r="F69" s="9" t="inlineStr">
        <is>
          <t>2 étapes</t>
        </is>
      </c>
      <c r="G69" s="15" t="n">
        <v>1.5</v>
      </c>
      <c r="H69" s="9" t="inlineStr">
        <is>
          <t>16 mars 2027</t>
        </is>
      </c>
      <c r="I69" s="12" t="n">
        <v>300000</v>
      </c>
      <c r="J69" s="12" t="n">
        <v>15000</v>
      </c>
    </row>
    <row r="70">
      <c r="A70" s="9" t="inlineStr">
        <is>
          <t>01 février 2027</t>
        </is>
      </c>
      <c r="B70" s="14" t="inlineStr">
        <is>
          <t>CFD</t>
        </is>
      </c>
      <c r="C70" s="9" t="inlineStr">
        <is>
          <t>FundingRock</t>
        </is>
      </c>
      <c r="D70" s="9" t="inlineStr">
        <is>
          <t>cTrader, TradeLocker</t>
        </is>
      </c>
      <c r="E70" s="9" t="inlineStr">
        <is>
          <t>Non</t>
        </is>
      </c>
      <c r="F70" s="9" t="inlineStr">
        <is>
          <t>2 étapes</t>
        </is>
      </c>
      <c r="G70" s="15" t="n">
        <v>1.1</v>
      </c>
      <c r="H70" s="9" t="inlineStr">
        <is>
          <t>04 mars 2027</t>
        </is>
      </c>
      <c r="I70" s="12" t="n">
        <v>200000</v>
      </c>
      <c r="J70" s="12" t="n">
        <v>700</v>
      </c>
    </row>
    <row r="71">
      <c r="A71" s="9" t="inlineStr">
        <is>
          <t>01 février 2027</t>
        </is>
      </c>
      <c r="B71" s="14" t="inlineStr">
        <is>
          <t>CFD</t>
        </is>
      </c>
      <c r="C71" s="9" t="inlineStr">
        <is>
          <t>TradersEdgeFX</t>
        </is>
      </c>
      <c r="D71" s="9" t="inlineStr">
        <is>
          <t xml:space="preserve">Not named anywhere on the public site </t>
        </is>
      </c>
      <c r="E71" s="9" t="inlineStr">
        <is>
          <t>Non</t>
        </is>
      </c>
      <c r="F71" s="9" t="inlineStr">
        <is>
          <t>2 étapes</t>
        </is>
      </c>
      <c r="G71" s="15" t="n">
        <v>1.3</v>
      </c>
      <c r="H71" s="9" t="inlineStr">
        <is>
          <t>10 mars 2027</t>
        </is>
      </c>
      <c r="I71" s="12" t="n">
        <v>200000</v>
      </c>
      <c r="J71" s="12" t="n">
        <v>899</v>
      </c>
    </row>
    <row r="72">
      <c r="A72" s="9" t="inlineStr">
        <is>
          <t>01 février 2027</t>
        </is>
      </c>
      <c r="B72" s="14" t="inlineStr">
        <is>
          <t>CFD</t>
        </is>
      </c>
      <c r="C72" s="9" t="inlineStr">
        <is>
          <t>Super Funded</t>
        </is>
      </c>
      <c r="D72" s="9" t="inlineStr">
        <is>
          <t>TradeLocker, DXtrade</t>
        </is>
      </c>
      <c r="E72" s="9" t="inlineStr">
        <is>
          <t>Non</t>
        </is>
      </c>
      <c r="F72" s="9" t="inlineStr">
        <is>
          <t>2 étapes</t>
        </is>
      </c>
      <c r="G72" s="15" t="n">
        <v>1.5</v>
      </c>
      <c r="H72" s="9" t="inlineStr">
        <is>
          <t>16 mars 2027</t>
        </is>
      </c>
      <c r="I72" s="12" t="n">
        <v>200000</v>
      </c>
      <c r="J72" s="12" t="n">
        <v>999</v>
      </c>
    </row>
    <row r="73">
      <c r="A73" s="9" t="inlineStr">
        <is>
          <t>01 février 2027</t>
        </is>
      </c>
      <c r="B73" s="14" t="inlineStr">
        <is>
          <t>CFD</t>
        </is>
      </c>
      <c r="C73" s="9" t="inlineStr">
        <is>
          <t>FT9JA</t>
        </is>
      </c>
      <c r="D73" s="9" t="inlineStr">
        <is>
          <t xml:space="preserve">Broker accounts at IC Markets and FXTM </t>
        </is>
      </c>
      <c r="E73" s="9" t="inlineStr">
        <is>
          <t>Non</t>
        </is>
      </c>
      <c r="F73" s="9" t="inlineStr">
        <is>
          <t>2 étapes</t>
        </is>
      </c>
      <c r="G73" s="15" t="n">
        <v>1.5</v>
      </c>
      <c r="H73" s="9" t="inlineStr">
        <is>
          <t>16 mars 2027</t>
        </is>
      </c>
      <c r="I73" s="12" t="n">
        <v>25000</v>
      </c>
      <c r="J73" s="12" t="n">
        <v>141</v>
      </c>
    </row>
    <row r="74">
      <c r="A74" s="9" t="inlineStr">
        <is>
          <t>01 février 2027</t>
        </is>
      </c>
      <c r="B74" s="14" t="inlineStr">
        <is>
          <t>CFD</t>
        </is>
      </c>
      <c r="C74" s="9" t="inlineStr">
        <is>
          <t>LevaFX</t>
        </is>
      </c>
      <c r="D74" s="9" t="inlineStr">
        <is>
          <t xml:space="preserve">Proprietary 'LEVA Terminal' </t>
        </is>
      </c>
      <c r="E74" s="9" t="inlineStr">
        <is>
          <t>Non</t>
        </is>
      </c>
      <c r="F74" s="9" t="inlineStr">
        <is>
          <t>2 étapes</t>
        </is>
      </c>
      <c r="G74" s="15" t="n">
        <v>1.5</v>
      </c>
      <c r="H74" s="9" t="inlineStr">
        <is>
          <t>16 mars 2027</t>
        </is>
      </c>
      <c r="I74" s="12" t="n">
        <v>25000</v>
      </c>
      <c r="J74" s="12" t="n">
        <v>149</v>
      </c>
    </row>
    <row r="75">
      <c r="A75" s="9" t="inlineStr">
        <is>
          <t>01 février 2027</t>
        </is>
      </c>
      <c r="B75" s="16" t="inlineStr">
        <is>
          <t>Futures</t>
        </is>
      </c>
      <c r="C75" s="9" t="inlineStr">
        <is>
          <t>HyroTrader</t>
        </is>
      </c>
      <c r="D75" s="9" t="inlineStr">
        <is>
          <t xml:space="preserve">Bybit demo </t>
        </is>
      </c>
      <c r="E75" s="9" t="inlineStr">
        <is>
          <t>Non</t>
        </is>
      </c>
      <c r="F75" s="9" t="inlineStr">
        <is>
          <t>2 étapes</t>
        </is>
      </c>
      <c r="G75" s="15" t="n">
        <v>1.8</v>
      </c>
      <c r="H75" s="9" t="inlineStr">
        <is>
          <t>25 mars 2027</t>
        </is>
      </c>
      <c r="I75" s="12" t="n">
        <v>200000</v>
      </c>
      <c r="J75" s="12" t="n">
        <v>999</v>
      </c>
    </row>
    <row r="76">
      <c r="A76" s="9" t="inlineStr">
        <is>
          <t>01 février 2027</t>
        </is>
      </c>
      <c r="B76" s="14" t="inlineStr">
        <is>
          <t>CFD</t>
        </is>
      </c>
      <c r="C76" s="9" t="inlineStr">
        <is>
          <t>Leveraged</t>
        </is>
      </c>
      <c r="D76" s="9" t="inlineStr">
        <is>
          <t>MetaTrader 5, cTrader</t>
        </is>
      </c>
      <c r="E76" s="9" t="inlineStr">
        <is>
          <t>Oui</t>
        </is>
      </c>
      <c r="F76" s="9" t="inlineStr">
        <is>
          <t>3 étapes</t>
        </is>
      </c>
      <c r="G76" s="15" t="n">
        <v>2</v>
      </c>
      <c r="H76" s="9" t="inlineStr">
        <is>
          <t>01 avril 2027</t>
        </is>
      </c>
      <c r="I76" s="12" t="n">
        <v>1000000</v>
      </c>
      <c r="J76" s="12" t="n">
        <v>2996</v>
      </c>
    </row>
    <row r="77">
      <c r="A77" s="9" t="inlineStr">
        <is>
          <t>01 février 2027</t>
        </is>
      </c>
      <c r="B77" s="14" t="inlineStr">
        <is>
          <t>CFD</t>
        </is>
      </c>
      <c r="C77" s="9" t="inlineStr">
        <is>
          <t>Fintokei</t>
        </is>
      </c>
      <c r="D77" s="9" t="inlineStr">
        <is>
          <t>MetaTrader 5, cTrader, TradingView</t>
        </is>
      </c>
      <c r="E77" s="9" t="inlineStr">
        <is>
          <t>Oui</t>
        </is>
      </c>
      <c r="F77" s="9" t="inlineStr">
        <is>
          <t>3 étapes</t>
        </is>
      </c>
      <c r="G77" s="15" t="n">
        <v>1.1</v>
      </c>
      <c r="H77" s="9" t="inlineStr">
        <is>
          <t>04 mars 2027</t>
        </is>
      </c>
      <c r="I77" s="12" t="n">
        <v>700000</v>
      </c>
      <c r="J77" s="12" t="n">
        <v>2933</v>
      </c>
    </row>
    <row r="78">
      <c r="A78" s="9" t="inlineStr">
        <is>
          <t>01 février 2027</t>
        </is>
      </c>
      <c r="B78" s="14" t="inlineStr">
        <is>
          <t>CFD</t>
        </is>
      </c>
      <c r="C78" s="9" t="inlineStr">
        <is>
          <t>Blink Funding</t>
        </is>
      </c>
      <c r="D78" s="9" t="inlineStr">
        <is>
          <t>cTrader, Match-Trader, DXtrade</t>
        </is>
      </c>
      <c r="E78" s="9" t="inlineStr">
        <is>
          <t>Oui</t>
        </is>
      </c>
      <c r="F78" s="9" t="inlineStr">
        <is>
          <t>3 étapes</t>
        </is>
      </c>
      <c r="G78" s="15" t="n">
        <v>1.5</v>
      </c>
      <c r="H78" s="9" t="inlineStr">
        <is>
          <t>16 mars 2027</t>
        </is>
      </c>
      <c r="I78" s="12" t="n">
        <v>500000</v>
      </c>
      <c r="J78" s="12" t="n">
        <v>1800</v>
      </c>
    </row>
    <row r="79">
      <c r="A79" s="9" t="inlineStr">
        <is>
          <t>01 février 2027</t>
        </is>
      </c>
      <c r="B79" s="14" t="inlineStr">
        <is>
          <t>CFD</t>
        </is>
      </c>
      <c r="C79" s="9" t="inlineStr">
        <is>
          <t>Atlas Funded</t>
        </is>
      </c>
      <c r="D79" s="9" t="inlineStr">
        <is>
          <t>MetaTrader 5, TradeLocker, Rithmic</t>
        </is>
      </c>
      <c r="E79" s="9" t="inlineStr">
        <is>
          <t>Oui</t>
        </is>
      </c>
      <c r="F79" s="9" t="inlineStr">
        <is>
          <t>3 étapes</t>
        </is>
      </c>
      <c r="G79" s="15" t="n">
        <v>2</v>
      </c>
      <c r="H79" s="9" t="inlineStr">
        <is>
          <t>01 avril 2027</t>
        </is>
      </c>
      <c r="I79" s="12" t="n">
        <v>400000</v>
      </c>
      <c r="J79" s="12" t="n">
        <v>1182</v>
      </c>
    </row>
    <row r="80">
      <c r="A80" s="9" t="inlineStr">
        <is>
          <t>01 février 2027</t>
        </is>
      </c>
      <c r="B80" s="14" t="inlineStr">
        <is>
          <t>CFD</t>
        </is>
      </c>
      <c r="C80" s="9" t="inlineStr">
        <is>
          <t>AquaFunded</t>
        </is>
      </c>
      <c r="D80" s="9" t="inlineStr">
        <is>
          <t>MetaTrader 5, cTrader, TradeLocker, Rith</t>
        </is>
      </c>
      <c r="E80" s="9" t="inlineStr">
        <is>
          <t>Oui</t>
        </is>
      </c>
      <c r="F80" s="9" t="inlineStr">
        <is>
          <t>3 étapes</t>
        </is>
      </c>
      <c r="G80" s="15" t="n">
        <v>1.6</v>
      </c>
      <c r="H80" s="9" t="inlineStr">
        <is>
          <t>19 mars 2027</t>
        </is>
      </c>
      <c r="I80" s="12" t="n">
        <v>400000</v>
      </c>
      <c r="J80" s="12" t="n">
        <v>1354</v>
      </c>
    </row>
    <row r="81">
      <c r="A81" s="9" t="inlineStr">
        <is>
          <t>01 février 2027</t>
        </is>
      </c>
      <c r="B81" s="14" t="inlineStr">
        <is>
          <t>CFD</t>
        </is>
      </c>
      <c r="C81" s="9" t="inlineStr">
        <is>
          <t>Orion Funded</t>
        </is>
      </c>
      <c r="D81" s="9" t="inlineStr">
        <is>
          <t>cTrader, Match-Trader</t>
        </is>
      </c>
      <c r="E81" s="9" t="inlineStr">
        <is>
          <t>Oui</t>
        </is>
      </c>
      <c r="F81" s="9" t="inlineStr">
        <is>
          <t>3 étapes</t>
        </is>
      </c>
      <c r="G81" s="15" t="n">
        <v>2</v>
      </c>
      <c r="H81" s="9" t="inlineStr">
        <is>
          <t>01 avril 2027</t>
        </is>
      </c>
      <c r="I81" s="12" t="n">
        <v>400000</v>
      </c>
      <c r="J81" s="12" t="n">
        <v>1478</v>
      </c>
    </row>
    <row r="82">
      <c r="A82" s="9" t="inlineStr">
        <is>
          <t>01 février 2027</t>
        </is>
      </c>
      <c r="B82" s="14" t="inlineStr">
        <is>
          <t>CFD</t>
        </is>
      </c>
      <c r="C82" s="9" t="inlineStr">
        <is>
          <t>Get Crypto Funded</t>
        </is>
      </c>
      <c r="D82" s="9" t="inlineStr">
        <is>
          <t>MetaTrader 5, cTrader, Match-Trader</t>
        </is>
      </c>
      <c r="E82" s="9" t="inlineStr">
        <is>
          <t>Oui</t>
        </is>
      </c>
      <c r="F82" s="9" t="inlineStr">
        <is>
          <t>3 étapes</t>
        </is>
      </c>
      <c r="G82" s="15" t="n">
        <v>1.8</v>
      </c>
      <c r="H82" s="9" t="inlineStr">
        <is>
          <t>25 mars 2027</t>
        </is>
      </c>
      <c r="I82" s="12" t="n">
        <v>400000</v>
      </c>
      <c r="J82" s="12" t="n">
        <v>1648</v>
      </c>
    </row>
    <row r="83">
      <c r="A83" s="9" t="inlineStr">
        <is>
          <t>01 février 2027</t>
        </is>
      </c>
      <c r="B83" s="14" t="inlineStr">
        <is>
          <t>CFD</t>
        </is>
      </c>
      <c r="C83" s="9" t="inlineStr">
        <is>
          <t>The5ers</t>
        </is>
      </c>
      <c r="D83" s="9" t="inlineStr">
        <is>
          <t>MetaTrader 5</t>
        </is>
      </c>
      <c r="E83" s="9" t="inlineStr">
        <is>
          <t>Oui</t>
        </is>
      </c>
      <c r="F83" s="9" t="inlineStr">
        <is>
          <t>3 étapes</t>
        </is>
      </c>
      <c r="G83" s="15" t="n">
        <v>1.6</v>
      </c>
      <c r="H83" s="9" t="inlineStr">
        <is>
          <t>19 mars 2027</t>
        </is>
      </c>
      <c r="I83" s="12" t="n">
        <v>120000</v>
      </c>
      <c r="J83" s="12" t="n">
        <v>117</v>
      </c>
    </row>
    <row r="84">
      <c r="A84" s="9" t="inlineStr">
        <is>
          <t>01 février 2027</t>
        </is>
      </c>
      <c r="B84" s="14" t="inlineStr">
        <is>
          <t>CFD</t>
        </is>
      </c>
      <c r="C84" s="9" t="inlineStr">
        <is>
          <t>The5ers Crypto</t>
        </is>
      </c>
      <c r="D84" s="9" t="inlineStr">
        <is>
          <t>cTrader, TradingView</t>
        </is>
      </c>
      <c r="E84" s="9" t="inlineStr">
        <is>
          <t>Oui</t>
        </is>
      </c>
      <c r="F84" s="9" t="inlineStr">
        <is>
          <t>3 étapes</t>
        </is>
      </c>
      <c r="G84" s="15" t="n">
        <v>2</v>
      </c>
      <c r="H84" s="9" t="inlineStr">
        <is>
          <t>01 avril 2027</t>
        </is>
      </c>
      <c r="I84" s="12" t="n">
        <v>120000</v>
      </c>
      <c r="J84" s="12" t="n">
        <v>117</v>
      </c>
    </row>
    <row r="85">
      <c r="A85" s="9" t="inlineStr">
        <is>
          <t>01 février 2027</t>
        </is>
      </c>
      <c r="B85" s="14" t="inlineStr">
        <is>
          <t>CFD</t>
        </is>
      </c>
      <c r="C85" s="9" t="inlineStr">
        <is>
          <t>Lark Funding</t>
        </is>
      </c>
      <c r="D85" s="9" t="inlineStr">
        <is>
          <t>cTrader, Match-Trader, DXtrade</t>
        </is>
      </c>
      <c r="E85" s="9" t="inlineStr">
        <is>
          <t>Non</t>
        </is>
      </c>
      <c r="F85" s="9" t="inlineStr">
        <is>
          <t>3 étapes</t>
        </is>
      </c>
      <c r="G85" s="15" t="n">
        <v>1.2</v>
      </c>
      <c r="H85" s="9" t="inlineStr">
        <is>
          <t>07 mars 2027</t>
        </is>
      </c>
      <c r="I85" s="12" t="n">
        <v>400000</v>
      </c>
      <c r="J85" s="12" t="n">
        <v>1400</v>
      </c>
    </row>
    <row r="86">
      <c r="A86" s="9" t="inlineStr">
        <is>
          <t>01 février 2027</t>
        </is>
      </c>
      <c r="B86" s="14" t="inlineStr">
        <is>
          <t>CFD</t>
        </is>
      </c>
      <c r="C86" s="9" t="inlineStr">
        <is>
          <t>Turbo Trade Fund</t>
        </is>
      </c>
      <c r="D86" s="9" t="inlineStr">
        <is>
          <t>Match-Trader</t>
        </is>
      </c>
      <c r="E86" s="9" t="inlineStr">
        <is>
          <t>Non</t>
        </is>
      </c>
      <c r="F86" s="9" t="inlineStr">
        <is>
          <t>3 étapes</t>
        </is>
      </c>
      <c r="G86" s="15" t="n">
        <v>1.5</v>
      </c>
      <c r="H86" s="9" t="inlineStr">
        <is>
          <t>16 mars 2027</t>
        </is>
      </c>
      <c r="I86" s="12" t="n">
        <v>200000</v>
      </c>
      <c r="J86" s="12" t="n">
        <v>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Graphiques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2026-10-02T18:05:20Z</dcterms:created>
  <dcterms:modified xsi:type="dcterms:W3CDTF">2026-10-02T18:05:20Z</dcterms:modified>
</cp:coreProperties>
</file>