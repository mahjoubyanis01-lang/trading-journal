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Paramètres" sheetId="2" state="visible" r:id="rId2"/>
    <sheet name="Catalogue" sheetId="3" state="visible" r:id="rId3"/>
    <sheet name="Simulation" sheetId="4" state="visible" r:id="rId4"/>
    <sheet name="Graphiques"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quot; $&quot;"/>
  </numFmts>
  <fonts count="7">
    <font>
      <name val="Calibri"/>
      <family val="2"/>
      <color theme="1"/>
      <sz val="11"/>
      <scheme val="minor"/>
    </font>
    <font>
      <name val="Arial"/>
      <b val="1"/>
      <color rgb="001F3864"/>
      <sz val="15"/>
    </font>
    <font>
      <name val="Arial"/>
      <sz val="10"/>
    </font>
    <font>
      <name val="Arial"/>
      <b val="1"/>
      <color rgb="001F3864"/>
      <sz val="12"/>
    </font>
    <font>
      <name val="Arial"/>
      <b val="1"/>
      <sz val="10"/>
    </font>
    <font>
      <name val="Arial"/>
      <i val="1"/>
      <color rgb="005C6360"/>
      <sz val="9"/>
    </font>
    <font>
      <name val="Arial"/>
      <b val="1"/>
      <color rgb="00FFFFFF"/>
      <sz val="10"/>
    </font>
  </fonts>
  <fills count="6">
    <fill>
      <patternFill/>
    </fill>
    <fill>
      <patternFill patternType="gray125"/>
    </fill>
    <fill>
      <patternFill patternType="solid">
        <fgColor rgb="00D9E1F2"/>
      </patternFill>
    </fill>
    <fill>
      <patternFill patternType="solid">
        <fgColor rgb="001F3864"/>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2" fillId="0" borderId="0" pivotButton="0" quotePrefix="0" xfId="0"/>
    <xf numFmtId="164" fontId="4" fillId="2" borderId="1" pivotButton="0" quotePrefix="0" xfId="0"/>
    <xf numFmtId="165" fontId="4" fillId="2" borderId="1" pivotButton="0" quotePrefix="0" xfId="0"/>
    <xf numFmtId="0" fontId="5" fillId="0" borderId="0" pivotButton="0" quotePrefix="0" xfId="0"/>
    <xf numFmtId="0" fontId="6" fillId="3" borderId="1" applyAlignment="1" pivotButton="0" quotePrefix="0" xfId="0">
      <alignment horizontal="center" wrapText="1"/>
    </xf>
    <xf numFmtId="165" fontId="2" fillId="0" borderId="1" pivotButton="0" quotePrefix="0" xfId="0"/>
    <xf numFmtId="0" fontId="2" fillId="0" borderId="1" pivotButton="0" quotePrefix="0" xfId="0"/>
    <xf numFmtId="0" fontId="6" fillId="3" borderId="1" applyAlignment="1" pivotButton="0" quotePrefix="0" xfId="0">
      <alignment horizontal="center" vertical="center" wrapText="1"/>
    </xf>
    <xf numFmtId="165" fontId="2" fillId="5" borderId="1" pivotButton="0" quotePrefix="0" xfId="0"/>
    <xf numFmtId="165" fontId="2" fillId="4"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Capital total dans le temps</a:t>
            </a:r>
          </a:p>
        </rich>
      </tx>
    </title>
    <plotArea>
      <lineChart>
        <grouping val="standard"/>
        <ser>
          <idx val="0"/>
          <order val="0"/>
          <tx>
            <strRef>
              <f>'Simulation'!I1</f>
            </strRef>
          </tx>
          <spPr>
            <a:ln>
              <a:prstDash val="solid"/>
            </a:ln>
          </spPr>
          <marker>
            <symbol val="none"/>
            <spPr>
              <a:ln>
                <a:prstDash val="solid"/>
              </a:ln>
            </spPr>
          </marker>
          <cat>
            <numRef>
              <f>'Simulation'!$A$2:$A$73</f>
            </numRef>
          </cat>
          <val>
            <numRef>
              <f>'Simulation'!$I$2:$I$73</f>
            </numRef>
          </val>
        </ser>
        <axId val="10"/>
        <axId val="100"/>
      </lineChart>
      <catAx>
        <axId val="10"/>
        <scaling>
          <orientation val="minMax"/>
        </scaling>
        <axPos val="l"/>
        <title>
          <tx>
            <rich>
              <a:bodyPr/>
              <a:p>
                <a:pPr>
                  <a:defRPr/>
                </a:pPr>
                <a:r>
                  <a:t>Mois</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Revenu mensuel potentiel (si retrait total)</a:t>
            </a:r>
          </a:p>
        </rich>
      </tx>
    </title>
    <plotArea>
      <lineChart>
        <grouping val="standard"/>
        <ser>
          <idx val="0"/>
          <order val="0"/>
          <tx>
            <strRef>
              <f>'Simulation'!J1</f>
            </strRef>
          </tx>
          <spPr>
            <a:ln>
              <a:prstDash val="solid"/>
            </a:ln>
          </spPr>
          <marker>
            <symbol val="none"/>
            <spPr>
              <a:ln>
                <a:prstDash val="solid"/>
              </a:ln>
            </spPr>
          </marker>
          <cat>
            <numRef>
              <f>'Simulation'!$A$2:$A$73</f>
            </numRef>
          </cat>
          <val>
            <numRef>
              <f>'Simulation'!$J$2:$J$73</f>
            </numRef>
          </val>
        </ser>
        <axId val="10"/>
        <axId val="100"/>
      </lineChart>
      <catAx>
        <axId val="10"/>
        <scaling>
          <orientation val="minMax"/>
        </scaling>
        <axPos val="l"/>
        <title>
          <tx>
            <rich>
              <a:bodyPr/>
              <a:p>
                <a:pPr>
                  <a:defRPr/>
                </a:pPr>
                <a:r>
                  <a:t>Mois</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Payout net cumulé</a:t>
            </a:r>
          </a:p>
        </rich>
      </tx>
    </title>
    <plotArea>
      <lineChart>
        <grouping val="standard"/>
        <ser>
          <idx val="0"/>
          <order val="0"/>
          <tx>
            <strRef>
              <f>'Simulation'!K1</f>
            </strRef>
          </tx>
          <spPr>
            <a:ln>
              <a:prstDash val="solid"/>
            </a:ln>
          </spPr>
          <marker>
            <symbol val="none"/>
            <spPr>
              <a:ln>
                <a:prstDash val="solid"/>
              </a:ln>
            </spPr>
          </marker>
          <cat>
            <numRef>
              <f>'Simulation'!$A$2:$A$73</f>
            </numRef>
          </cat>
          <val>
            <numRef>
              <f>'Simulation'!$K$2:$K$73</f>
            </numRef>
          </val>
        </ser>
        <axId val="10"/>
        <axId val="100"/>
      </lineChart>
      <catAx>
        <axId val="10"/>
        <scaling>
          <orientation val="minMax"/>
        </scaling>
        <axPos val="l"/>
        <title>
          <tx>
            <rich>
              <a:bodyPr/>
              <a:p>
                <a:pPr>
                  <a:defRPr/>
                </a:pPr>
                <a:r>
                  <a:t>Mois</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19</row>
      <rowOff>0</rowOff>
    </from>
    <ext cx="7920000" cy="288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36</row>
      <rowOff>0</rowOff>
    </from>
    <ext cx="7920000" cy="288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2" customWidth="1" min="1" max="1"/>
  </cols>
  <sheetData>
    <row r="1">
      <c r="A1" s="1" t="inlineStr">
        <is>
          <t>Plan de scaling — rachat de comptes mois après mois</t>
        </is>
      </c>
    </row>
    <row r="2">
      <c r="A2" s="2" t="inlineStr"/>
    </row>
    <row r="3">
      <c r="A3" s="2" t="inlineStr">
        <is>
          <t>Pour Google Sheets : Fichier &gt; Importer &gt; Importer les données (remplacer la feuille). Les cellules bleues (onglet Paramètres) sont modifiables ; la Simulation et les Graphiques se recalculent.</t>
        </is>
      </c>
    </row>
    <row r="4">
      <c r="A4" s="2" t="inlineStr"/>
    </row>
    <row r="5">
      <c r="A5" s="3" t="inlineStr">
        <is>
          <t>LE PRINCIPE (votre méthode)</t>
        </is>
      </c>
    </row>
    <row r="6">
      <c r="A6" s="2" t="inlineStr">
        <is>
          <t>Vous partez d'un compte direct FundedNext de 10 000 $. Chaque mois vous prenez un payout de 10 % du capital, la firme garde 30 %, vous gardez donc 70 %.</t>
        </is>
      </c>
    </row>
    <row r="7">
      <c r="A7" s="2" t="inlineStr">
        <is>
          <t>Vous accumulez cet argent, et dès que vous le pouvez, vous rachetez le plus GROS compte que votre trésorerie permet (catalogue des comptes, prix le moins cher par taille). Puis vous recommencez chaque mois : payout, on accumule, on rachète le plus gros possible.</t>
        </is>
      </c>
    </row>
    <row r="8">
      <c r="A8" s="2" t="inlineStr">
        <is>
          <t>Plus vous avez de comptes, plus le payout mensuel est gros, donc plus vous rachetez vite : c'est l'effet boule de neige.</t>
        </is>
      </c>
    </row>
    <row r="9">
      <c r="A9" s="2" t="inlineStr"/>
    </row>
    <row r="10">
      <c r="A10" s="3" t="inlineStr">
        <is>
          <t>LES ONGLETS</t>
        </is>
      </c>
    </row>
    <row r="11">
      <c r="A11" s="2" t="inlineStr">
        <is>
          <t>Paramètres : payout mensuel %, part de la firme %, capital de départ.</t>
        </is>
      </c>
    </row>
    <row r="12">
      <c r="A12" s="2" t="inlineStr">
        <is>
          <t>Catalogue : les tailles de compte achetables et leur prix le moins cher (une firme par taille). C'est là qu'on pioche le plus gros compte abordable.</t>
        </is>
      </c>
    </row>
    <row r="13">
      <c r="A13" s="2" t="inlineStr">
        <is>
          <t>Simulation : un mois par ligne. Capital au début, payout net encaissé, trésorerie, le compte acheté ce mois (taille + firme + prix), trésorerie restante, capital total, et le revenu mensuel que vous pourriez retirer à ce stade.</t>
        </is>
      </c>
    </row>
    <row r="14">
      <c r="A14" s="2" t="inlineStr">
        <is>
          <t>Graphiques : capital total, revenu mensuel potentiel, payout cumulé.</t>
        </is>
      </c>
    </row>
    <row r="15">
      <c r="A15" s="2" t="inlineStr"/>
    </row>
    <row r="16">
      <c r="A16" s="3" t="inlineStr">
        <is>
          <t>LIMITES</t>
        </is>
      </c>
    </row>
    <row r="17">
      <c r="A17" s="2" t="inlineStr">
        <is>
          <t>Un seul rachat par mois par défaut (le temps de passer l'évaluation). Prix hors codes promo, catalogue filtré aux offres réalistes. Borne théorique sous rendement constant, sans échec d'évaluation ni plafond de retrait.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14" customWidth="1" min="2" max="2"/>
  </cols>
  <sheetData>
    <row r="1">
      <c r="A1" s="4" t="inlineStr">
        <is>
          <t>Paramètres</t>
        </is>
      </c>
    </row>
    <row r="3">
      <c r="A3" s="5" t="inlineStr">
        <is>
          <t>Payout mensuel (% du capital)</t>
        </is>
      </c>
      <c r="B3" s="6" t="n">
        <v>0.1</v>
      </c>
    </row>
    <row r="4">
      <c r="A4" s="5" t="inlineStr">
        <is>
          <t>Part de la firme (elle garde)</t>
        </is>
      </c>
      <c r="B4" s="6" t="n">
        <v>0.3</v>
      </c>
    </row>
    <row r="5">
      <c r="A5" s="5" t="inlineStr">
        <is>
          <t>Capital de départ (FundedNext)</t>
        </is>
      </c>
      <c r="B5" s="7" t="n">
        <v>10000</v>
      </c>
    </row>
    <row r="7">
      <c r="A7" t="inlineStr">
        <is>
          <t>Vous gardez 1 − part firme. Modifiez ces cellules : tout se recalcule.</t>
        </is>
      </c>
    </row>
    <row r="8">
      <c r="A8" s="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2" customWidth="1" min="1" max="1"/>
    <col width="18" customWidth="1" min="2" max="2"/>
    <col width="24" customWidth="1" min="3" max="3"/>
    <col width="10" customWidth="1" min="4" max="4"/>
    <col width="10" customWidth="1" min="5" max="5"/>
    <col width="10" customWidth="1" min="6" max="6"/>
  </cols>
  <sheetData>
    <row r="1">
      <c r="A1" s="9" t="inlineStr">
        <is>
          <t>Taille ($)</t>
        </is>
      </c>
      <c r="B1" s="9" t="inlineStr">
        <is>
          <t>Prix le moins cher ($)</t>
        </is>
      </c>
      <c r="C1" s="9" t="inlineStr">
        <is>
          <t>Firme</t>
        </is>
      </c>
      <c r="D1" s="9" t="inlineStr">
        <is>
          <t>Plan</t>
        </is>
      </c>
      <c r="E1" s="9" t="inlineStr">
        <is>
          <t>Marché</t>
        </is>
      </c>
      <c r="F1" s="9" t="inlineStr">
        <is>
          <t>$ / 1000$</t>
        </is>
      </c>
    </row>
    <row r="2">
      <c r="A2" s="10" t="n">
        <v>6000</v>
      </c>
      <c r="B2" s="10" t="n">
        <v>59</v>
      </c>
      <c r="C2" s="11" t="inlineStr">
        <is>
          <t>Monevis</t>
        </is>
      </c>
      <c r="D2" s="11" t="inlineStr">
        <is>
          <t>Instant</t>
        </is>
      </c>
      <c r="E2" s="11" t="inlineStr">
        <is>
          <t>CFD</t>
        </is>
      </c>
      <c r="F2" s="11" t="n">
        <v>9.800000000000001</v>
      </c>
    </row>
    <row r="3">
      <c r="A3" s="10" t="n">
        <v>7000</v>
      </c>
      <c r="B3" s="10" t="n">
        <v>52</v>
      </c>
      <c r="C3" s="11" t="inlineStr">
        <is>
          <t>Prop Number One</t>
        </is>
      </c>
      <c r="D3" s="11" t="inlineStr">
        <is>
          <t>2 étapes</t>
        </is>
      </c>
      <c r="E3" s="11" t="inlineStr">
        <is>
          <t>CFD</t>
        </is>
      </c>
      <c r="F3" s="11" t="n">
        <v>7.4</v>
      </c>
    </row>
    <row r="4">
      <c r="A4" s="10" t="n">
        <v>7500</v>
      </c>
      <c r="B4" s="10" t="n">
        <v>59</v>
      </c>
      <c r="C4" s="11" t="inlineStr">
        <is>
          <t>EverBlue Trader</t>
        </is>
      </c>
      <c r="D4" s="11" t="inlineStr">
        <is>
          <t>2 étapes</t>
        </is>
      </c>
      <c r="E4" s="11" t="inlineStr">
        <is>
          <t>CFD</t>
        </is>
      </c>
      <c r="F4" s="11" t="n">
        <v>7.9</v>
      </c>
    </row>
    <row r="5">
      <c r="A5" s="10" t="n">
        <v>8000</v>
      </c>
      <c r="B5" s="10" t="n">
        <v>89</v>
      </c>
      <c r="C5" s="11" t="inlineStr">
        <is>
          <t>TradersFlow</t>
        </is>
      </c>
      <c r="D5" s="11" t="inlineStr">
        <is>
          <t>1 étape</t>
        </is>
      </c>
      <c r="E5" s="11" t="inlineStr">
        <is>
          <t>CFD</t>
        </is>
      </c>
      <c r="F5" s="11" t="n">
        <v>11.1</v>
      </c>
    </row>
    <row r="6">
      <c r="A6" s="10" t="n">
        <v>10000</v>
      </c>
      <c r="B6" s="10" t="n">
        <v>29</v>
      </c>
      <c r="C6" s="11" t="inlineStr">
        <is>
          <t>PaidPex</t>
        </is>
      </c>
      <c r="D6" s="11" t="inlineStr">
        <is>
          <t>1 étape</t>
        </is>
      </c>
      <c r="E6" s="11" t="inlineStr">
        <is>
          <t>CFD</t>
        </is>
      </c>
      <c r="F6" s="11" t="n">
        <v>2.9</v>
      </c>
    </row>
    <row r="7">
      <c r="A7" s="10" t="n">
        <v>15000</v>
      </c>
      <c r="B7" s="10" t="n">
        <v>75</v>
      </c>
      <c r="C7" s="11" t="inlineStr">
        <is>
          <t>NowTradeFunded</t>
        </is>
      </c>
      <c r="D7" s="11" t="inlineStr">
        <is>
          <t>2 étapes</t>
        </is>
      </c>
      <c r="E7" s="11" t="inlineStr">
        <is>
          <t>CFD</t>
        </is>
      </c>
      <c r="F7" s="11" t="n">
        <v>5</v>
      </c>
    </row>
    <row r="8">
      <c r="A8" s="10" t="n">
        <v>17000</v>
      </c>
      <c r="B8" s="10" t="n">
        <v>161</v>
      </c>
      <c r="C8" s="11" t="inlineStr">
        <is>
          <t>Prop Number One</t>
        </is>
      </c>
      <c r="D8" s="11" t="inlineStr">
        <is>
          <t>2 étapes</t>
        </is>
      </c>
      <c r="E8" s="11" t="inlineStr">
        <is>
          <t>CFD</t>
        </is>
      </c>
      <c r="F8" s="11" t="n">
        <v>9.5</v>
      </c>
    </row>
    <row r="9">
      <c r="A9" s="10" t="n">
        <v>27000</v>
      </c>
      <c r="B9" s="10" t="n">
        <v>217</v>
      </c>
      <c r="C9" s="11" t="inlineStr">
        <is>
          <t>Prop Number One</t>
        </is>
      </c>
      <c r="D9" s="11" t="inlineStr">
        <is>
          <t>2 étapes</t>
        </is>
      </c>
      <c r="E9" s="11" t="inlineStr">
        <is>
          <t>CFD</t>
        </is>
      </c>
      <c r="F9" s="11" t="n">
        <v>8</v>
      </c>
    </row>
    <row r="10">
      <c r="A10" s="10" t="n">
        <v>30000</v>
      </c>
      <c r="B10" s="10" t="n">
        <v>199</v>
      </c>
      <c r="C10" s="11" t="inlineStr">
        <is>
          <t>SFX Funded</t>
        </is>
      </c>
      <c r="D10" s="11" t="inlineStr">
        <is>
          <t>2 étapes</t>
        </is>
      </c>
      <c r="E10" s="11" t="inlineStr">
        <is>
          <t>CFD</t>
        </is>
      </c>
      <c r="F10" s="11" t="n">
        <v>6.6</v>
      </c>
    </row>
    <row r="11">
      <c r="A11" s="10" t="n">
        <v>35000</v>
      </c>
      <c r="B11" s="10" t="n">
        <v>189</v>
      </c>
      <c r="C11" s="11" t="inlineStr">
        <is>
          <t>EverBlue Trader</t>
        </is>
      </c>
      <c r="D11" s="11" t="inlineStr">
        <is>
          <t>2 étapes</t>
        </is>
      </c>
      <c r="E11" s="11" t="inlineStr">
        <is>
          <t>CFD</t>
        </is>
      </c>
      <c r="F11" s="11" t="n">
        <v>5.4</v>
      </c>
    </row>
    <row r="12">
      <c r="A12" s="10" t="n">
        <v>40000</v>
      </c>
      <c r="B12" s="10" t="n">
        <v>399</v>
      </c>
      <c r="C12" s="11" t="inlineStr">
        <is>
          <t>Paid To Trade</t>
        </is>
      </c>
      <c r="D12" s="11" t="inlineStr">
        <is>
          <t>2 étapes</t>
        </is>
      </c>
      <c r="E12" s="11" t="inlineStr">
        <is>
          <t>CFD</t>
        </is>
      </c>
      <c r="F12" s="11" t="n">
        <v>10</v>
      </c>
    </row>
    <row r="13">
      <c r="A13" s="10" t="n">
        <v>60000</v>
      </c>
      <c r="B13" s="10" t="n">
        <v>299</v>
      </c>
      <c r="C13" s="11" t="inlineStr">
        <is>
          <t>SFX Funded</t>
        </is>
      </c>
      <c r="D13" s="11" t="inlineStr">
        <is>
          <t>2 étapes</t>
        </is>
      </c>
      <c r="E13" s="11" t="inlineStr">
        <is>
          <t>CFD</t>
        </is>
      </c>
      <c r="F13" s="11" t="n">
        <v>5</v>
      </c>
    </row>
    <row r="14">
      <c r="A14" s="10" t="n">
        <v>75000</v>
      </c>
      <c r="B14" s="10" t="n">
        <v>299</v>
      </c>
      <c r="C14" s="11" t="inlineStr">
        <is>
          <t>EverBlue Trader</t>
        </is>
      </c>
      <c r="D14" s="11" t="inlineStr">
        <is>
          <t>2 étapes</t>
        </is>
      </c>
      <c r="E14" s="11" t="inlineStr">
        <is>
          <t>CFD</t>
        </is>
      </c>
      <c r="F14" s="11" t="n">
        <v>4</v>
      </c>
    </row>
    <row r="15">
      <c r="A15" s="10" t="n">
        <v>80000</v>
      </c>
      <c r="B15" s="10" t="n">
        <v>689</v>
      </c>
      <c r="C15" s="11" t="inlineStr">
        <is>
          <t>SFX Funded</t>
        </is>
      </c>
      <c r="D15" s="11" t="inlineStr">
        <is>
          <t>Instant</t>
        </is>
      </c>
      <c r="E15" s="11" t="inlineStr">
        <is>
          <t>CFD</t>
        </is>
      </c>
      <c r="F15" s="11" t="n">
        <v>8.6</v>
      </c>
    </row>
    <row r="16">
      <c r="A16" s="10" t="n">
        <v>115000</v>
      </c>
      <c r="B16" s="10" t="n">
        <v>499</v>
      </c>
      <c r="C16" s="11" t="inlineStr">
        <is>
          <t>EverBlue Trader</t>
        </is>
      </c>
      <c r="D16" s="11" t="inlineStr">
        <is>
          <t>2 étapes</t>
        </is>
      </c>
      <c r="E16" s="11" t="inlineStr">
        <is>
          <t>CFD</t>
        </is>
      </c>
      <c r="F16" s="11" t="n">
        <v>4.3</v>
      </c>
    </row>
    <row r="17">
      <c r="A17" s="10" t="n">
        <v>120000</v>
      </c>
      <c r="B17" s="10" t="n">
        <v>499</v>
      </c>
      <c r="C17" s="11" t="inlineStr">
        <is>
          <t>SFX Funded</t>
        </is>
      </c>
      <c r="D17" s="11" t="inlineStr">
        <is>
          <t>2 étapes</t>
        </is>
      </c>
      <c r="E17" s="11" t="inlineStr">
        <is>
          <t>CFD</t>
        </is>
      </c>
      <c r="F17" s="11" t="n">
        <v>4.2</v>
      </c>
    </row>
    <row r="18">
      <c r="A18" s="10" t="n">
        <v>180000</v>
      </c>
      <c r="B18" s="10" t="n">
        <v>738</v>
      </c>
      <c r="C18" s="11" t="inlineStr">
        <is>
          <t>SFX Funded</t>
        </is>
      </c>
      <c r="D18" s="11" t="inlineStr">
        <is>
          <t>1 étape</t>
        </is>
      </c>
      <c r="E18" s="11" t="inlineStr">
        <is>
          <t>CFD</t>
        </is>
      </c>
      <c r="F18" s="11" t="n">
        <v>4.1</v>
      </c>
    </row>
    <row r="19">
      <c r="A19" s="10" t="n">
        <v>350000</v>
      </c>
      <c r="B19" s="10" t="n">
        <v>2299</v>
      </c>
      <c r="C19" s="11" t="inlineStr">
        <is>
          <t>TTT Markets</t>
        </is>
      </c>
      <c r="D19" s="11" t="inlineStr">
        <is>
          <t>2 étapes</t>
        </is>
      </c>
      <c r="E19" s="11" t="inlineStr">
        <is>
          <t>CFD</t>
        </is>
      </c>
      <c r="F19" s="11" t="n">
        <v>6.6</v>
      </c>
    </row>
    <row r="20">
      <c r="A20" s="10" t="n">
        <v>750000</v>
      </c>
      <c r="B20" s="10" t="n">
        <v>2471</v>
      </c>
      <c r="C20" s="11" t="inlineStr">
        <is>
          <t>LVL Trading</t>
        </is>
      </c>
      <c r="D20" s="11" t="inlineStr">
        <is>
          <t>1 étape</t>
        </is>
      </c>
      <c r="E20" s="11" t="inlineStr">
        <is>
          <t>Futures</t>
        </is>
      </c>
      <c r="F20" s="11" t="n">
        <v>3.3</v>
      </c>
    </row>
    <row r="21">
      <c r="A21" s="10" t="n">
        <v>800000</v>
      </c>
      <c r="B21" s="10" t="n">
        <v>6159</v>
      </c>
      <c r="C21" s="11" t="inlineStr">
        <is>
          <t>Upcomers</t>
        </is>
      </c>
      <c r="D21" s="11" t="inlineStr">
        <is>
          <t>2 étapes</t>
        </is>
      </c>
      <c r="E21" s="11" t="inlineStr">
        <is>
          <t>CFD</t>
        </is>
      </c>
      <c r="F21" s="11" t="n">
        <v>7.7</v>
      </c>
    </row>
    <row r="22">
      <c r="A22" s="10" t="n">
        <v>1500000</v>
      </c>
      <c r="B22" s="10" t="n">
        <v>11571</v>
      </c>
      <c r="C22" s="11" t="inlineStr">
        <is>
          <t>Upcomers</t>
        </is>
      </c>
      <c r="D22" s="11" t="inlineStr">
        <is>
          <t>2 étapes</t>
        </is>
      </c>
      <c r="E22" s="11" t="inlineStr">
        <is>
          <t>CFD</t>
        </is>
      </c>
      <c r="F22" s="11" t="n">
        <v>7.7</v>
      </c>
    </row>
    <row r="23">
      <c r="A23" s="10" t="n">
        <v>2000000</v>
      </c>
      <c r="B23" s="10" t="n">
        <v>21000</v>
      </c>
      <c r="C23" s="11" t="inlineStr">
        <is>
          <t>Ment Funding</t>
        </is>
      </c>
      <c r="D23" s="11" t="inlineStr">
        <is>
          <t>1 étape</t>
        </is>
      </c>
      <c r="E23" s="11" t="inlineStr">
        <is>
          <t>CFD</t>
        </is>
      </c>
      <c r="F23" s="11" t="n">
        <v>10.5</v>
      </c>
    </row>
    <row r="24">
      <c r="A24" s="10" t="n">
        <v>2500000</v>
      </c>
      <c r="B24" s="10" t="n">
        <v>8500</v>
      </c>
      <c r="C24" s="11" t="inlineStr">
        <is>
          <t>LVL Trading</t>
        </is>
      </c>
      <c r="D24" s="11" t="inlineStr">
        <is>
          <t>1 étape</t>
        </is>
      </c>
      <c r="E24" s="11" t="inlineStr">
        <is>
          <t>Futures</t>
        </is>
      </c>
      <c r="F24" s="11" t="n">
        <v>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5" customWidth="1" min="2" max="2"/>
    <col width="16" customWidth="1" min="3" max="3"/>
    <col width="17" customWidth="1" min="4" max="4"/>
    <col width="18" customWidth="1" min="5" max="5"/>
    <col width="22" customWidth="1" min="6" max="6"/>
    <col width="13" customWidth="1" min="7" max="7"/>
    <col width="16" customWidth="1" min="8" max="8"/>
    <col width="15" customWidth="1" min="9" max="9"/>
    <col width="18" customWidth="1" min="10" max="10"/>
    <col width="16" customWidth="1" min="11" max="11"/>
  </cols>
  <sheetData>
    <row r="1" ht="42" customHeight="1">
      <c r="A1" s="12" t="inlineStr">
        <is>
          <t>Mois</t>
        </is>
      </c>
      <c r="B1" s="12" t="inlineStr">
        <is>
          <t>Capital début ($)</t>
        </is>
      </c>
      <c r="C1" s="12" t="inlineStr">
        <is>
          <t>Payout net du mois ($)</t>
        </is>
      </c>
      <c r="D1" s="12" t="inlineStr">
        <is>
          <t>Trésorerie avant achat ($)</t>
        </is>
      </c>
      <c r="E1" s="12" t="inlineStr">
        <is>
          <t>Plus gros compte achetable ($)</t>
        </is>
      </c>
      <c r="F1" s="12" t="inlineStr">
        <is>
          <t>Firme achetée</t>
        </is>
      </c>
      <c r="G1" s="12" t="inlineStr">
        <is>
          <t>Prix payé ($)</t>
        </is>
      </c>
      <c r="H1" s="12" t="inlineStr">
        <is>
          <t>Trésorerie après ($)</t>
        </is>
      </c>
      <c r="I1" s="12" t="inlineStr">
        <is>
          <t>Capital total ($)</t>
        </is>
      </c>
      <c r="J1" s="12" t="inlineStr">
        <is>
          <t>Revenu mensuel potentiel ($)</t>
        </is>
      </c>
      <c r="K1" s="12" t="inlineStr">
        <is>
          <t>Payout net cumulé ($)</t>
        </is>
      </c>
    </row>
    <row r="2">
      <c r="A2" s="11" t="n">
        <v>1</v>
      </c>
      <c r="B2" s="10">
        <f>Paramètres!$B$5</f>
        <v/>
      </c>
      <c r="C2" s="10">
        <f>B2*Paramètres!$B$3*(1-Paramètres!$B$4)</f>
        <v/>
      </c>
      <c r="D2" s="10">
        <f>C2</f>
        <v/>
      </c>
      <c r="E2" s="13">
        <f>IFERROR(MAXIFS(Catalogue!$A$2:$A$24,Catalogue!$B$2:$B$24,"&lt;="&amp;D2),0)</f>
        <v/>
      </c>
      <c r="F2" s="11">
        <f>IF(E2=0,"—",INDEX(Catalogue!$C$2:$C$24,MATCH(E2,Catalogue!$A$2:$A$24,0)))</f>
        <v/>
      </c>
      <c r="G2" s="10">
        <f>IF(E2=0,0,INDEX(Catalogue!$B$2:$B$24,MATCH(E2,Catalogue!$A$2:$A$24,0)))</f>
        <v/>
      </c>
      <c r="H2" s="10">
        <f>D2-G2</f>
        <v/>
      </c>
      <c r="I2" s="14">
        <f>B2+E2</f>
        <v/>
      </c>
      <c r="J2" s="14">
        <f>I2*Paramètres!$B$3*(1-Paramètres!$B$4)</f>
        <v/>
      </c>
      <c r="K2" s="10">
        <f>C2</f>
        <v/>
      </c>
    </row>
    <row r="3">
      <c r="A3" s="11" t="n">
        <v>2</v>
      </c>
      <c r="B3" s="10">
        <f>I2</f>
        <v/>
      </c>
      <c r="C3" s="10">
        <f>B3*Paramètres!$B$3*(1-Paramètres!$B$4)</f>
        <v/>
      </c>
      <c r="D3" s="10">
        <f>H2+C3</f>
        <v/>
      </c>
      <c r="E3" s="13">
        <f>IFERROR(MAXIFS(Catalogue!$A$2:$A$24,Catalogue!$B$2:$B$24,"&lt;="&amp;D3),0)</f>
        <v/>
      </c>
      <c r="F3" s="11">
        <f>IF(E3=0,"—",INDEX(Catalogue!$C$2:$C$24,MATCH(E3,Catalogue!$A$2:$A$24,0)))</f>
        <v/>
      </c>
      <c r="G3" s="10">
        <f>IF(E3=0,0,INDEX(Catalogue!$B$2:$B$24,MATCH(E3,Catalogue!$A$2:$A$24,0)))</f>
        <v/>
      </c>
      <c r="H3" s="10">
        <f>D3-G3</f>
        <v/>
      </c>
      <c r="I3" s="14">
        <f>B3+E3</f>
        <v/>
      </c>
      <c r="J3" s="14">
        <f>I3*Paramètres!$B$3*(1-Paramètres!$B$4)</f>
        <v/>
      </c>
      <c r="K3" s="10">
        <f>K2+C3</f>
        <v/>
      </c>
    </row>
    <row r="4">
      <c r="A4" s="11" t="n">
        <v>3</v>
      </c>
      <c r="B4" s="10">
        <f>I3</f>
        <v/>
      </c>
      <c r="C4" s="10">
        <f>B4*Paramètres!$B$3*(1-Paramètres!$B$4)</f>
        <v/>
      </c>
      <c r="D4" s="10">
        <f>H3+C4</f>
        <v/>
      </c>
      <c r="E4" s="13">
        <f>IFERROR(MAXIFS(Catalogue!$A$2:$A$24,Catalogue!$B$2:$B$24,"&lt;="&amp;D4),0)</f>
        <v/>
      </c>
      <c r="F4" s="11">
        <f>IF(E4=0,"—",INDEX(Catalogue!$C$2:$C$24,MATCH(E4,Catalogue!$A$2:$A$24,0)))</f>
        <v/>
      </c>
      <c r="G4" s="10">
        <f>IF(E4=0,0,INDEX(Catalogue!$B$2:$B$24,MATCH(E4,Catalogue!$A$2:$A$24,0)))</f>
        <v/>
      </c>
      <c r="H4" s="10">
        <f>D4-G4</f>
        <v/>
      </c>
      <c r="I4" s="14">
        <f>B4+E4</f>
        <v/>
      </c>
      <c r="J4" s="14">
        <f>I4*Paramètres!$B$3*(1-Paramètres!$B$4)</f>
        <v/>
      </c>
      <c r="K4" s="10">
        <f>K3+C4</f>
        <v/>
      </c>
    </row>
    <row r="5">
      <c r="A5" s="11" t="n">
        <v>4</v>
      </c>
      <c r="B5" s="10">
        <f>I4</f>
        <v/>
      </c>
      <c r="C5" s="10">
        <f>B5*Paramètres!$B$3*(1-Paramètres!$B$4)</f>
        <v/>
      </c>
      <c r="D5" s="10">
        <f>H4+C5</f>
        <v/>
      </c>
      <c r="E5" s="13">
        <f>IFERROR(MAXIFS(Catalogue!$A$2:$A$24,Catalogue!$B$2:$B$24,"&lt;="&amp;D5),0)</f>
        <v/>
      </c>
      <c r="F5" s="11">
        <f>IF(E5=0,"—",INDEX(Catalogue!$C$2:$C$24,MATCH(E5,Catalogue!$A$2:$A$24,0)))</f>
        <v/>
      </c>
      <c r="G5" s="10">
        <f>IF(E5=0,0,INDEX(Catalogue!$B$2:$B$24,MATCH(E5,Catalogue!$A$2:$A$24,0)))</f>
        <v/>
      </c>
      <c r="H5" s="10">
        <f>D5-G5</f>
        <v/>
      </c>
      <c r="I5" s="14">
        <f>B5+E5</f>
        <v/>
      </c>
      <c r="J5" s="14">
        <f>I5*Paramètres!$B$3*(1-Paramètres!$B$4)</f>
        <v/>
      </c>
      <c r="K5" s="10">
        <f>K4+C5</f>
        <v/>
      </c>
    </row>
    <row r="6">
      <c r="A6" s="11" t="n">
        <v>5</v>
      </c>
      <c r="B6" s="10">
        <f>I5</f>
        <v/>
      </c>
      <c r="C6" s="10">
        <f>B6*Paramètres!$B$3*(1-Paramètres!$B$4)</f>
        <v/>
      </c>
      <c r="D6" s="10">
        <f>H5+C6</f>
        <v/>
      </c>
      <c r="E6" s="13">
        <f>IFERROR(MAXIFS(Catalogue!$A$2:$A$24,Catalogue!$B$2:$B$24,"&lt;="&amp;D6),0)</f>
        <v/>
      </c>
      <c r="F6" s="11">
        <f>IF(E6=0,"—",INDEX(Catalogue!$C$2:$C$24,MATCH(E6,Catalogue!$A$2:$A$24,0)))</f>
        <v/>
      </c>
      <c r="G6" s="10">
        <f>IF(E6=0,0,INDEX(Catalogue!$B$2:$B$24,MATCH(E6,Catalogue!$A$2:$A$24,0)))</f>
        <v/>
      </c>
      <c r="H6" s="10">
        <f>D6-G6</f>
        <v/>
      </c>
      <c r="I6" s="14">
        <f>B6+E6</f>
        <v/>
      </c>
      <c r="J6" s="14">
        <f>I6*Paramètres!$B$3*(1-Paramètres!$B$4)</f>
        <v/>
      </c>
      <c r="K6" s="10">
        <f>K5+C6</f>
        <v/>
      </c>
    </row>
    <row r="7">
      <c r="A7" s="11" t="n">
        <v>6</v>
      </c>
      <c r="B7" s="10">
        <f>I6</f>
        <v/>
      </c>
      <c r="C7" s="10">
        <f>B7*Paramètres!$B$3*(1-Paramètres!$B$4)</f>
        <v/>
      </c>
      <c r="D7" s="10">
        <f>H6+C7</f>
        <v/>
      </c>
      <c r="E7" s="13">
        <f>IFERROR(MAXIFS(Catalogue!$A$2:$A$24,Catalogue!$B$2:$B$24,"&lt;="&amp;D7),0)</f>
        <v/>
      </c>
      <c r="F7" s="11">
        <f>IF(E7=0,"—",INDEX(Catalogue!$C$2:$C$24,MATCH(E7,Catalogue!$A$2:$A$24,0)))</f>
        <v/>
      </c>
      <c r="G7" s="10">
        <f>IF(E7=0,0,INDEX(Catalogue!$B$2:$B$24,MATCH(E7,Catalogue!$A$2:$A$24,0)))</f>
        <v/>
      </c>
      <c r="H7" s="10">
        <f>D7-G7</f>
        <v/>
      </c>
      <c r="I7" s="14">
        <f>B7+E7</f>
        <v/>
      </c>
      <c r="J7" s="14">
        <f>I7*Paramètres!$B$3*(1-Paramètres!$B$4)</f>
        <v/>
      </c>
      <c r="K7" s="10">
        <f>K6+C7</f>
        <v/>
      </c>
    </row>
    <row r="8">
      <c r="A8" s="11" t="n">
        <v>7</v>
      </c>
      <c r="B8" s="10">
        <f>I7</f>
        <v/>
      </c>
      <c r="C8" s="10">
        <f>B8*Paramètres!$B$3*(1-Paramètres!$B$4)</f>
        <v/>
      </c>
      <c r="D8" s="10">
        <f>H7+C8</f>
        <v/>
      </c>
      <c r="E8" s="13">
        <f>IFERROR(MAXIFS(Catalogue!$A$2:$A$24,Catalogue!$B$2:$B$24,"&lt;="&amp;D8),0)</f>
        <v/>
      </c>
      <c r="F8" s="11">
        <f>IF(E8=0,"—",INDEX(Catalogue!$C$2:$C$24,MATCH(E8,Catalogue!$A$2:$A$24,0)))</f>
        <v/>
      </c>
      <c r="G8" s="10">
        <f>IF(E8=0,0,INDEX(Catalogue!$B$2:$B$24,MATCH(E8,Catalogue!$A$2:$A$24,0)))</f>
        <v/>
      </c>
      <c r="H8" s="10">
        <f>D8-G8</f>
        <v/>
      </c>
      <c r="I8" s="14">
        <f>B8+E8</f>
        <v/>
      </c>
      <c r="J8" s="14">
        <f>I8*Paramètres!$B$3*(1-Paramètres!$B$4)</f>
        <v/>
      </c>
      <c r="K8" s="10">
        <f>K7+C8</f>
        <v/>
      </c>
    </row>
    <row r="9">
      <c r="A9" s="11" t="n">
        <v>8</v>
      </c>
      <c r="B9" s="10">
        <f>I8</f>
        <v/>
      </c>
      <c r="C9" s="10">
        <f>B9*Paramètres!$B$3*(1-Paramètres!$B$4)</f>
        <v/>
      </c>
      <c r="D9" s="10">
        <f>H8+C9</f>
        <v/>
      </c>
      <c r="E9" s="13">
        <f>IFERROR(MAXIFS(Catalogue!$A$2:$A$24,Catalogue!$B$2:$B$24,"&lt;="&amp;D9),0)</f>
        <v/>
      </c>
      <c r="F9" s="11">
        <f>IF(E9=0,"—",INDEX(Catalogue!$C$2:$C$24,MATCH(E9,Catalogue!$A$2:$A$24,0)))</f>
        <v/>
      </c>
      <c r="G9" s="10">
        <f>IF(E9=0,0,INDEX(Catalogue!$B$2:$B$24,MATCH(E9,Catalogue!$A$2:$A$24,0)))</f>
        <v/>
      </c>
      <c r="H9" s="10">
        <f>D9-G9</f>
        <v/>
      </c>
      <c r="I9" s="14">
        <f>B9+E9</f>
        <v/>
      </c>
      <c r="J9" s="14">
        <f>I9*Paramètres!$B$3*(1-Paramètres!$B$4)</f>
        <v/>
      </c>
      <c r="K9" s="10">
        <f>K8+C9</f>
        <v/>
      </c>
    </row>
    <row r="10">
      <c r="A10" s="11" t="n">
        <v>9</v>
      </c>
      <c r="B10" s="10">
        <f>I9</f>
        <v/>
      </c>
      <c r="C10" s="10">
        <f>B10*Paramètres!$B$3*(1-Paramètres!$B$4)</f>
        <v/>
      </c>
      <c r="D10" s="10">
        <f>H9+C10</f>
        <v/>
      </c>
      <c r="E10" s="13">
        <f>IFERROR(MAXIFS(Catalogue!$A$2:$A$24,Catalogue!$B$2:$B$24,"&lt;="&amp;D10),0)</f>
        <v/>
      </c>
      <c r="F10" s="11">
        <f>IF(E10=0,"—",INDEX(Catalogue!$C$2:$C$24,MATCH(E10,Catalogue!$A$2:$A$24,0)))</f>
        <v/>
      </c>
      <c r="G10" s="10">
        <f>IF(E10=0,0,INDEX(Catalogue!$B$2:$B$24,MATCH(E10,Catalogue!$A$2:$A$24,0)))</f>
        <v/>
      </c>
      <c r="H10" s="10">
        <f>D10-G10</f>
        <v/>
      </c>
      <c r="I10" s="14">
        <f>B10+E10</f>
        <v/>
      </c>
      <c r="J10" s="14">
        <f>I10*Paramètres!$B$3*(1-Paramètres!$B$4)</f>
        <v/>
      </c>
      <c r="K10" s="10">
        <f>K9+C10</f>
        <v/>
      </c>
    </row>
    <row r="11">
      <c r="A11" s="11" t="n">
        <v>10</v>
      </c>
      <c r="B11" s="10">
        <f>I10</f>
        <v/>
      </c>
      <c r="C11" s="10">
        <f>B11*Paramètres!$B$3*(1-Paramètres!$B$4)</f>
        <v/>
      </c>
      <c r="D11" s="10">
        <f>H10+C11</f>
        <v/>
      </c>
      <c r="E11" s="13">
        <f>IFERROR(MAXIFS(Catalogue!$A$2:$A$24,Catalogue!$B$2:$B$24,"&lt;="&amp;D11),0)</f>
        <v/>
      </c>
      <c r="F11" s="11">
        <f>IF(E11=0,"—",INDEX(Catalogue!$C$2:$C$24,MATCH(E11,Catalogue!$A$2:$A$24,0)))</f>
        <v/>
      </c>
      <c r="G11" s="10">
        <f>IF(E11=0,0,INDEX(Catalogue!$B$2:$B$24,MATCH(E11,Catalogue!$A$2:$A$24,0)))</f>
        <v/>
      </c>
      <c r="H11" s="10">
        <f>D11-G11</f>
        <v/>
      </c>
      <c r="I11" s="14">
        <f>B11+E11</f>
        <v/>
      </c>
      <c r="J11" s="14">
        <f>I11*Paramètres!$B$3*(1-Paramètres!$B$4)</f>
        <v/>
      </c>
      <c r="K11" s="10">
        <f>K10+C11</f>
        <v/>
      </c>
    </row>
    <row r="12">
      <c r="A12" s="11" t="n">
        <v>11</v>
      </c>
      <c r="B12" s="10">
        <f>I11</f>
        <v/>
      </c>
      <c r="C12" s="10">
        <f>B12*Paramètres!$B$3*(1-Paramètres!$B$4)</f>
        <v/>
      </c>
      <c r="D12" s="10">
        <f>H11+C12</f>
        <v/>
      </c>
      <c r="E12" s="13">
        <f>IFERROR(MAXIFS(Catalogue!$A$2:$A$24,Catalogue!$B$2:$B$24,"&lt;="&amp;D12),0)</f>
        <v/>
      </c>
      <c r="F12" s="11">
        <f>IF(E12=0,"—",INDEX(Catalogue!$C$2:$C$24,MATCH(E12,Catalogue!$A$2:$A$24,0)))</f>
        <v/>
      </c>
      <c r="G12" s="10">
        <f>IF(E12=0,0,INDEX(Catalogue!$B$2:$B$24,MATCH(E12,Catalogue!$A$2:$A$24,0)))</f>
        <v/>
      </c>
      <c r="H12" s="10">
        <f>D12-G12</f>
        <v/>
      </c>
      <c r="I12" s="14">
        <f>B12+E12</f>
        <v/>
      </c>
      <c r="J12" s="14">
        <f>I12*Paramètres!$B$3*(1-Paramètres!$B$4)</f>
        <v/>
      </c>
      <c r="K12" s="10">
        <f>K11+C12</f>
        <v/>
      </c>
    </row>
    <row r="13">
      <c r="A13" s="11" t="n">
        <v>12</v>
      </c>
      <c r="B13" s="10">
        <f>I12</f>
        <v/>
      </c>
      <c r="C13" s="10">
        <f>B13*Paramètres!$B$3*(1-Paramètres!$B$4)</f>
        <v/>
      </c>
      <c r="D13" s="10">
        <f>H12+C13</f>
        <v/>
      </c>
      <c r="E13" s="13">
        <f>IFERROR(MAXIFS(Catalogue!$A$2:$A$24,Catalogue!$B$2:$B$24,"&lt;="&amp;D13),0)</f>
        <v/>
      </c>
      <c r="F13" s="11">
        <f>IF(E13=0,"—",INDEX(Catalogue!$C$2:$C$24,MATCH(E13,Catalogue!$A$2:$A$24,0)))</f>
        <v/>
      </c>
      <c r="G13" s="10">
        <f>IF(E13=0,0,INDEX(Catalogue!$B$2:$B$24,MATCH(E13,Catalogue!$A$2:$A$24,0)))</f>
        <v/>
      </c>
      <c r="H13" s="10">
        <f>D13-G13</f>
        <v/>
      </c>
      <c r="I13" s="14">
        <f>B13+E13</f>
        <v/>
      </c>
      <c r="J13" s="14">
        <f>I13*Paramètres!$B$3*(1-Paramètres!$B$4)</f>
        <v/>
      </c>
      <c r="K13" s="10">
        <f>K12+C13</f>
        <v/>
      </c>
    </row>
    <row r="14">
      <c r="A14" s="11" t="n">
        <v>13</v>
      </c>
      <c r="B14" s="10">
        <f>I13</f>
        <v/>
      </c>
      <c r="C14" s="10">
        <f>B14*Paramètres!$B$3*(1-Paramètres!$B$4)</f>
        <v/>
      </c>
      <c r="D14" s="10">
        <f>H13+C14</f>
        <v/>
      </c>
      <c r="E14" s="13">
        <f>IFERROR(MAXIFS(Catalogue!$A$2:$A$24,Catalogue!$B$2:$B$24,"&lt;="&amp;D14),0)</f>
        <v/>
      </c>
      <c r="F14" s="11">
        <f>IF(E14=0,"—",INDEX(Catalogue!$C$2:$C$24,MATCH(E14,Catalogue!$A$2:$A$24,0)))</f>
        <v/>
      </c>
      <c r="G14" s="10">
        <f>IF(E14=0,0,INDEX(Catalogue!$B$2:$B$24,MATCH(E14,Catalogue!$A$2:$A$24,0)))</f>
        <v/>
      </c>
      <c r="H14" s="10">
        <f>D14-G14</f>
        <v/>
      </c>
      <c r="I14" s="14">
        <f>B14+E14</f>
        <v/>
      </c>
      <c r="J14" s="14">
        <f>I14*Paramètres!$B$3*(1-Paramètres!$B$4)</f>
        <v/>
      </c>
      <c r="K14" s="10">
        <f>K13+C14</f>
        <v/>
      </c>
    </row>
    <row r="15">
      <c r="A15" s="11" t="n">
        <v>14</v>
      </c>
      <c r="B15" s="10">
        <f>I14</f>
        <v/>
      </c>
      <c r="C15" s="10">
        <f>B15*Paramètres!$B$3*(1-Paramètres!$B$4)</f>
        <v/>
      </c>
      <c r="D15" s="10">
        <f>H14+C15</f>
        <v/>
      </c>
      <c r="E15" s="13">
        <f>IFERROR(MAXIFS(Catalogue!$A$2:$A$24,Catalogue!$B$2:$B$24,"&lt;="&amp;D15),0)</f>
        <v/>
      </c>
      <c r="F15" s="11">
        <f>IF(E15=0,"—",INDEX(Catalogue!$C$2:$C$24,MATCH(E15,Catalogue!$A$2:$A$24,0)))</f>
        <v/>
      </c>
      <c r="G15" s="10">
        <f>IF(E15=0,0,INDEX(Catalogue!$B$2:$B$24,MATCH(E15,Catalogue!$A$2:$A$24,0)))</f>
        <v/>
      </c>
      <c r="H15" s="10">
        <f>D15-G15</f>
        <v/>
      </c>
      <c r="I15" s="14">
        <f>B15+E15</f>
        <v/>
      </c>
      <c r="J15" s="14">
        <f>I15*Paramètres!$B$3*(1-Paramètres!$B$4)</f>
        <v/>
      </c>
      <c r="K15" s="10">
        <f>K14+C15</f>
        <v/>
      </c>
    </row>
    <row r="16">
      <c r="A16" s="11" t="n">
        <v>15</v>
      </c>
      <c r="B16" s="10">
        <f>I15</f>
        <v/>
      </c>
      <c r="C16" s="10">
        <f>B16*Paramètres!$B$3*(1-Paramètres!$B$4)</f>
        <v/>
      </c>
      <c r="D16" s="10">
        <f>H15+C16</f>
        <v/>
      </c>
      <c r="E16" s="13">
        <f>IFERROR(MAXIFS(Catalogue!$A$2:$A$24,Catalogue!$B$2:$B$24,"&lt;="&amp;D16),0)</f>
        <v/>
      </c>
      <c r="F16" s="11">
        <f>IF(E16=0,"—",INDEX(Catalogue!$C$2:$C$24,MATCH(E16,Catalogue!$A$2:$A$24,0)))</f>
        <v/>
      </c>
      <c r="G16" s="10">
        <f>IF(E16=0,0,INDEX(Catalogue!$B$2:$B$24,MATCH(E16,Catalogue!$A$2:$A$24,0)))</f>
        <v/>
      </c>
      <c r="H16" s="10">
        <f>D16-G16</f>
        <v/>
      </c>
      <c r="I16" s="14">
        <f>B16+E16</f>
        <v/>
      </c>
      <c r="J16" s="14">
        <f>I16*Paramètres!$B$3*(1-Paramètres!$B$4)</f>
        <v/>
      </c>
      <c r="K16" s="10">
        <f>K15+C16</f>
        <v/>
      </c>
    </row>
    <row r="17">
      <c r="A17" s="11" t="n">
        <v>16</v>
      </c>
      <c r="B17" s="10">
        <f>I16</f>
        <v/>
      </c>
      <c r="C17" s="10">
        <f>B17*Paramètres!$B$3*(1-Paramètres!$B$4)</f>
        <v/>
      </c>
      <c r="D17" s="10">
        <f>H16+C17</f>
        <v/>
      </c>
      <c r="E17" s="13">
        <f>IFERROR(MAXIFS(Catalogue!$A$2:$A$24,Catalogue!$B$2:$B$24,"&lt;="&amp;D17),0)</f>
        <v/>
      </c>
      <c r="F17" s="11">
        <f>IF(E17=0,"—",INDEX(Catalogue!$C$2:$C$24,MATCH(E17,Catalogue!$A$2:$A$24,0)))</f>
        <v/>
      </c>
      <c r="G17" s="10">
        <f>IF(E17=0,0,INDEX(Catalogue!$B$2:$B$24,MATCH(E17,Catalogue!$A$2:$A$24,0)))</f>
        <v/>
      </c>
      <c r="H17" s="10">
        <f>D17-G17</f>
        <v/>
      </c>
      <c r="I17" s="14">
        <f>B17+E17</f>
        <v/>
      </c>
      <c r="J17" s="14">
        <f>I17*Paramètres!$B$3*(1-Paramètres!$B$4)</f>
        <v/>
      </c>
      <c r="K17" s="10">
        <f>K16+C17</f>
        <v/>
      </c>
    </row>
    <row r="18">
      <c r="A18" s="11" t="n">
        <v>17</v>
      </c>
      <c r="B18" s="10">
        <f>I17</f>
        <v/>
      </c>
      <c r="C18" s="10">
        <f>B18*Paramètres!$B$3*(1-Paramètres!$B$4)</f>
        <v/>
      </c>
      <c r="D18" s="10">
        <f>H17+C18</f>
        <v/>
      </c>
      <c r="E18" s="13">
        <f>IFERROR(MAXIFS(Catalogue!$A$2:$A$24,Catalogue!$B$2:$B$24,"&lt;="&amp;D18),0)</f>
        <v/>
      </c>
      <c r="F18" s="11">
        <f>IF(E18=0,"—",INDEX(Catalogue!$C$2:$C$24,MATCH(E18,Catalogue!$A$2:$A$24,0)))</f>
        <v/>
      </c>
      <c r="G18" s="10">
        <f>IF(E18=0,0,INDEX(Catalogue!$B$2:$B$24,MATCH(E18,Catalogue!$A$2:$A$24,0)))</f>
        <v/>
      </c>
      <c r="H18" s="10">
        <f>D18-G18</f>
        <v/>
      </c>
      <c r="I18" s="14">
        <f>B18+E18</f>
        <v/>
      </c>
      <c r="J18" s="14">
        <f>I18*Paramètres!$B$3*(1-Paramètres!$B$4)</f>
        <v/>
      </c>
      <c r="K18" s="10">
        <f>K17+C18</f>
        <v/>
      </c>
    </row>
    <row r="19">
      <c r="A19" s="11" t="n">
        <v>18</v>
      </c>
      <c r="B19" s="10">
        <f>I18</f>
        <v/>
      </c>
      <c r="C19" s="10">
        <f>B19*Paramètres!$B$3*(1-Paramètres!$B$4)</f>
        <v/>
      </c>
      <c r="D19" s="10">
        <f>H18+C19</f>
        <v/>
      </c>
      <c r="E19" s="13">
        <f>IFERROR(MAXIFS(Catalogue!$A$2:$A$24,Catalogue!$B$2:$B$24,"&lt;="&amp;D19),0)</f>
        <v/>
      </c>
      <c r="F19" s="11">
        <f>IF(E19=0,"—",INDEX(Catalogue!$C$2:$C$24,MATCH(E19,Catalogue!$A$2:$A$24,0)))</f>
        <v/>
      </c>
      <c r="G19" s="10">
        <f>IF(E19=0,0,INDEX(Catalogue!$B$2:$B$24,MATCH(E19,Catalogue!$A$2:$A$24,0)))</f>
        <v/>
      </c>
      <c r="H19" s="10">
        <f>D19-G19</f>
        <v/>
      </c>
      <c r="I19" s="14">
        <f>B19+E19</f>
        <v/>
      </c>
      <c r="J19" s="14">
        <f>I19*Paramètres!$B$3*(1-Paramètres!$B$4)</f>
        <v/>
      </c>
      <c r="K19" s="10">
        <f>K18+C19</f>
        <v/>
      </c>
    </row>
    <row r="20">
      <c r="A20" s="11" t="n">
        <v>19</v>
      </c>
      <c r="B20" s="10">
        <f>I19</f>
        <v/>
      </c>
      <c r="C20" s="10">
        <f>B20*Paramètres!$B$3*(1-Paramètres!$B$4)</f>
        <v/>
      </c>
      <c r="D20" s="10">
        <f>H19+C20</f>
        <v/>
      </c>
      <c r="E20" s="13">
        <f>IFERROR(MAXIFS(Catalogue!$A$2:$A$24,Catalogue!$B$2:$B$24,"&lt;="&amp;D20),0)</f>
        <v/>
      </c>
      <c r="F20" s="11">
        <f>IF(E20=0,"—",INDEX(Catalogue!$C$2:$C$24,MATCH(E20,Catalogue!$A$2:$A$24,0)))</f>
        <v/>
      </c>
      <c r="G20" s="10">
        <f>IF(E20=0,0,INDEX(Catalogue!$B$2:$B$24,MATCH(E20,Catalogue!$A$2:$A$24,0)))</f>
        <v/>
      </c>
      <c r="H20" s="10">
        <f>D20-G20</f>
        <v/>
      </c>
      <c r="I20" s="14">
        <f>B20+E20</f>
        <v/>
      </c>
      <c r="J20" s="14">
        <f>I20*Paramètres!$B$3*(1-Paramètres!$B$4)</f>
        <v/>
      </c>
      <c r="K20" s="10">
        <f>K19+C20</f>
        <v/>
      </c>
    </row>
    <row r="21">
      <c r="A21" s="11" t="n">
        <v>20</v>
      </c>
      <c r="B21" s="10">
        <f>I20</f>
        <v/>
      </c>
      <c r="C21" s="10">
        <f>B21*Paramètres!$B$3*(1-Paramètres!$B$4)</f>
        <v/>
      </c>
      <c r="D21" s="10">
        <f>H20+C21</f>
        <v/>
      </c>
      <c r="E21" s="13">
        <f>IFERROR(MAXIFS(Catalogue!$A$2:$A$24,Catalogue!$B$2:$B$24,"&lt;="&amp;D21),0)</f>
        <v/>
      </c>
      <c r="F21" s="11">
        <f>IF(E21=0,"—",INDEX(Catalogue!$C$2:$C$24,MATCH(E21,Catalogue!$A$2:$A$24,0)))</f>
        <v/>
      </c>
      <c r="G21" s="10">
        <f>IF(E21=0,0,INDEX(Catalogue!$B$2:$B$24,MATCH(E21,Catalogue!$A$2:$A$24,0)))</f>
        <v/>
      </c>
      <c r="H21" s="10">
        <f>D21-G21</f>
        <v/>
      </c>
      <c r="I21" s="14">
        <f>B21+E21</f>
        <v/>
      </c>
      <c r="J21" s="14">
        <f>I21*Paramètres!$B$3*(1-Paramètres!$B$4)</f>
        <v/>
      </c>
      <c r="K21" s="10">
        <f>K20+C21</f>
        <v/>
      </c>
    </row>
    <row r="22">
      <c r="A22" s="11" t="n">
        <v>21</v>
      </c>
      <c r="B22" s="10">
        <f>I21</f>
        <v/>
      </c>
      <c r="C22" s="10">
        <f>B22*Paramètres!$B$3*(1-Paramètres!$B$4)</f>
        <v/>
      </c>
      <c r="D22" s="10">
        <f>H21+C22</f>
        <v/>
      </c>
      <c r="E22" s="13">
        <f>IFERROR(MAXIFS(Catalogue!$A$2:$A$24,Catalogue!$B$2:$B$24,"&lt;="&amp;D22),0)</f>
        <v/>
      </c>
      <c r="F22" s="11">
        <f>IF(E22=0,"—",INDEX(Catalogue!$C$2:$C$24,MATCH(E22,Catalogue!$A$2:$A$24,0)))</f>
        <v/>
      </c>
      <c r="G22" s="10">
        <f>IF(E22=0,0,INDEX(Catalogue!$B$2:$B$24,MATCH(E22,Catalogue!$A$2:$A$24,0)))</f>
        <v/>
      </c>
      <c r="H22" s="10">
        <f>D22-G22</f>
        <v/>
      </c>
      <c r="I22" s="14">
        <f>B22+E22</f>
        <v/>
      </c>
      <c r="J22" s="14">
        <f>I22*Paramètres!$B$3*(1-Paramètres!$B$4)</f>
        <v/>
      </c>
      <c r="K22" s="10">
        <f>K21+C22</f>
        <v/>
      </c>
    </row>
    <row r="23">
      <c r="A23" s="11" t="n">
        <v>22</v>
      </c>
      <c r="B23" s="10">
        <f>I22</f>
        <v/>
      </c>
      <c r="C23" s="10">
        <f>B23*Paramètres!$B$3*(1-Paramètres!$B$4)</f>
        <v/>
      </c>
      <c r="D23" s="10">
        <f>H22+C23</f>
        <v/>
      </c>
      <c r="E23" s="13">
        <f>IFERROR(MAXIFS(Catalogue!$A$2:$A$24,Catalogue!$B$2:$B$24,"&lt;="&amp;D23),0)</f>
        <v/>
      </c>
      <c r="F23" s="11">
        <f>IF(E23=0,"—",INDEX(Catalogue!$C$2:$C$24,MATCH(E23,Catalogue!$A$2:$A$24,0)))</f>
        <v/>
      </c>
      <c r="G23" s="10">
        <f>IF(E23=0,0,INDEX(Catalogue!$B$2:$B$24,MATCH(E23,Catalogue!$A$2:$A$24,0)))</f>
        <v/>
      </c>
      <c r="H23" s="10">
        <f>D23-G23</f>
        <v/>
      </c>
      <c r="I23" s="14">
        <f>B23+E23</f>
        <v/>
      </c>
      <c r="J23" s="14">
        <f>I23*Paramètres!$B$3*(1-Paramètres!$B$4)</f>
        <v/>
      </c>
      <c r="K23" s="10">
        <f>K22+C23</f>
        <v/>
      </c>
    </row>
    <row r="24">
      <c r="A24" s="11" t="n">
        <v>23</v>
      </c>
      <c r="B24" s="10">
        <f>I23</f>
        <v/>
      </c>
      <c r="C24" s="10">
        <f>B24*Paramètres!$B$3*(1-Paramètres!$B$4)</f>
        <v/>
      </c>
      <c r="D24" s="10">
        <f>H23+C24</f>
        <v/>
      </c>
      <c r="E24" s="13">
        <f>IFERROR(MAXIFS(Catalogue!$A$2:$A$24,Catalogue!$B$2:$B$24,"&lt;="&amp;D24),0)</f>
        <v/>
      </c>
      <c r="F24" s="11">
        <f>IF(E24=0,"—",INDEX(Catalogue!$C$2:$C$24,MATCH(E24,Catalogue!$A$2:$A$24,0)))</f>
        <v/>
      </c>
      <c r="G24" s="10">
        <f>IF(E24=0,0,INDEX(Catalogue!$B$2:$B$24,MATCH(E24,Catalogue!$A$2:$A$24,0)))</f>
        <v/>
      </c>
      <c r="H24" s="10">
        <f>D24-G24</f>
        <v/>
      </c>
      <c r="I24" s="14">
        <f>B24+E24</f>
        <v/>
      </c>
      <c r="J24" s="14">
        <f>I24*Paramètres!$B$3*(1-Paramètres!$B$4)</f>
        <v/>
      </c>
      <c r="K24" s="10">
        <f>K23+C24</f>
        <v/>
      </c>
    </row>
    <row r="25">
      <c r="A25" s="11" t="n">
        <v>24</v>
      </c>
      <c r="B25" s="10">
        <f>I24</f>
        <v/>
      </c>
      <c r="C25" s="10">
        <f>B25*Paramètres!$B$3*(1-Paramètres!$B$4)</f>
        <v/>
      </c>
      <c r="D25" s="10">
        <f>H24+C25</f>
        <v/>
      </c>
      <c r="E25" s="13">
        <f>IFERROR(MAXIFS(Catalogue!$A$2:$A$24,Catalogue!$B$2:$B$24,"&lt;="&amp;D25),0)</f>
        <v/>
      </c>
      <c r="F25" s="11">
        <f>IF(E25=0,"—",INDEX(Catalogue!$C$2:$C$24,MATCH(E25,Catalogue!$A$2:$A$24,0)))</f>
        <v/>
      </c>
      <c r="G25" s="10">
        <f>IF(E25=0,0,INDEX(Catalogue!$B$2:$B$24,MATCH(E25,Catalogue!$A$2:$A$24,0)))</f>
        <v/>
      </c>
      <c r="H25" s="10">
        <f>D25-G25</f>
        <v/>
      </c>
      <c r="I25" s="14">
        <f>B25+E25</f>
        <v/>
      </c>
      <c r="J25" s="14">
        <f>I25*Paramètres!$B$3*(1-Paramètres!$B$4)</f>
        <v/>
      </c>
      <c r="K25" s="10">
        <f>K24+C25</f>
        <v/>
      </c>
    </row>
    <row r="26">
      <c r="A26" s="11" t="n">
        <v>25</v>
      </c>
      <c r="B26" s="10">
        <f>I25</f>
        <v/>
      </c>
      <c r="C26" s="10">
        <f>B26*Paramètres!$B$3*(1-Paramètres!$B$4)</f>
        <v/>
      </c>
      <c r="D26" s="10">
        <f>H25+C26</f>
        <v/>
      </c>
      <c r="E26" s="13">
        <f>IFERROR(MAXIFS(Catalogue!$A$2:$A$24,Catalogue!$B$2:$B$24,"&lt;="&amp;D26),0)</f>
        <v/>
      </c>
      <c r="F26" s="11">
        <f>IF(E26=0,"—",INDEX(Catalogue!$C$2:$C$24,MATCH(E26,Catalogue!$A$2:$A$24,0)))</f>
        <v/>
      </c>
      <c r="G26" s="10">
        <f>IF(E26=0,0,INDEX(Catalogue!$B$2:$B$24,MATCH(E26,Catalogue!$A$2:$A$24,0)))</f>
        <v/>
      </c>
      <c r="H26" s="10">
        <f>D26-G26</f>
        <v/>
      </c>
      <c r="I26" s="14">
        <f>B26+E26</f>
        <v/>
      </c>
      <c r="J26" s="14">
        <f>I26*Paramètres!$B$3*(1-Paramètres!$B$4)</f>
        <v/>
      </c>
      <c r="K26" s="10">
        <f>K25+C26</f>
        <v/>
      </c>
    </row>
    <row r="27">
      <c r="A27" s="11" t="n">
        <v>26</v>
      </c>
      <c r="B27" s="10">
        <f>I26</f>
        <v/>
      </c>
      <c r="C27" s="10">
        <f>B27*Paramètres!$B$3*(1-Paramètres!$B$4)</f>
        <v/>
      </c>
      <c r="D27" s="10">
        <f>H26+C27</f>
        <v/>
      </c>
      <c r="E27" s="13">
        <f>IFERROR(MAXIFS(Catalogue!$A$2:$A$24,Catalogue!$B$2:$B$24,"&lt;="&amp;D27),0)</f>
        <v/>
      </c>
      <c r="F27" s="11">
        <f>IF(E27=0,"—",INDEX(Catalogue!$C$2:$C$24,MATCH(E27,Catalogue!$A$2:$A$24,0)))</f>
        <v/>
      </c>
      <c r="G27" s="10">
        <f>IF(E27=0,0,INDEX(Catalogue!$B$2:$B$24,MATCH(E27,Catalogue!$A$2:$A$24,0)))</f>
        <v/>
      </c>
      <c r="H27" s="10">
        <f>D27-G27</f>
        <v/>
      </c>
      <c r="I27" s="14">
        <f>B27+E27</f>
        <v/>
      </c>
      <c r="J27" s="14">
        <f>I27*Paramètres!$B$3*(1-Paramètres!$B$4)</f>
        <v/>
      </c>
      <c r="K27" s="10">
        <f>K26+C27</f>
        <v/>
      </c>
    </row>
    <row r="28">
      <c r="A28" s="11" t="n">
        <v>27</v>
      </c>
      <c r="B28" s="10">
        <f>I27</f>
        <v/>
      </c>
      <c r="C28" s="10">
        <f>B28*Paramètres!$B$3*(1-Paramètres!$B$4)</f>
        <v/>
      </c>
      <c r="D28" s="10">
        <f>H27+C28</f>
        <v/>
      </c>
      <c r="E28" s="13">
        <f>IFERROR(MAXIFS(Catalogue!$A$2:$A$24,Catalogue!$B$2:$B$24,"&lt;="&amp;D28),0)</f>
        <v/>
      </c>
      <c r="F28" s="11">
        <f>IF(E28=0,"—",INDEX(Catalogue!$C$2:$C$24,MATCH(E28,Catalogue!$A$2:$A$24,0)))</f>
        <v/>
      </c>
      <c r="G28" s="10">
        <f>IF(E28=0,0,INDEX(Catalogue!$B$2:$B$24,MATCH(E28,Catalogue!$A$2:$A$24,0)))</f>
        <v/>
      </c>
      <c r="H28" s="10">
        <f>D28-G28</f>
        <v/>
      </c>
      <c r="I28" s="14">
        <f>B28+E28</f>
        <v/>
      </c>
      <c r="J28" s="14">
        <f>I28*Paramètres!$B$3*(1-Paramètres!$B$4)</f>
        <v/>
      </c>
      <c r="K28" s="10">
        <f>K27+C28</f>
        <v/>
      </c>
    </row>
    <row r="29">
      <c r="A29" s="11" t="n">
        <v>28</v>
      </c>
      <c r="B29" s="10">
        <f>I28</f>
        <v/>
      </c>
      <c r="C29" s="10">
        <f>B29*Paramètres!$B$3*(1-Paramètres!$B$4)</f>
        <v/>
      </c>
      <c r="D29" s="10">
        <f>H28+C29</f>
        <v/>
      </c>
      <c r="E29" s="13">
        <f>IFERROR(MAXIFS(Catalogue!$A$2:$A$24,Catalogue!$B$2:$B$24,"&lt;="&amp;D29),0)</f>
        <v/>
      </c>
      <c r="F29" s="11">
        <f>IF(E29=0,"—",INDEX(Catalogue!$C$2:$C$24,MATCH(E29,Catalogue!$A$2:$A$24,0)))</f>
        <v/>
      </c>
      <c r="G29" s="10">
        <f>IF(E29=0,0,INDEX(Catalogue!$B$2:$B$24,MATCH(E29,Catalogue!$A$2:$A$24,0)))</f>
        <v/>
      </c>
      <c r="H29" s="10">
        <f>D29-G29</f>
        <v/>
      </c>
      <c r="I29" s="14">
        <f>B29+E29</f>
        <v/>
      </c>
      <c r="J29" s="14">
        <f>I29*Paramètres!$B$3*(1-Paramètres!$B$4)</f>
        <v/>
      </c>
      <c r="K29" s="10">
        <f>K28+C29</f>
        <v/>
      </c>
    </row>
    <row r="30">
      <c r="A30" s="11" t="n">
        <v>29</v>
      </c>
      <c r="B30" s="10">
        <f>I29</f>
        <v/>
      </c>
      <c r="C30" s="10">
        <f>B30*Paramètres!$B$3*(1-Paramètres!$B$4)</f>
        <v/>
      </c>
      <c r="D30" s="10">
        <f>H29+C30</f>
        <v/>
      </c>
      <c r="E30" s="13">
        <f>IFERROR(MAXIFS(Catalogue!$A$2:$A$24,Catalogue!$B$2:$B$24,"&lt;="&amp;D30),0)</f>
        <v/>
      </c>
      <c r="F30" s="11">
        <f>IF(E30=0,"—",INDEX(Catalogue!$C$2:$C$24,MATCH(E30,Catalogue!$A$2:$A$24,0)))</f>
        <v/>
      </c>
      <c r="G30" s="10">
        <f>IF(E30=0,0,INDEX(Catalogue!$B$2:$B$24,MATCH(E30,Catalogue!$A$2:$A$24,0)))</f>
        <v/>
      </c>
      <c r="H30" s="10">
        <f>D30-G30</f>
        <v/>
      </c>
      <c r="I30" s="14">
        <f>B30+E30</f>
        <v/>
      </c>
      <c r="J30" s="14">
        <f>I30*Paramètres!$B$3*(1-Paramètres!$B$4)</f>
        <v/>
      </c>
      <c r="K30" s="10">
        <f>K29+C30</f>
        <v/>
      </c>
    </row>
    <row r="31">
      <c r="A31" s="11" t="n">
        <v>30</v>
      </c>
      <c r="B31" s="10">
        <f>I30</f>
        <v/>
      </c>
      <c r="C31" s="10">
        <f>B31*Paramètres!$B$3*(1-Paramètres!$B$4)</f>
        <v/>
      </c>
      <c r="D31" s="10">
        <f>H30+C31</f>
        <v/>
      </c>
      <c r="E31" s="13">
        <f>IFERROR(MAXIFS(Catalogue!$A$2:$A$24,Catalogue!$B$2:$B$24,"&lt;="&amp;D31),0)</f>
        <v/>
      </c>
      <c r="F31" s="11">
        <f>IF(E31=0,"—",INDEX(Catalogue!$C$2:$C$24,MATCH(E31,Catalogue!$A$2:$A$24,0)))</f>
        <v/>
      </c>
      <c r="G31" s="10">
        <f>IF(E31=0,0,INDEX(Catalogue!$B$2:$B$24,MATCH(E31,Catalogue!$A$2:$A$24,0)))</f>
        <v/>
      </c>
      <c r="H31" s="10">
        <f>D31-G31</f>
        <v/>
      </c>
      <c r="I31" s="14">
        <f>B31+E31</f>
        <v/>
      </c>
      <c r="J31" s="14">
        <f>I31*Paramètres!$B$3*(1-Paramètres!$B$4)</f>
        <v/>
      </c>
      <c r="K31" s="10">
        <f>K30+C31</f>
        <v/>
      </c>
    </row>
    <row r="32">
      <c r="A32" s="11" t="n">
        <v>31</v>
      </c>
      <c r="B32" s="10">
        <f>I31</f>
        <v/>
      </c>
      <c r="C32" s="10">
        <f>B32*Paramètres!$B$3*(1-Paramètres!$B$4)</f>
        <v/>
      </c>
      <c r="D32" s="10">
        <f>H31+C32</f>
        <v/>
      </c>
      <c r="E32" s="13">
        <f>IFERROR(MAXIFS(Catalogue!$A$2:$A$24,Catalogue!$B$2:$B$24,"&lt;="&amp;D32),0)</f>
        <v/>
      </c>
      <c r="F32" s="11">
        <f>IF(E32=0,"—",INDEX(Catalogue!$C$2:$C$24,MATCH(E32,Catalogue!$A$2:$A$24,0)))</f>
        <v/>
      </c>
      <c r="G32" s="10">
        <f>IF(E32=0,0,INDEX(Catalogue!$B$2:$B$24,MATCH(E32,Catalogue!$A$2:$A$24,0)))</f>
        <v/>
      </c>
      <c r="H32" s="10">
        <f>D32-G32</f>
        <v/>
      </c>
      <c r="I32" s="14">
        <f>B32+E32</f>
        <v/>
      </c>
      <c r="J32" s="14">
        <f>I32*Paramètres!$B$3*(1-Paramètres!$B$4)</f>
        <v/>
      </c>
      <c r="K32" s="10">
        <f>K31+C32</f>
        <v/>
      </c>
    </row>
    <row r="33">
      <c r="A33" s="11" t="n">
        <v>32</v>
      </c>
      <c r="B33" s="10">
        <f>I32</f>
        <v/>
      </c>
      <c r="C33" s="10">
        <f>B33*Paramètres!$B$3*(1-Paramètres!$B$4)</f>
        <v/>
      </c>
      <c r="D33" s="10">
        <f>H32+C33</f>
        <v/>
      </c>
      <c r="E33" s="13">
        <f>IFERROR(MAXIFS(Catalogue!$A$2:$A$24,Catalogue!$B$2:$B$24,"&lt;="&amp;D33),0)</f>
        <v/>
      </c>
      <c r="F33" s="11">
        <f>IF(E33=0,"—",INDEX(Catalogue!$C$2:$C$24,MATCH(E33,Catalogue!$A$2:$A$24,0)))</f>
        <v/>
      </c>
      <c r="G33" s="10">
        <f>IF(E33=0,0,INDEX(Catalogue!$B$2:$B$24,MATCH(E33,Catalogue!$A$2:$A$24,0)))</f>
        <v/>
      </c>
      <c r="H33" s="10">
        <f>D33-G33</f>
        <v/>
      </c>
      <c r="I33" s="14">
        <f>B33+E33</f>
        <v/>
      </c>
      <c r="J33" s="14">
        <f>I33*Paramètres!$B$3*(1-Paramètres!$B$4)</f>
        <v/>
      </c>
      <c r="K33" s="10">
        <f>K32+C33</f>
        <v/>
      </c>
    </row>
    <row r="34">
      <c r="A34" s="11" t="n">
        <v>33</v>
      </c>
      <c r="B34" s="10">
        <f>I33</f>
        <v/>
      </c>
      <c r="C34" s="10">
        <f>B34*Paramètres!$B$3*(1-Paramètres!$B$4)</f>
        <v/>
      </c>
      <c r="D34" s="10">
        <f>H33+C34</f>
        <v/>
      </c>
      <c r="E34" s="13">
        <f>IFERROR(MAXIFS(Catalogue!$A$2:$A$24,Catalogue!$B$2:$B$24,"&lt;="&amp;D34),0)</f>
        <v/>
      </c>
      <c r="F34" s="11">
        <f>IF(E34=0,"—",INDEX(Catalogue!$C$2:$C$24,MATCH(E34,Catalogue!$A$2:$A$24,0)))</f>
        <v/>
      </c>
      <c r="G34" s="10">
        <f>IF(E34=0,0,INDEX(Catalogue!$B$2:$B$24,MATCH(E34,Catalogue!$A$2:$A$24,0)))</f>
        <v/>
      </c>
      <c r="H34" s="10">
        <f>D34-G34</f>
        <v/>
      </c>
      <c r="I34" s="14">
        <f>B34+E34</f>
        <v/>
      </c>
      <c r="J34" s="14">
        <f>I34*Paramètres!$B$3*(1-Paramètres!$B$4)</f>
        <v/>
      </c>
      <c r="K34" s="10">
        <f>K33+C34</f>
        <v/>
      </c>
    </row>
    <row r="35">
      <c r="A35" s="11" t="n">
        <v>34</v>
      </c>
      <c r="B35" s="10">
        <f>I34</f>
        <v/>
      </c>
      <c r="C35" s="10">
        <f>B35*Paramètres!$B$3*(1-Paramètres!$B$4)</f>
        <v/>
      </c>
      <c r="D35" s="10">
        <f>H34+C35</f>
        <v/>
      </c>
      <c r="E35" s="13">
        <f>IFERROR(MAXIFS(Catalogue!$A$2:$A$24,Catalogue!$B$2:$B$24,"&lt;="&amp;D35),0)</f>
        <v/>
      </c>
      <c r="F35" s="11">
        <f>IF(E35=0,"—",INDEX(Catalogue!$C$2:$C$24,MATCH(E35,Catalogue!$A$2:$A$24,0)))</f>
        <v/>
      </c>
      <c r="G35" s="10">
        <f>IF(E35=0,0,INDEX(Catalogue!$B$2:$B$24,MATCH(E35,Catalogue!$A$2:$A$24,0)))</f>
        <v/>
      </c>
      <c r="H35" s="10">
        <f>D35-G35</f>
        <v/>
      </c>
      <c r="I35" s="14">
        <f>B35+E35</f>
        <v/>
      </c>
      <c r="J35" s="14">
        <f>I35*Paramètres!$B$3*(1-Paramètres!$B$4)</f>
        <v/>
      </c>
      <c r="K35" s="10">
        <f>K34+C35</f>
        <v/>
      </c>
    </row>
    <row r="36">
      <c r="A36" s="11" t="n">
        <v>35</v>
      </c>
      <c r="B36" s="10">
        <f>I35</f>
        <v/>
      </c>
      <c r="C36" s="10">
        <f>B36*Paramètres!$B$3*(1-Paramètres!$B$4)</f>
        <v/>
      </c>
      <c r="D36" s="10">
        <f>H35+C36</f>
        <v/>
      </c>
      <c r="E36" s="13">
        <f>IFERROR(MAXIFS(Catalogue!$A$2:$A$24,Catalogue!$B$2:$B$24,"&lt;="&amp;D36),0)</f>
        <v/>
      </c>
      <c r="F36" s="11">
        <f>IF(E36=0,"—",INDEX(Catalogue!$C$2:$C$24,MATCH(E36,Catalogue!$A$2:$A$24,0)))</f>
        <v/>
      </c>
      <c r="G36" s="10">
        <f>IF(E36=0,0,INDEX(Catalogue!$B$2:$B$24,MATCH(E36,Catalogue!$A$2:$A$24,0)))</f>
        <v/>
      </c>
      <c r="H36" s="10">
        <f>D36-G36</f>
        <v/>
      </c>
      <c r="I36" s="14">
        <f>B36+E36</f>
        <v/>
      </c>
      <c r="J36" s="14">
        <f>I36*Paramètres!$B$3*(1-Paramètres!$B$4)</f>
        <v/>
      </c>
      <c r="K36" s="10">
        <f>K35+C36</f>
        <v/>
      </c>
    </row>
    <row r="37">
      <c r="A37" s="11" t="n">
        <v>36</v>
      </c>
      <c r="B37" s="10">
        <f>I36</f>
        <v/>
      </c>
      <c r="C37" s="10">
        <f>B37*Paramètres!$B$3*(1-Paramètres!$B$4)</f>
        <v/>
      </c>
      <c r="D37" s="10">
        <f>H36+C37</f>
        <v/>
      </c>
      <c r="E37" s="13">
        <f>IFERROR(MAXIFS(Catalogue!$A$2:$A$24,Catalogue!$B$2:$B$24,"&lt;="&amp;D37),0)</f>
        <v/>
      </c>
      <c r="F37" s="11">
        <f>IF(E37=0,"—",INDEX(Catalogue!$C$2:$C$24,MATCH(E37,Catalogue!$A$2:$A$24,0)))</f>
        <v/>
      </c>
      <c r="G37" s="10">
        <f>IF(E37=0,0,INDEX(Catalogue!$B$2:$B$24,MATCH(E37,Catalogue!$A$2:$A$24,0)))</f>
        <v/>
      </c>
      <c r="H37" s="10">
        <f>D37-G37</f>
        <v/>
      </c>
      <c r="I37" s="14">
        <f>B37+E37</f>
        <v/>
      </c>
      <c r="J37" s="14">
        <f>I37*Paramètres!$B$3*(1-Paramètres!$B$4)</f>
        <v/>
      </c>
      <c r="K37" s="10">
        <f>K36+C37</f>
        <v/>
      </c>
    </row>
    <row r="38">
      <c r="A38" s="11" t="n">
        <v>37</v>
      </c>
      <c r="B38" s="10">
        <f>I37</f>
        <v/>
      </c>
      <c r="C38" s="10">
        <f>B38*Paramètres!$B$3*(1-Paramètres!$B$4)</f>
        <v/>
      </c>
      <c r="D38" s="10">
        <f>H37+C38</f>
        <v/>
      </c>
      <c r="E38" s="13">
        <f>IFERROR(MAXIFS(Catalogue!$A$2:$A$24,Catalogue!$B$2:$B$24,"&lt;="&amp;D38),0)</f>
        <v/>
      </c>
      <c r="F38" s="11">
        <f>IF(E38=0,"—",INDEX(Catalogue!$C$2:$C$24,MATCH(E38,Catalogue!$A$2:$A$24,0)))</f>
        <v/>
      </c>
      <c r="G38" s="10">
        <f>IF(E38=0,0,INDEX(Catalogue!$B$2:$B$24,MATCH(E38,Catalogue!$A$2:$A$24,0)))</f>
        <v/>
      </c>
      <c r="H38" s="10">
        <f>D38-G38</f>
        <v/>
      </c>
      <c r="I38" s="14">
        <f>B38+E38</f>
        <v/>
      </c>
      <c r="J38" s="14">
        <f>I38*Paramètres!$B$3*(1-Paramètres!$B$4)</f>
        <v/>
      </c>
      <c r="K38" s="10">
        <f>K37+C38</f>
        <v/>
      </c>
    </row>
    <row r="39">
      <c r="A39" s="11" t="n">
        <v>38</v>
      </c>
      <c r="B39" s="10">
        <f>I38</f>
        <v/>
      </c>
      <c r="C39" s="10">
        <f>B39*Paramètres!$B$3*(1-Paramètres!$B$4)</f>
        <v/>
      </c>
      <c r="D39" s="10">
        <f>H38+C39</f>
        <v/>
      </c>
      <c r="E39" s="13">
        <f>IFERROR(MAXIFS(Catalogue!$A$2:$A$24,Catalogue!$B$2:$B$24,"&lt;="&amp;D39),0)</f>
        <v/>
      </c>
      <c r="F39" s="11">
        <f>IF(E39=0,"—",INDEX(Catalogue!$C$2:$C$24,MATCH(E39,Catalogue!$A$2:$A$24,0)))</f>
        <v/>
      </c>
      <c r="G39" s="10">
        <f>IF(E39=0,0,INDEX(Catalogue!$B$2:$B$24,MATCH(E39,Catalogue!$A$2:$A$24,0)))</f>
        <v/>
      </c>
      <c r="H39" s="10">
        <f>D39-G39</f>
        <v/>
      </c>
      <c r="I39" s="14">
        <f>B39+E39</f>
        <v/>
      </c>
      <c r="J39" s="14">
        <f>I39*Paramètres!$B$3*(1-Paramètres!$B$4)</f>
        <v/>
      </c>
      <c r="K39" s="10">
        <f>K38+C39</f>
        <v/>
      </c>
    </row>
    <row r="40">
      <c r="A40" s="11" t="n">
        <v>39</v>
      </c>
      <c r="B40" s="10">
        <f>I39</f>
        <v/>
      </c>
      <c r="C40" s="10">
        <f>B40*Paramètres!$B$3*(1-Paramètres!$B$4)</f>
        <v/>
      </c>
      <c r="D40" s="10">
        <f>H39+C40</f>
        <v/>
      </c>
      <c r="E40" s="13">
        <f>IFERROR(MAXIFS(Catalogue!$A$2:$A$24,Catalogue!$B$2:$B$24,"&lt;="&amp;D40),0)</f>
        <v/>
      </c>
      <c r="F40" s="11">
        <f>IF(E40=0,"—",INDEX(Catalogue!$C$2:$C$24,MATCH(E40,Catalogue!$A$2:$A$24,0)))</f>
        <v/>
      </c>
      <c r="G40" s="10">
        <f>IF(E40=0,0,INDEX(Catalogue!$B$2:$B$24,MATCH(E40,Catalogue!$A$2:$A$24,0)))</f>
        <v/>
      </c>
      <c r="H40" s="10">
        <f>D40-G40</f>
        <v/>
      </c>
      <c r="I40" s="14">
        <f>B40+E40</f>
        <v/>
      </c>
      <c r="J40" s="14">
        <f>I40*Paramètres!$B$3*(1-Paramètres!$B$4)</f>
        <v/>
      </c>
      <c r="K40" s="10">
        <f>K39+C40</f>
        <v/>
      </c>
    </row>
    <row r="41">
      <c r="A41" s="11" t="n">
        <v>40</v>
      </c>
      <c r="B41" s="10">
        <f>I40</f>
        <v/>
      </c>
      <c r="C41" s="10">
        <f>B41*Paramètres!$B$3*(1-Paramètres!$B$4)</f>
        <v/>
      </c>
      <c r="D41" s="10">
        <f>H40+C41</f>
        <v/>
      </c>
      <c r="E41" s="13">
        <f>IFERROR(MAXIFS(Catalogue!$A$2:$A$24,Catalogue!$B$2:$B$24,"&lt;="&amp;D41),0)</f>
        <v/>
      </c>
      <c r="F41" s="11">
        <f>IF(E41=0,"—",INDEX(Catalogue!$C$2:$C$24,MATCH(E41,Catalogue!$A$2:$A$24,0)))</f>
        <v/>
      </c>
      <c r="G41" s="10">
        <f>IF(E41=0,0,INDEX(Catalogue!$B$2:$B$24,MATCH(E41,Catalogue!$A$2:$A$24,0)))</f>
        <v/>
      </c>
      <c r="H41" s="10">
        <f>D41-G41</f>
        <v/>
      </c>
      <c r="I41" s="14">
        <f>B41+E41</f>
        <v/>
      </c>
      <c r="J41" s="14">
        <f>I41*Paramètres!$B$3*(1-Paramètres!$B$4)</f>
        <v/>
      </c>
      <c r="K41" s="10">
        <f>K40+C41</f>
        <v/>
      </c>
    </row>
    <row r="42">
      <c r="A42" s="11" t="n">
        <v>41</v>
      </c>
      <c r="B42" s="10">
        <f>I41</f>
        <v/>
      </c>
      <c r="C42" s="10">
        <f>B42*Paramètres!$B$3*(1-Paramètres!$B$4)</f>
        <v/>
      </c>
      <c r="D42" s="10">
        <f>H41+C42</f>
        <v/>
      </c>
      <c r="E42" s="13">
        <f>IFERROR(MAXIFS(Catalogue!$A$2:$A$24,Catalogue!$B$2:$B$24,"&lt;="&amp;D42),0)</f>
        <v/>
      </c>
      <c r="F42" s="11">
        <f>IF(E42=0,"—",INDEX(Catalogue!$C$2:$C$24,MATCH(E42,Catalogue!$A$2:$A$24,0)))</f>
        <v/>
      </c>
      <c r="G42" s="10">
        <f>IF(E42=0,0,INDEX(Catalogue!$B$2:$B$24,MATCH(E42,Catalogue!$A$2:$A$24,0)))</f>
        <v/>
      </c>
      <c r="H42" s="10">
        <f>D42-G42</f>
        <v/>
      </c>
      <c r="I42" s="14">
        <f>B42+E42</f>
        <v/>
      </c>
      <c r="J42" s="14">
        <f>I42*Paramètres!$B$3*(1-Paramètres!$B$4)</f>
        <v/>
      </c>
      <c r="K42" s="10">
        <f>K41+C42</f>
        <v/>
      </c>
    </row>
    <row r="43">
      <c r="A43" s="11" t="n">
        <v>42</v>
      </c>
      <c r="B43" s="10">
        <f>I42</f>
        <v/>
      </c>
      <c r="C43" s="10">
        <f>B43*Paramètres!$B$3*(1-Paramètres!$B$4)</f>
        <v/>
      </c>
      <c r="D43" s="10">
        <f>H42+C43</f>
        <v/>
      </c>
      <c r="E43" s="13">
        <f>IFERROR(MAXIFS(Catalogue!$A$2:$A$24,Catalogue!$B$2:$B$24,"&lt;="&amp;D43),0)</f>
        <v/>
      </c>
      <c r="F43" s="11">
        <f>IF(E43=0,"—",INDEX(Catalogue!$C$2:$C$24,MATCH(E43,Catalogue!$A$2:$A$24,0)))</f>
        <v/>
      </c>
      <c r="G43" s="10">
        <f>IF(E43=0,0,INDEX(Catalogue!$B$2:$B$24,MATCH(E43,Catalogue!$A$2:$A$24,0)))</f>
        <v/>
      </c>
      <c r="H43" s="10">
        <f>D43-G43</f>
        <v/>
      </c>
      <c r="I43" s="14">
        <f>B43+E43</f>
        <v/>
      </c>
      <c r="J43" s="14">
        <f>I43*Paramètres!$B$3*(1-Paramètres!$B$4)</f>
        <v/>
      </c>
      <c r="K43" s="10">
        <f>K42+C43</f>
        <v/>
      </c>
    </row>
    <row r="44">
      <c r="A44" s="11" t="n">
        <v>43</v>
      </c>
      <c r="B44" s="10">
        <f>I43</f>
        <v/>
      </c>
      <c r="C44" s="10">
        <f>B44*Paramètres!$B$3*(1-Paramètres!$B$4)</f>
        <v/>
      </c>
      <c r="D44" s="10">
        <f>H43+C44</f>
        <v/>
      </c>
      <c r="E44" s="13">
        <f>IFERROR(MAXIFS(Catalogue!$A$2:$A$24,Catalogue!$B$2:$B$24,"&lt;="&amp;D44),0)</f>
        <v/>
      </c>
      <c r="F44" s="11">
        <f>IF(E44=0,"—",INDEX(Catalogue!$C$2:$C$24,MATCH(E44,Catalogue!$A$2:$A$24,0)))</f>
        <v/>
      </c>
      <c r="G44" s="10">
        <f>IF(E44=0,0,INDEX(Catalogue!$B$2:$B$24,MATCH(E44,Catalogue!$A$2:$A$24,0)))</f>
        <v/>
      </c>
      <c r="H44" s="10">
        <f>D44-G44</f>
        <v/>
      </c>
      <c r="I44" s="14">
        <f>B44+E44</f>
        <v/>
      </c>
      <c r="J44" s="14">
        <f>I44*Paramètres!$B$3*(1-Paramètres!$B$4)</f>
        <v/>
      </c>
      <c r="K44" s="10">
        <f>K43+C44</f>
        <v/>
      </c>
    </row>
    <row r="45">
      <c r="A45" s="11" t="n">
        <v>44</v>
      </c>
      <c r="B45" s="10">
        <f>I44</f>
        <v/>
      </c>
      <c r="C45" s="10">
        <f>B45*Paramètres!$B$3*(1-Paramètres!$B$4)</f>
        <v/>
      </c>
      <c r="D45" s="10">
        <f>H44+C45</f>
        <v/>
      </c>
      <c r="E45" s="13">
        <f>IFERROR(MAXIFS(Catalogue!$A$2:$A$24,Catalogue!$B$2:$B$24,"&lt;="&amp;D45),0)</f>
        <v/>
      </c>
      <c r="F45" s="11">
        <f>IF(E45=0,"—",INDEX(Catalogue!$C$2:$C$24,MATCH(E45,Catalogue!$A$2:$A$24,0)))</f>
        <v/>
      </c>
      <c r="G45" s="10">
        <f>IF(E45=0,0,INDEX(Catalogue!$B$2:$B$24,MATCH(E45,Catalogue!$A$2:$A$24,0)))</f>
        <v/>
      </c>
      <c r="H45" s="10">
        <f>D45-G45</f>
        <v/>
      </c>
      <c r="I45" s="14">
        <f>B45+E45</f>
        <v/>
      </c>
      <c r="J45" s="14">
        <f>I45*Paramètres!$B$3*(1-Paramètres!$B$4)</f>
        <v/>
      </c>
      <c r="K45" s="10">
        <f>K44+C45</f>
        <v/>
      </c>
    </row>
    <row r="46">
      <c r="A46" s="11" t="n">
        <v>45</v>
      </c>
      <c r="B46" s="10">
        <f>I45</f>
        <v/>
      </c>
      <c r="C46" s="10">
        <f>B46*Paramètres!$B$3*(1-Paramètres!$B$4)</f>
        <v/>
      </c>
      <c r="D46" s="10">
        <f>H45+C46</f>
        <v/>
      </c>
      <c r="E46" s="13">
        <f>IFERROR(MAXIFS(Catalogue!$A$2:$A$24,Catalogue!$B$2:$B$24,"&lt;="&amp;D46),0)</f>
        <v/>
      </c>
      <c r="F46" s="11">
        <f>IF(E46=0,"—",INDEX(Catalogue!$C$2:$C$24,MATCH(E46,Catalogue!$A$2:$A$24,0)))</f>
        <v/>
      </c>
      <c r="G46" s="10">
        <f>IF(E46=0,0,INDEX(Catalogue!$B$2:$B$24,MATCH(E46,Catalogue!$A$2:$A$24,0)))</f>
        <v/>
      </c>
      <c r="H46" s="10">
        <f>D46-G46</f>
        <v/>
      </c>
      <c r="I46" s="14">
        <f>B46+E46</f>
        <v/>
      </c>
      <c r="J46" s="14">
        <f>I46*Paramètres!$B$3*(1-Paramètres!$B$4)</f>
        <v/>
      </c>
      <c r="K46" s="10">
        <f>K45+C46</f>
        <v/>
      </c>
    </row>
    <row r="47">
      <c r="A47" s="11" t="n">
        <v>46</v>
      </c>
      <c r="B47" s="10">
        <f>I46</f>
        <v/>
      </c>
      <c r="C47" s="10">
        <f>B47*Paramètres!$B$3*(1-Paramètres!$B$4)</f>
        <v/>
      </c>
      <c r="D47" s="10">
        <f>H46+C47</f>
        <v/>
      </c>
      <c r="E47" s="13">
        <f>IFERROR(MAXIFS(Catalogue!$A$2:$A$24,Catalogue!$B$2:$B$24,"&lt;="&amp;D47),0)</f>
        <v/>
      </c>
      <c r="F47" s="11">
        <f>IF(E47=0,"—",INDEX(Catalogue!$C$2:$C$24,MATCH(E47,Catalogue!$A$2:$A$24,0)))</f>
        <v/>
      </c>
      <c r="G47" s="10">
        <f>IF(E47=0,0,INDEX(Catalogue!$B$2:$B$24,MATCH(E47,Catalogue!$A$2:$A$24,0)))</f>
        <v/>
      </c>
      <c r="H47" s="10">
        <f>D47-G47</f>
        <v/>
      </c>
      <c r="I47" s="14">
        <f>B47+E47</f>
        <v/>
      </c>
      <c r="J47" s="14">
        <f>I47*Paramètres!$B$3*(1-Paramètres!$B$4)</f>
        <v/>
      </c>
      <c r="K47" s="10">
        <f>K46+C47</f>
        <v/>
      </c>
    </row>
    <row r="48">
      <c r="A48" s="11" t="n">
        <v>47</v>
      </c>
      <c r="B48" s="10">
        <f>I47</f>
        <v/>
      </c>
      <c r="C48" s="10">
        <f>B48*Paramètres!$B$3*(1-Paramètres!$B$4)</f>
        <v/>
      </c>
      <c r="D48" s="10">
        <f>H47+C48</f>
        <v/>
      </c>
      <c r="E48" s="13">
        <f>IFERROR(MAXIFS(Catalogue!$A$2:$A$24,Catalogue!$B$2:$B$24,"&lt;="&amp;D48),0)</f>
        <v/>
      </c>
      <c r="F48" s="11">
        <f>IF(E48=0,"—",INDEX(Catalogue!$C$2:$C$24,MATCH(E48,Catalogue!$A$2:$A$24,0)))</f>
        <v/>
      </c>
      <c r="G48" s="10">
        <f>IF(E48=0,0,INDEX(Catalogue!$B$2:$B$24,MATCH(E48,Catalogue!$A$2:$A$24,0)))</f>
        <v/>
      </c>
      <c r="H48" s="10">
        <f>D48-G48</f>
        <v/>
      </c>
      <c r="I48" s="14">
        <f>B48+E48</f>
        <v/>
      </c>
      <c r="J48" s="14">
        <f>I48*Paramètres!$B$3*(1-Paramètres!$B$4)</f>
        <v/>
      </c>
      <c r="K48" s="10">
        <f>K47+C48</f>
        <v/>
      </c>
    </row>
    <row r="49">
      <c r="A49" s="11" t="n">
        <v>48</v>
      </c>
      <c r="B49" s="10">
        <f>I48</f>
        <v/>
      </c>
      <c r="C49" s="10">
        <f>B49*Paramètres!$B$3*(1-Paramètres!$B$4)</f>
        <v/>
      </c>
      <c r="D49" s="10">
        <f>H48+C49</f>
        <v/>
      </c>
      <c r="E49" s="13">
        <f>IFERROR(MAXIFS(Catalogue!$A$2:$A$24,Catalogue!$B$2:$B$24,"&lt;="&amp;D49),0)</f>
        <v/>
      </c>
      <c r="F49" s="11">
        <f>IF(E49=0,"—",INDEX(Catalogue!$C$2:$C$24,MATCH(E49,Catalogue!$A$2:$A$24,0)))</f>
        <v/>
      </c>
      <c r="G49" s="10">
        <f>IF(E49=0,0,INDEX(Catalogue!$B$2:$B$24,MATCH(E49,Catalogue!$A$2:$A$24,0)))</f>
        <v/>
      </c>
      <c r="H49" s="10">
        <f>D49-G49</f>
        <v/>
      </c>
      <c r="I49" s="14">
        <f>B49+E49</f>
        <v/>
      </c>
      <c r="J49" s="14">
        <f>I49*Paramètres!$B$3*(1-Paramètres!$B$4)</f>
        <v/>
      </c>
      <c r="K49" s="10">
        <f>K48+C49</f>
        <v/>
      </c>
    </row>
    <row r="50">
      <c r="A50" s="11" t="n">
        <v>49</v>
      </c>
      <c r="B50" s="10">
        <f>I49</f>
        <v/>
      </c>
      <c r="C50" s="10">
        <f>B50*Paramètres!$B$3*(1-Paramètres!$B$4)</f>
        <v/>
      </c>
      <c r="D50" s="10">
        <f>H49+C50</f>
        <v/>
      </c>
      <c r="E50" s="13">
        <f>IFERROR(MAXIFS(Catalogue!$A$2:$A$24,Catalogue!$B$2:$B$24,"&lt;="&amp;D50),0)</f>
        <v/>
      </c>
      <c r="F50" s="11">
        <f>IF(E50=0,"—",INDEX(Catalogue!$C$2:$C$24,MATCH(E50,Catalogue!$A$2:$A$24,0)))</f>
        <v/>
      </c>
      <c r="G50" s="10">
        <f>IF(E50=0,0,INDEX(Catalogue!$B$2:$B$24,MATCH(E50,Catalogue!$A$2:$A$24,0)))</f>
        <v/>
      </c>
      <c r="H50" s="10">
        <f>D50-G50</f>
        <v/>
      </c>
      <c r="I50" s="14">
        <f>B50+E50</f>
        <v/>
      </c>
      <c r="J50" s="14">
        <f>I50*Paramètres!$B$3*(1-Paramètres!$B$4)</f>
        <v/>
      </c>
      <c r="K50" s="10">
        <f>K49+C50</f>
        <v/>
      </c>
    </row>
    <row r="51">
      <c r="A51" s="11" t="n">
        <v>50</v>
      </c>
      <c r="B51" s="10">
        <f>I50</f>
        <v/>
      </c>
      <c r="C51" s="10">
        <f>B51*Paramètres!$B$3*(1-Paramètres!$B$4)</f>
        <v/>
      </c>
      <c r="D51" s="10">
        <f>H50+C51</f>
        <v/>
      </c>
      <c r="E51" s="13">
        <f>IFERROR(MAXIFS(Catalogue!$A$2:$A$24,Catalogue!$B$2:$B$24,"&lt;="&amp;D51),0)</f>
        <v/>
      </c>
      <c r="F51" s="11">
        <f>IF(E51=0,"—",INDEX(Catalogue!$C$2:$C$24,MATCH(E51,Catalogue!$A$2:$A$24,0)))</f>
        <v/>
      </c>
      <c r="G51" s="10">
        <f>IF(E51=0,0,INDEX(Catalogue!$B$2:$B$24,MATCH(E51,Catalogue!$A$2:$A$24,0)))</f>
        <v/>
      </c>
      <c r="H51" s="10">
        <f>D51-G51</f>
        <v/>
      </c>
      <c r="I51" s="14">
        <f>B51+E51</f>
        <v/>
      </c>
      <c r="J51" s="14">
        <f>I51*Paramètres!$B$3*(1-Paramètres!$B$4)</f>
        <v/>
      </c>
      <c r="K51" s="10">
        <f>K50+C51</f>
        <v/>
      </c>
    </row>
    <row r="52">
      <c r="A52" s="11" t="n">
        <v>51</v>
      </c>
      <c r="B52" s="10">
        <f>I51</f>
        <v/>
      </c>
      <c r="C52" s="10">
        <f>B52*Paramètres!$B$3*(1-Paramètres!$B$4)</f>
        <v/>
      </c>
      <c r="D52" s="10">
        <f>H51+C52</f>
        <v/>
      </c>
      <c r="E52" s="13">
        <f>IFERROR(MAXIFS(Catalogue!$A$2:$A$24,Catalogue!$B$2:$B$24,"&lt;="&amp;D52),0)</f>
        <v/>
      </c>
      <c r="F52" s="11">
        <f>IF(E52=0,"—",INDEX(Catalogue!$C$2:$C$24,MATCH(E52,Catalogue!$A$2:$A$24,0)))</f>
        <v/>
      </c>
      <c r="G52" s="10">
        <f>IF(E52=0,0,INDEX(Catalogue!$B$2:$B$24,MATCH(E52,Catalogue!$A$2:$A$24,0)))</f>
        <v/>
      </c>
      <c r="H52" s="10">
        <f>D52-G52</f>
        <v/>
      </c>
      <c r="I52" s="14">
        <f>B52+E52</f>
        <v/>
      </c>
      <c r="J52" s="14">
        <f>I52*Paramètres!$B$3*(1-Paramètres!$B$4)</f>
        <v/>
      </c>
      <c r="K52" s="10">
        <f>K51+C52</f>
        <v/>
      </c>
    </row>
    <row r="53">
      <c r="A53" s="11" t="n">
        <v>52</v>
      </c>
      <c r="B53" s="10">
        <f>I52</f>
        <v/>
      </c>
      <c r="C53" s="10">
        <f>B53*Paramètres!$B$3*(1-Paramètres!$B$4)</f>
        <v/>
      </c>
      <c r="D53" s="10">
        <f>H52+C53</f>
        <v/>
      </c>
      <c r="E53" s="13">
        <f>IFERROR(MAXIFS(Catalogue!$A$2:$A$24,Catalogue!$B$2:$B$24,"&lt;="&amp;D53),0)</f>
        <v/>
      </c>
      <c r="F53" s="11">
        <f>IF(E53=0,"—",INDEX(Catalogue!$C$2:$C$24,MATCH(E53,Catalogue!$A$2:$A$24,0)))</f>
        <v/>
      </c>
      <c r="G53" s="10">
        <f>IF(E53=0,0,INDEX(Catalogue!$B$2:$B$24,MATCH(E53,Catalogue!$A$2:$A$24,0)))</f>
        <v/>
      </c>
      <c r="H53" s="10">
        <f>D53-G53</f>
        <v/>
      </c>
      <c r="I53" s="14">
        <f>B53+E53</f>
        <v/>
      </c>
      <c r="J53" s="14">
        <f>I53*Paramètres!$B$3*(1-Paramètres!$B$4)</f>
        <v/>
      </c>
      <c r="K53" s="10">
        <f>K52+C53</f>
        <v/>
      </c>
    </row>
    <row r="54">
      <c r="A54" s="11" t="n">
        <v>53</v>
      </c>
      <c r="B54" s="10">
        <f>I53</f>
        <v/>
      </c>
      <c r="C54" s="10">
        <f>B54*Paramètres!$B$3*(1-Paramètres!$B$4)</f>
        <v/>
      </c>
      <c r="D54" s="10">
        <f>H53+C54</f>
        <v/>
      </c>
      <c r="E54" s="13">
        <f>IFERROR(MAXIFS(Catalogue!$A$2:$A$24,Catalogue!$B$2:$B$24,"&lt;="&amp;D54),0)</f>
        <v/>
      </c>
      <c r="F54" s="11">
        <f>IF(E54=0,"—",INDEX(Catalogue!$C$2:$C$24,MATCH(E54,Catalogue!$A$2:$A$24,0)))</f>
        <v/>
      </c>
      <c r="G54" s="10">
        <f>IF(E54=0,0,INDEX(Catalogue!$B$2:$B$24,MATCH(E54,Catalogue!$A$2:$A$24,0)))</f>
        <v/>
      </c>
      <c r="H54" s="10">
        <f>D54-G54</f>
        <v/>
      </c>
      <c r="I54" s="14">
        <f>B54+E54</f>
        <v/>
      </c>
      <c r="J54" s="14">
        <f>I54*Paramètres!$B$3*(1-Paramètres!$B$4)</f>
        <v/>
      </c>
      <c r="K54" s="10">
        <f>K53+C54</f>
        <v/>
      </c>
    </row>
    <row r="55">
      <c r="A55" s="11" t="n">
        <v>54</v>
      </c>
      <c r="B55" s="10">
        <f>I54</f>
        <v/>
      </c>
      <c r="C55" s="10">
        <f>B55*Paramètres!$B$3*(1-Paramètres!$B$4)</f>
        <v/>
      </c>
      <c r="D55" s="10">
        <f>H54+C55</f>
        <v/>
      </c>
      <c r="E55" s="13">
        <f>IFERROR(MAXIFS(Catalogue!$A$2:$A$24,Catalogue!$B$2:$B$24,"&lt;="&amp;D55),0)</f>
        <v/>
      </c>
      <c r="F55" s="11">
        <f>IF(E55=0,"—",INDEX(Catalogue!$C$2:$C$24,MATCH(E55,Catalogue!$A$2:$A$24,0)))</f>
        <v/>
      </c>
      <c r="G55" s="10">
        <f>IF(E55=0,0,INDEX(Catalogue!$B$2:$B$24,MATCH(E55,Catalogue!$A$2:$A$24,0)))</f>
        <v/>
      </c>
      <c r="H55" s="10">
        <f>D55-G55</f>
        <v/>
      </c>
      <c r="I55" s="14">
        <f>B55+E55</f>
        <v/>
      </c>
      <c r="J55" s="14">
        <f>I55*Paramètres!$B$3*(1-Paramètres!$B$4)</f>
        <v/>
      </c>
      <c r="K55" s="10">
        <f>K54+C55</f>
        <v/>
      </c>
    </row>
    <row r="56">
      <c r="A56" s="11" t="n">
        <v>55</v>
      </c>
      <c r="B56" s="10">
        <f>I55</f>
        <v/>
      </c>
      <c r="C56" s="10">
        <f>B56*Paramètres!$B$3*(1-Paramètres!$B$4)</f>
        <v/>
      </c>
      <c r="D56" s="10">
        <f>H55+C56</f>
        <v/>
      </c>
      <c r="E56" s="13">
        <f>IFERROR(MAXIFS(Catalogue!$A$2:$A$24,Catalogue!$B$2:$B$24,"&lt;="&amp;D56),0)</f>
        <v/>
      </c>
      <c r="F56" s="11">
        <f>IF(E56=0,"—",INDEX(Catalogue!$C$2:$C$24,MATCH(E56,Catalogue!$A$2:$A$24,0)))</f>
        <v/>
      </c>
      <c r="G56" s="10">
        <f>IF(E56=0,0,INDEX(Catalogue!$B$2:$B$24,MATCH(E56,Catalogue!$A$2:$A$24,0)))</f>
        <v/>
      </c>
      <c r="H56" s="10">
        <f>D56-G56</f>
        <v/>
      </c>
      <c r="I56" s="14">
        <f>B56+E56</f>
        <v/>
      </c>
      <c r="J56" s="14">
        <f>I56*Paramètres!$B$3*(1-Paramètres!$B$4)</f>
        <v/>
      </c>
      <c r="K56" s="10">
        <f>K55+C56</f>
        <v/>
      </c>
    </row>
    <row r="57">
      <c r="A57" s="11" t="n">
        <v>56</v>
      </c>
      <c r="B57" s="10">
        <f>I56</f>
        <v/>
      </c>
      <c r="C57" s="10">
        <f>B57*Paramètres!$B$3*(1-Paramètres!$B$4)</f>
        <v/>
      </c>
      <c r="D57" s="10">
        <f>H56+C57</f>
        <v/>
      </c>
      <c r="E57" s="13">
        <f>IFERROR(MAXIFS(Catalogue!$A$2:$A$24,Catalogue!$B$2:$B$24,"&lt;="&amp;D57),0)</f>
        <v/>
      </c>
      <c r="F57" s="11">
        <f>IF(E57=0,"—",INDEX(Catalogue!$C$2:$C$24,MATCH(E57,Catalogue!$A$2:$A$24,0)))</f>
        <v/>
      </c>
      <c r="G57" s="10">
        <f>IF(E57=0,0,INDEX(Catalogue!$B$2:$B$24,MATCH(E57,Catalogue!$A$2:$A$24,0)))</f>
        <v/>
      </c>
      <c r="H57" s="10">
        <f>D57-G57</f>
        <v/>
      </c>
      <c r="I57" s="14">
        <f>B57+E57</f>
        <v/>
      </c>
      <c r="J57" s="14">
        <f>I57*Paramètres!$B$3*(1-Paramètres!$B$4)</f>
        <v/>
      </c>
      <c r="K57" s="10">
        <f>K56+C57</f>
        <v/>
      </c>
    </row>
    <row r="58">
      <c r="A58" s="11" t="n">
        <v>57</v>
      </c>
      <c r="B58" s="10">
        <f>I57</f>
        <v/>
      </c>
      <c r="C58" s="10">
        <f>B58*Paramètres!$B$3*(1-Paramètres!$B$4)</f>
        <v/>
      </c>
      <c r="D58" s="10">
        <f>H57+C58</f>
        <v/>
      </c>
      <c r="E58" s="13">
        <f>IFERROR(MAXIFS(Catalogue!$A$2:$A$24,Catalogue!$B$2:$B$24,"&lt;="&amp;D58),0)</f>
        <v/>
      </c>
      <c r="F58" s="11">
        <f>IF(E58=0,"—",INDEX(Catalogue!$C$2:$C$24,MATCH(E58,Catalogue!$A$2:$A$24,0)))</f>
        <v/>
      </c>
      <c r="G58" s="10">
        <f>IF(E58=0,0,INDEX(Catalogue!$B$2:$B$24,MATCH(E58,Catalogue!$A$2:$A$24,0)))</f>
        <v/>
      </c>
      <c r="H58" s="10">
        <f>D58-G58</f>
        <v/>
      </c>
      <c r="I58" s="14">
        <f>B58+E58</f>
        <v/>
      </c>
      <c r="J58" s="14">
        <f>I58*Paramètres!$B$3*(1-Paramètres!$B$4)</f>
        <v/>
      </c>
      <c r="K58" s="10">
        <f>K57+C58</f>
        <v/>
      </c>
    </row>
    <row r="59">
      <c r="A59" s="11" t="n">
        <v>58</v>
      </c>
      <c r="B59" s="10">
        <f>I58</f>
        <v/>
      </c>
      <c r="C59" s="10">
        <f>B59*Paramètres!$B$3*(1-Paramètres!$B$4)</f>
        <v/>
      </c>
      <c r="D59" s="10">
        <f>H58+C59</f>
        <v/>
      </c>
      <c r="E59" s="13">
        <f>IFERROR(MAXIFS(Catalogue!$A$2:$A$24,Catalogue!$B$2:$B$24,"&lt;="&amp;D59),0)</f>
        <v/>
      </c>
      <c r="F59" s="11">
        <f>IF(E59=0,"—",INDEX(Catalogue!$C$2:$C$24,MATCH(E59,Catalogue!$A$2:$A$24,0)))</f>
        <v/>
      </c>
      <c r="G59" s="10">
        <f>IF(E59=0,0,INDEX(Catalogue!$B$2:$B$24,MATCH(E59,Catalogue!$A$2:$A$24,0)))</f>
        <v/>
      </c>
      <c r="H59" s="10">
        <f>D59-G59</f>
        <v/>
      </c>
      <c r="I59" s="14">
        <f>B59+E59</f>
        <v/>
      </c>
      <c r="J59" s="14">
        <f>I59*Paramètres!$B$3*(1-Paramètres!$B$4)</f>
        <v/>
      </c>
      <c r="K59" s="10">
        <f>K58+C59</f>
        <v/>
      </c>
    </row>
    <row r="60">
      <c r="A60" s="11" t="n">
        <v>59</v>
      </c>
      <c r="B60" s="10">
        <f>I59</f>
        <v/>
      </c>
      <c r="C60" s="10">
        <f>B60*Paramètres!$B$3*(1-Paramètres!$B$4)</f>
        <v/>
      </c>
      <c r="D60" s="10">
        <f>H59+C60</f>
        <v/>
      </c>
      <c r="E60" s="13">
        <f>IFERROR(MAXIFS(Catalogue!$A$2:$A$24,Catalogue!$B$2:$B$24,"&lt;="&amp;D60),0)</f>
        <v/>
      </c>
      <c r="F60" s="11">
        <f>IF(E60=0,"—",INDEX(Catalogue!$C$2:$C$24,MATCH(E60,Catalogue!$A$2:$A$24,0)))</f>
        <v/>
      </c>
      <c r="G60" s="10">
        <f>IF(E60=0,0,INDEX(Catalogue!$B$2:$B$24,MATCH(E60,Catalogue!$A$2:$A$24,0)))</f>
        <v/>
      </c>
      <c r="H60" s="10">
        <f>D60-G60</f>
        <v/>
      </c>
      <c r="I60" s="14">
        <f>B60+E60</f>
        <v/>
      </c>
      <c r="J60" s="14">
        <f>I60*Paramètres!$B$3*(1-Paramètres!$B$4)</f>
        <v/>
      </c>
      <c r="K60" s="10">
        <f>K59+C60</f>
        <v/>
      </c>
    </row>
    <row r="61">
      <c r="A61" s="11" t="n">
        <v>60</v>
      </c>
      <c r="B61" s="10">
        <f>I60</f>
        <v/>
      </c>
      <c r="C61" s="10">
        <f>B61*Paramètres!$B$3*(1-Paramètres!$B$4)</f>
        <v/>
      </c>
      <c r="D61" s="10">
        <f>H60+C61</f>
        <v/>
      </c>
      <c r="E61" s="13">
        <f>IFERROR(MAXIFS(Catalogue!$A$2:$A$24,Catalogue!$B$2:$B$24,"&lt;="&amp;D61),0)</f>
        <v/>
      </c>
      <c r="F61" s="11">
        <f>IF(E61=0,"—",INDEX(Catalogue!$C$2:$C$24,MATCH(E61,Catalogue!$A$2:$A$24,0)))</f>
        <v/>
      </c>
      <c r="G61" s="10">
        <f>IF(E61=0,0,INDEX(Catalogue!$B$2:$B$24,MATCH(E61,Catalogue!$A$2:$A$24,0)))</f>
        <v/>
      </c>
      <c r="H61" s="10">
        <f>D61-G61</f>
        <v/>
      </c>
      <c r="I61" s="14">
        <f>B61+E61</f>
        <v/>
      </c>
      <c r="J61" s="14">
        <f>I61*Paramètres!$B$3*(1-Paramètres!$B$4)</f>
        <v/>
      </c>
      <c r="K61" s="10">
        <f>K60+C61</f>
        <v/>
      </c>
    </row>
    <row r="62">
      <c r="A62" s="11" t="n">
        <v>61</v>
      </c>
      <c r="B62" s="10">
        <f>I61</f>
        <v/>
      </c>
      <c r="C62" s="10">
        <f>B62*Paramètres!$B$3*(1-Paramètres!$B$4)</f>
        <v/>
      </c>
      <c r="D62" s="10">
        <f>H61+C62</f>
        <v/>
      </c>
      <c r="E62" s="13">
        <f>IFERROR(MAXIFS(Catalogue!$A$2:$A$24,Catalogue!$B$2:$B$24,"&lt;="&amp;D62),0)</f>
        <v/>
      </c>
      <c r="F62" s="11">
        <f>IF(E62=0,"—",INDEX(Catalogue!$C$2:$C$24,MATCH(E62,Catalogue!$A$2:$A$24,0)))</f>
        <v/>
      </c>
      <c r="G62" s="10">
        <f>IF(E62=0,0,INDEX(Catalogue!$B$2:$B$24,MATCH(E62,Catalogue!$A$2:$A$24,0)))</f>
        <v/>
      </c>
      <c r="H62" s="10">
        <f>D62-G62</f>
        <v/>
      </c>
      <c r="I62" s="14">
        <f>B62+E62</f>
        <v/>
      </c>
      <c r="J62" s="14">
        <f>I62*Paramètres!$B$3*(1-Paramètres!$B$4)</f>
        <v/>
      </c>
      <c r="K62" s="10">
        <f>K61+C62</f>
        <v/>
      </c>
    </row>
    <row r="63">
      <c r="A63" s="11" t="n">
        <v>62</v>
      </c>
      <c r="B63" s="10">
        <f>I62</f>
        <v/>
      </c>
      <c r="C63" s="10">
        <f>B63*Paramètres!$B$3*(1-Paramètres!$B$4)</f>
        <v/>
      </c>
      <c r="D63" s="10">
        <f>H62+C63</f>
        <v/>
      </c>
      <c r="E63" s="13">
        <f>IFERROR(MAXIFS(Catalogue!$A$2:$A$24,Catalogue!$B$2:$B$24,"&lt;="&amp;D63),0)</f>
        <v/>
      </c>
      <c r="F63" s="11">
        <f>IF(E63=0,"—",INDEX(Catalogue!$C$2:$C$24,MATCH(E63,Catalogue!$A$2:$A$24,0)))</f>
        <v/>
      </c>
      <c r="G63" s="10">
        <f>IF(E63=0,0,INDEX(Catalogue!$B$2:$B$24,MATCH(E63,Catalogue!$A$2:$A$24,0)))</f>
        <v/>
      </c>
      <c r="H63" s="10">
        <f>D63-G63</f>
        <v/>
      </c>
      <c r="I63" s="14">
        <f>B63+E63</f>
        <v/>
      </c>
      <c r="J63" s="14">
        <f>I63*Paramètres!$B$3*(1-Paramètres!$B$4)</f>
        <v/>
      </c>
      <c r="K63" s="10">
        <f>K62+C63</f>
        <v/>
      </c>
    </row>
    <row r="64">
      <c r="A64" s="11" t="n">
        <v>63</v>
      </c>
      <c r="B64" s="10">
        <f>I63</f>
        <v/>
      </c>
      <c r="C64" s="10">
        <f>B64*Paramètres!$B$3*(1-Paramètres!$B$4)</f>
        <v/>
      </c>
      <c r="D64" s="10">
        <f>H63+C64</f>
        <v/>
      </c>
      <c r="E64" s="13">
        <f>IFERROR(MAXIFS(Catalogue!$A$2:$A$24,Catalogue!$B$2:$B$24,"&lt;="&amp;D64),0)</f>
        <v/>
      </c>
      <c r="F64" s="11">
        <f>IF(E64=0,"—",INDEX(Catalogue!$C$2:$C$24,MATCH(E64,Catalogue!$A$2:$A$24,0)))</f>
        <v/>
      </c>
      <c r="G64" s="10">
        <f>IF(E64=0,0,INDEX(Catalogue!$B$2:$B$24,MATCH(E64,Catalogue!$A$2:$A$24,0)))</f>
        <v/>
      </c>
      <c r="H64" s="10">
        <f>D64-G64</f>
        <v/>
      </c>
      <c r="I64" s="14">
        <f>B64+E64</f>
        <v/>
      </c>
      <c r="J64" s="14">
        <f>I64*Paramètres!$B$3*(1-Paramètres!$B$4)</f>
        <v/>
      </c>
      <c r="K64" s="10">
        <f>K63+C64</f>
        <v/>
      </c>
    </row>
    <row r="65">
      <c r="A65" s="11" t="n">
        <v>64</v>
      </c>
      <c r="B65" s="10">
        <f>I64</f>
        <v/>
      </c>
      <c r="C65" s="10">
        <f>B65*Paramètres!$B$3*(1-Paramètres!$B$4)</f>
        <v/>
      </c>
      <c r="D65" s="10">
        <f>H64+C65</f>
        <v/>
      </c>
      <c r="E65" s="13">
        <f>IFERROR(MAXIFS(Catalogue!$A$2:$A$24,Catalogue!$B$2:$B$24,"&lt;="&amp;D65),0)</f>
        <v/>
      </c>
      <c r="F65" s="11">
        <f>IF(E65=0,"—",INDEX(Catalogue!$C$2:$C$24,MATCH(E65,Catalogue!$A$2:$A$24,0)))</f>
        <v/>
      </c>
      <c r="G65" s="10">
        <f>IF(E65=0,0,INDEX(Catalogue!$B$2:$B$24,MATCH(E65,Catalogue!$A$2:$A$24,0)))</f>
        <v/>
      </c>
      <c r="H65" s="10">
        <f>D65-G65</f>
        <v/>
      </c>
      <c r="I65" s="14">
        <f>B65+E65</f>
        <v/>
      </c>
      <c r="J65" s="14">
        <f>I65*Paramètres!$B$3*(1-Paramètres!$B$4)</f>
        <v/>
      </c>
      <c r="K65" s="10">
        <f>K64+C65</f>
        <v/>
      </c>
    </row>
    <row r="66">
      <c r="A66" s="11" t="n">
        <v>65</v>
      </c>
      <c r="B66" s="10">
        <f>I65</f>
        <v/>
      </c>
      <c r="C66" s="10">
        <f>B66*Paramètres!$B$3*(1-Paramètres!$B$4)</f>
        <v/>
      </c>
      <c r="D66" s="10">
        <f>H65+C66</f>
        <v/>
      </c>
      <c r="E66" s="13">
        <f>IFERROR(MAXIFS(Catalogue!$A$2:$A$24,Catalogue!$B$2:$B$24,"&lt;="&amp;D66),0)</f>
        <v/>
      </c>
      <c r="F66" s="11">
        <f>IF(E66=0,"—",INDEX(Catalogue!$C$2:$C$24,MATCH(E66,Catalogue!$A$2:$A$24,0)))</f>
        <v/>
      </c>
      <c r="G66" s="10">
        <f>IF(E66=0,0,INDEX(Catalogue!$B$2:$B$24,MATCH(E66,Catalogue!$A$2:$A$24,0)))</f>
        <v/>
      </c>
      <c r="H66" s="10">
        <f>D66-G66</f>
        <v/>
      </c>
      <c r="I66" s="14">
        <f>B66+E66</f>
        <v/>
      </c>
      <c r="J66" s="14">
        <f>I66*Paramètres!$B$3*(1-Paramètres!$B$4)</f>
        <v/>
      </c>
      <c r="K66" s="10">
        <f>K65+C66</f>
        <v/>
      </c>
    </row>
    <row r="67">
      <c r="A67" s="11" t="n">
        <v>66</v>
      </c>
      <c r="B67" s="10">
        <f>I66</f>
        <v/>
      </c>
      <c r="C67" s="10">
        <f>B67*Paramètres!$B$3*(1-Paramètres!$B$4)</f>
        <v/>
      </c>
      <c r="D67" s="10">
        <f>H66+C67</f>
        <v/>
      </c>
      <c r="E67" s="13">
        <f>IFERROR(MAXIFS(Catalogue!$A$2:$A$24,Catalogue!$B$2:$B$24,"&lt;="&amp;D67),0)</f>
        <v/>
      </c>
      <c r="F67" s="11">
        <f>IF(E67=0,"—",INDEX(Catalogue!$C$2:$C$24,MATCH(E67,Catalogue!$A$2:$A$24,0)))</f>
        <v/>
      </c>
      <c r="G67" s="10">
        <f>IF(E67=0,0,INDEX(Catalogue!$B$2:$B$24,MATCH(E67,Catalogue!$A$2:$A$24,0)))</f>
        <v/>
      </c>
      <c r="H67" s="10">
        <f>D67-G67</f>
        <v/>
      </c>
      <c r="I67" s="14">
        <f>B67+E67</f>
        <v/>
      </c>
      <c r="J67" s="14">
        <f>I67*Paramètres!$B$3*(1-Paramètres!$B$4)</f>
        <v/>
      </c>
      <c r="K67" s="10">
        <f>K66+C67</f>
        <v/>
      </c>
    </row>
    <row r="68">
      <c r="A68" s="11" t="n">
        <v>67</v>
      </c>
      <c r="B68" s="10">
        <f>I67</f>
        <v/>
      </c>
      <c r="C68" s="10">
        <f>B68*Paramètres!$B$3*(1-Paramètres!$B$4)</f>
        <v/>
      </c>
      <c r="D68" s="10">
        <f>H67+C68</f>
        <v/>
      </c>
      <c r="E68" s="13">
        <f>IFERROR(MAXIFS(Catalogue!$A$2:$A$24,Catalogue!$B$2:$B$24,"&lt;="&amp;D68),0)</f>
        <v/>
      </c>
      <c r="F68" s="11">
        <f>IF(E68=0,"—",INDEX(Catalogue!$C$2:$C$24,MATCH(E68,Catalogue!$A$2:$A$24,0)))</f>
        <v/>
      </c>
      <c r="G68" s="10">
        <f>IF(E68=0,0,INDEX(Catalogue!$B$2:$B$24,MATCH(E68,Catalogue!$A$2:$A$24,0)))</f>
        <v/>
      </c>
      <c r="H68" s="10">
        <f>D68-G68</f>
        <v/>
      </c>
      <c r="I68" s="14">
        <f>B68+E68</f>
        <v/>
      </c>
      <c r="J68" s="14">
        <f>I68*Paramètres!$B$3*(1-Paramètres!$B$4)</f>
        <v/>
      </c>
      <c r="K68" s="10">
        <f>K67+C68</f>
        <v/>
      </c>
    </row>
    <row r="69">
      <c r="A69" s="11" t="n">
        <v>68</v>
      </c>
      <c r="B69" s="10">
        <f>I68</f>
        <v/>
      </c>
      <c r="C69" s="10">
        <f>B69*Paramètres!$B$3*(1-Paramètres!$B$4)</f>
        <v/>
      </c>
      <c r="D69" s="10">
        <f>H68+C69</f>
        <v/>
      </c>
      <c r="E69" s="13">
        <f>IFERROR(MAXIFS(Catalogue!$A$2:$A$24,Catalogue!$B$2:$B$24,"&lt;="&amp;D69),0)</f>
        <v/>
      </c>
      <c r="F69" s="11">
        <f>IF(E69=0,"—",INDEX(Catalogue!$C$2:$C$24,MATCH(E69,Catalogue!$A$2:$A$24,0)))</f>
        <v/>
      </c>
      <c r="G69" s="10">
        <f>IF(E69=0,0,INDEX(Catalogue!$B$2:$B$24,MATCH(E69,Catalogue!$A$2:$A$24,0)))</f>
        <v/>
      </c>
      <c r="H69" s="10">
        <f>D69-G69</f>
        <v/>
      </c>
      <c r="I69" s="14">
        <f>B69+E69</f>
        <v/>
      </c>
      <c r="J69" s="14">
        <f>I69*Paramètres!$B$3*(1-Paramètres!$B$4)</f>
        <v/>
      </c>
      <c r="K69" s="10">
        <f>K68+C69</f>
        <v/>
      </c>
    </row>
    <row r="70">
      <c r="A70" s="11" t="n">
        <v>69</v>
      </c>
      <c r="B70" s="10">
        <f>I69</f>
        <v/>
      </c>
      <c r="C70" s="10">
        <f>B70*Paramètres!$B$3*(1-Paramètres!$B$4)</f>
        <v/>
      </c>
      <c r="D70" s="10">
        <f>H69+C70</f>
        <v/>
      </c>
      <c r="E70" s="13">
        <f>IFERROR(MAXIFS(Catalogue!$A$2:$A$24,Catalogue!$B$2:$B$24,"&lt;="&amp;D70),0)</f>
        <v/>
      </c>
      <c r="F70" s="11">
        <f>IF(E70=0,"—",INDEX(Catalogue!$C$2:$C$24,MATCH(E70,Catalogue!$A$2:$A$24,0)))</f>
        <v/>
      </c>
      <c r="G70" s="10">
        <f>IF(E70=0,0,INDEX(Catalogue!$B$2:$B$24,MATCH(E70,Catalogue!$A$2:$A$24,0)))</f>
        <v/>
      </c>
      <c r="H70" s="10">
        <f>D70-G70</f>
        <v/>
      </c>
      <c r="I70" s="14">
        <f>B70+E70</f>
        <v/>
      </c>
      <c r="J70" s="14">
        <f>I70*Paramètres!$B$3*(1-Paramètres!$B$4)</f>
        <v/>
      </c>
      <c r="K70" s="10">
        <f>K69+C70</f>
        <v/>
      </c>
    </row>
    <row r="71">
      <c r="A71" s="11" t="n">
        <v>70</v>
      </c>
      <c r="B71" s="10">
        <f>I70</f>
        <v/>
      </c>
      <c r="C71" s="10">
        <f>B71*Paramètres!$B$3*(1-Paramètres!$B$4)</f>
        <v/>
      </c>
      <c r="D71" s="10">
        <f>H70+C71</f>
        <v/>
      </c>
      <c r="E71" s="13">
        <f>IFERROR(MAXIFS(Catalogue!$A$2:$A$24,Catalogue!$B$2:$B$24,"&lt;="&amp;D71),0)</f>
        <v/>
      </c>
      <c r="F71" s="11">
        <f>IF(E71=0,"—",INDEX(Catalogue!$C$2:$C$24,MATCH(E71,Catalogue!$A$2:$A$24,0)))</f>
        <v/>
      </c>
      <c r="G71" s="10">
        <f>IF(E71=0,0,INDEX(Catalogue!$B$2:$B$24,MATCH(E71,Catalogue!$A$2:$A$24,0)))</f>
        <v/>
      </c>
      <c r="H71" s="10">
        <f>D71-G71</f>
        <v/>
      </c>
      <c r="I71" s="14">
        <f>B71+E71</f>
        <v/>
      </c>
      <c r="J71" s="14">
        <f>I71*Paramètres!$B$3*(1-Paramètres!$B$4)</f>
        <v/>
      </c>
      <c r="K71" s="10">
        <f>K70+C71</f>
        <v/>
      </c>
    </row>
    <row r="72">
      <c r="A72" s="11" t="n">
        <v>71</v>
      </c>
      <c r="B72" s="10">
        <f>I71</f>
        <v/>
      </c>
      <c r="C72" s="10">
        <f>B72*Paramètres!$B$3*(1-Paramètres!$B$4)</f>
        <v/>
      </c>
      <c r="D72" s="10">
        <f>H71+C72</f>
        <v/>
      </c>
      <c r="E72" s="13">
        <f>IFERROR(MAXIFS(Catalogue!$A$2:$A$24,Catalogue!$B$2:$B$24,"&lt;="&amp;D72),0)</f>
        <v/>
      </c>
      <c r="F72" s="11">
        <f>IF(E72=0,"—",INDEX(Catalogue!$C$2:$C$24,MATCH(E72,Catalogue!$A$2:$A$24,0)))</f>
        <v/>
      </c>
      <c r="G72" s="10">
        <f>IF(E72=0,0,INDEX(Catalogue!$B$2:$B$24,MATCH(E72,Catalogue!$A$2:$A$24,0)))</f>
        <v/>
      </c>
      <c r="H72" s="10">
        <f>D72-G72</f>
        <v/>
      </c>
      <c r="I72" s="14">
        <f>B72+E72</f>
        <v/>
      </c>
      <c r="J72" s="14">
        <f>I72*Paramètres!$B$3*(1-Paramètres!$B$4)</f>
        <v/>
      </c>
      <c r="K72" s="10">
        <f>K71+C72</f>
        <v/>
      </c>
    </row>
    <row r="73">
      <c r="A73" s="11" t="n">
        <v>72</v>
      </c>
      <c r="B73" s="10">
        <f>I72</f>
        <v/>
      </c>
      <c r="C73" s="10">
        <f>B73*Paramètres!$B$3*(1-Paramètres!$B$4)</f>
        <v/>
      </c>
      <c r="D73" s="10">
        <f>H72+C73</f>
        <v/>
      </c>
      <c r="E73" s="13">
        <f>IFERROR(MAXIFS(Catalogue!$A$2:$A$24,Catalogue!$B$2:$B$24,"&lt;="&amp;D73),0)</f>
        <v/>
      </c>
      <c r="F73" s="11">
        <f>IF(E73=0,"—",INDEX(Catalogue!$C$2:$C$24,MATCH(E73,Catalogue!$A$2:$A$24,0)))</f>
        <v/>
      </c>
      <c r="G73" s="10">
        <f>IF(E73=0,0,INDEX(Catalogue!$B$2:$B$24,MATCH(E73,Catalogue!$A$2:$A$24,0)))</f>
        <v/>
      </c>
      <c r="H73" s="10">
        <f>D73-G73</f>
        <v/>
      </c>
      <c r="I73" s="14">
        <f>B73+E73</f>
        <v/>
      </c>
      <c r="J73" s="14">
        <f>I73*Paramètres!$B$3*(1-Paramètres!$B$4)</f>
        <v/>
      </c>
      <c r="K73" s="10">
        <f>K72+C73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5" t="inlineStr">
        <is>
          <t>Graphiques (se redessinent avec les paramètres)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2026-10-02T16:45:34Z</dcterms:created>
  <dcterms:modified xsi:type="dcterms:W3CDTF">2026-10-02T16:45:34Z</dcterms:modified>
</cp:coreProperties>
</file>