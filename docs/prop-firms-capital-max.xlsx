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sez-moi" sheetId="1" state="visible" r:id="rId1"/>
    <sheet name="Capital max" sheetId="2" state="visible" r:id="rId2"/>
    <sheet name="Non vérifié" sheetId="3" state="visible" r:id="rId3"/>
  </sheets>
  <definedNames>
    <definedName name="_xlnm._FilterDatabase" localSheetId="1" hidden="1">'Capital max'!$A$1:$S$156</definedName>
    <definedName name="_xlnm._FilterDatabase" localSheetId="2" hidden="1">'Non vérifié'!$A$1:$S$38</definedName>
  </definedNames>
  <calcPr calcId="124519" fullCalcOnLoad="1"/>
</workbook>
</file>

<file path=xl/styles.xml><?xml version="1.0" encoding="utf-8"?>
<styleSheet xmlns="http://schemas.openxmlformats.org/spreadsheetml/2006/main">
  <numFmts count="1">
    <numFmt numFmtId="164" formatCode="#,##0&quot; $&quot;"/>
  </numFmts>
  <fonts count="5">
    <font>
      <name val="Calibri"/>
      <family val="2"/>
      <color theme="1"/>
      <sz val="11"/>
      <scheme val="minor"/>
    </font>
    <font>
      <name val="Arial"/>
      <b val="1"/>
      <sz val="14"/>
    </font>
    <font>
      <name val="Arial"/>
      <sz val="10"/>
    </font>
    <font>
      <name val="Arial"/>
      <b val="1"/>
      <sz val="10"/>
    </font>
    <font>
      <name val="Arial"/>
      <b val="1"/>
      <color rgb="00FFFFFF"/>
      <sz val="10"/>
    </font>
  </fonts>
  <fills count="8">
    <fill>
      <patternFill/>
    </fill>
    <fill>
      <patternFill patternType="gray125"/>
    </fill>
    <fill>
      <patternFill patternType="solid">
        <fgColor rgb="001F3864"/>
      </patternFill>
    </fill>
    <fill>
      <patternFill patternType="solid">
        <fgColor rgb="00DDEBF7"/>
      </patternFill>
    </fill>
    <fill>
      <patternFill patternType="solid">
        <fgColor rgb="00E2EFDA"/>
      </patternFill>
    </fill>
    <fill>
      <patternFill patternType="solid">
        <fgColor rgb="00F2F2F2"/>
      </patternFill>
    </fill>
    <fill>
      <patternFill patternType="solid">
        <fgColor rgb="00FFF2CC"/>
      </patternFill>
    </fill>
    <fill>
      <patternFill patternType="solid">
        <fgColor rgb="00F8CBA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2" fillId="0" borderId="1" applyAlignment="1" pivotButton="0" quotePrefix="0" xfId="0">
      <alignment vertical="top" wrapText="1"/>
    </xf>
    <xf numFmtId="0" fontId="2" fillId="4" borderId="1" applyAlignment="1" pivotButton="0" quotePrefix="0" xfId="0">
      <alignment vertical="top" wrapText="1"/>
    </xf>
    <xf numFmtId="164" fontId="2" fillId="0" borderId="1" applyAlignment="1" pivotButton="0" quotePrefix="0" xfId="0">
      <alignment vertical="top" wrapText="1"/>
    </xf>
    <xf numFmtId="164" fontId="3" fillId="3" borderId="1" applyAlignment="1" pivotButton="0" quotePrefix="0" xfId="0">
      <alignment vertical="top" wrapText="1"/>
    </xf>
    <xf numFmtId="0" fontId="2" fillId="5" borderId="1" applyAlignment="1" pivotButton="0" quotePrefix="0" xfId="0">
      <alignment vertical="top" wrapText="1"/>
    </xf>
    <xf numFmtId="164" fontId="2" fillId="5" borderId="1" applyAlignment="1" pivotButton="0" quotePrefix="0" xfId="0">
      <alignment vertical="top" wrapText="1"/>
    </xf>
    <xf numFmtId="0" fontId="2" fillId="6" borderId="1" applyAlignment="1" pivotButton="0" quotePrefix="0" xfId="0">
      <alignment vertical="top" wrapText="1"/>
    </xf>
    <xf numFmtId="0" fontId="3" fillId="3" borderId="1" applyAlignment="1" pivotButton="0" quotePrefix="0" xfId="0">
      <alignment vertical="top" wrapText="1"/>
    </xf>
    <xf numFmtId="0" fontId="2"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140" customWidth="1" min="1" max="1"/>
    <col width="14" customWidth="1" min="2" max="2"/>
  </cols>
  <sheetData>
    <row r="1">
      <c r="A1" s="1" t="inlineStr">
        <is>
          <t>Capital maximum débloquable par prop firm, sans scaling, avec une seule stratégie automatisée</t>
        </is>
      </c>
    </row>
    <row r="2">
      <c r="A2" s="2" t="inlineStr">
        <is>
          <t>Établi le 28/09/2026. Périmètre : les prop firms qui acceptent un bot personnel, non commercial, 100 % automatisé (cf. prop-firms-bot-perso.xlsx).</t>
        </is>
      </c>
    </row>
    <row r="3">
      <c r="A3" s="2" t="inlineStr"/>
    </row>
    <row r="4">
      <c r="A4" s="3" t="inlineStr">
        <is>
          <t>DÉFINITIONS</t>
        </is>
      </c>
    </row>
    <row r="5">
      <c r="A5" s="2" t="inlineStr">
        <is>
          <t>Capital cumulable max hors scaling : total des comptes financés qu'un même trader peut détenir simultanément, sans passer par un plan de scaling.</t>
        </is>
      </c>
    </row>
    <row r="6">
      <c r="A6" s="2" t="inlineStr">
        <is>
          <t>Même stratégie sur plusieurs comptes : la firme accepte-t-elle que le même bot tourne (ou copie ses propres trades) sur plusieurs de vos comptes ?</t>
        </is>
      </c>
    </row>
    <row r="7">
      <c r="A7" s="2" t="inlineStr">
        <is>
          <t>CAPITAL MAX avec la même stratégie automatisée (colonne bleue) : = capital cumulable max si la même stratégie est acceptée (dans la limite du nombre de comptes copiables) ; = taille max d'un seul compte si elle est interdite.</t>
        </is>
      </c>
    </row>
    <row r="8">
      <c r="A8" s="2" t="inlineStr">
        <is>
          <t>PRIX CUMULÉ des challenges (deuxième colonne bleue) : coût total, au tarif officiel sans code promo, des challenges à acheter pour atteindre ce capital en passant par le type de compte le moins cher (nombre de comptes × prix du plus gros compte). Les frais de reset, add-ons EA ou frais d'activation ne sont pas inclus.</t>
        </is>
      </c>
    </row>
    <row r="9">
      <c r="A9" s="2" t="inlineStr">
        <is>
          <t>Onglet « Capital max » : firmes où ce chiffre a pu être établi, triées par capital décroissant. Onglet « Non vérifié » : firmes sans chiffre fiable.</t>
        </is>
      </c>
    </row>
    <row r="10">
      <c r="A10" s="2" t="inlineStr"/>
    </row>
    <row r="11">
      <c r="A11" s="3" t="inlineStr">
        <is>
          <t>COULEURS</t>
        </is>
      </c>
    </row>
    <row r="12">
      <c r="A12" s="2" t="inlineStr">
        <is>
          <t>Colonne « Même stratégie » : vert = OUI ; jaune = OUI sous conditions (copieur personnel, déclaration au support, nombre de comptes limité…) ; rouge = NON (un seul compte par stratégie).</t>
        </is>
      </c>
    </row>
    <row r="13">
      <c r="A13" s="2" t="inlineStr">
        <is>
          <t>Colonne « Bot perso » : vert = OUI sans condition ; jaune = OUI sous conditions (détail dans prop-firms-bot-perso.xlsx).</t>
        </is>
      </c>
    </row>
    <row r="14">
      <c r="A14" s="2" t="inlineStr"/>
    </row>
    <row r="15">
      <c r="A15" s="3" t="inlineStr">
        <is>
          <t>SOURCES ET LIMITES</t>
        </is>
      </c>
    </row>
    <row r="16">
      <c r="A16" s="2" t="inlineStr">
        <is>
          <t>Pages officielles des firmes en priorité (FAQ, règles, help center) ; à défaut TheTrustedProp, PropFirmMatch, PropFirmMap, ForexPropReviews, signalé dans les colonnes « Base ». « ATTENTION plafond via scaling » signale un chiffre atteignable seulement par paliers.</t>
        </is>
      </c>
    </row>
    <row r="17">
      <c r="A17" s="2" t="inlineStr">
        <is>
          <t>Certaines firmes plafonnent aussi le capital par stratégie ou par EA, ou exigent que les comptes copiés soient tous financés : lire la colonne Conditions. Règles mouvantes : vérifier la FAQ officielle avant achat.</t>
        </is>
      </c>
    </row>
    <row r="18">
      <c r="A18" s="2" t="inlineStr"/>
    </row>
    <row r="19">
      <c r="A19" s="3" t="inlineStr">
        <is>
          <t>STATISTIQUES</t>
        </is>
      </c>
    </row>
    <row r="20">
      <c r="A20" s="4" t="inlineStr">
        <is>
          <t>Firmes avec capital max établi</t>
        </is>
      </c>
      <c r="B20" s="5" t="n">
        <v>155</v>
      </c>
    </row>
    <row r="21">
      <c r="A21" s="4" t="inlineStr">
        <is>
          <t>Firmes non vérifiées</t>
        </is>
      </c>
      <c r="B21" s="5" t="n">
        <v>37</v>
      </c>
    </row>
    <row r="22">
      <c r="A22" s="4" t="inlineStr">
        <is>
          <t>dont même stratégie OUI</t>
        </is>
      </c>
      <c r="B22" s="5" t="n">
        <v>56</v>
      </c>
    </row>
    <row r="23">
      <c r="A23" s="4" t="inlineStr">
        <is>
          <t>dont même stratégie sous conditions</t>
        </is>
      </c>
      <c r="B23" s="5" t="n">
        <v>58</v>
      </c>
    </row>
    <row r="24">
      <c r="A24" s="4" t="inlineStr">
        <is>
          <t>dont même stratégie NON (un seul compte)</t>
        </is>
      </c>
      <c r="B24" s="5" t="n">
        <v>41</v>
      </c>
    </row>
    <row r="25">
      <c r="A25" s="4" t="inlineStr">
        <is>
          <t>Firmes à 1 000 000 $ et plus (même stratégie)</t>
        </is>
      </c>
      <c r="B25" s="5" t="n">
        <v>26</v>
      </c>
    </row>
    <row r="26">
      <c r="A26" s="4" t="inlineStr">
        <is>
          <t>Firmes entre 400 000 $ et 999 999 $</t>
        </is>
      </c>
      <c r="B26" s="5" t="n">
        <v>70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5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28" customWidth="1" min="2" max="2"/>
    <col width="12" customWidth="1" min="3" max="3"/>
    <col width="22" customWidth="1" min="4" max="4"/>
    <col width="24" customWidth="1" min="5" max="5"/>
    <col width="50" customWidth="1" min="6" max="6"/>
    <col width="10" customWidth="1" min="7" max="7"/>
    <col width="14" customWidth="1" min="8" max="8"/>
    <col width="16" customWidth="1" min="9" max="9"/>
    <col width="18" customWidth="1" min="10" max="10"/>
    <col width="18" customWidth="1" min="11" max="11"/>
    <col width="40" customWidth="1" min="12" max="12"/>
    <col width="16" customWidth="1" min="13" max="13"/>
    <col width="40" customWidth="1" min="14" max="14"/>
    <col width="40" customWidth="1" min="15" max="15"/>
    <col width="40" customWidth="1" min="16" max="16"/>
    <col width="14" customWidth="1" min="17" max="17"/>
    <col width="30" customWidth="1" min="18" max="18"/>
    <col width="50" customWidth="1" min="19" max="19"/>
  </cols>
  <sheetData>
    <row r="1" ht="40" customHeight="1">
      <c r="A1" s="6" t="inlineStr">
        <is>
          <t>#</t>
        </is>
      </c>
      <c r="B1" s="6" t="inlineStr">
        <is>
          <t>Prop firm</t>
        </is>
      </c>
      <c r="C1" s="6" t="inlineStr">
        <is>
          <t>Marché</t>
        </is>
      </c>
      <c r="D1" s="6" t="inlineStr">
        <is>
          <t>Bot perso 100 % auto</t>
        </is>
      </c>
      <c r="E1" s="6" t="inlineStr">
        <is>
          <t>Même stratégie sur plusieurs comptes</t>
        </is>
      </c>
      <c r="F1" s="6" t="inlineStr">
        <is>
          <t>Conditions (même stratégie)</t>
        </is>
      </c>
      <c r="G1" s="6" t="inlineStr">
        <is>
          <t>Nb comptes max</t>
        </is>
      </c>
      <c r="H1" s="6" t="inlineStr">
        <is>
          <t>Taille max d'un compte ($)</t>
        </is>
      </c>
      <c r="I1" s="6" t="inlineStr">
        <is>
          <t>Capital cumulable max hors scaling ($)</t>
        </is>
      </c>
      <c r="J1" s="6" t="inlineStr">
        <is>
          <t>CAPITAL MAX avec la même stratégie automatisée ($)</t>
        </is>
      </c>
      <c r="K1" s="6" t="inlineStr">
        <is>
          <t>PRIX CUMULÉ des challenges pour atteindre ce capital ($)</t>
        </is>
      </c>
      <c r="L1" s="6" t="inlineStr">
        <is>
          <t>Détail du calcul du prix</t>
        </is>
      </c>
      <c r="M1" s="6" t="inlineStr">
        <is>
          <t>Type de compte le moins cher</t>
        </is>
      </c>
      <c r="N1" s="6" t="inlineStr">
        <is>
          <t>Prix du plus gros compte par type ($)</t>
        </is>
      </c>
      <c r="O1" s="6" t="inlineStr">
        <is>
          <t>Base du calcul (capital)</t>
        </is>
      </c>
      <c r="P1" s="6" t="inlineStr">
        <is>
          <t>Base du capital cumulable</t>
        </is>
      </c>
      <c r="Q1" s="6" t="inlineStr">
        <is>
          <t>Plafond scaling ($, info)</t>
        </is>
      </c>
      <c r="R1" s="6" t="inlineStr">
        <is>
          <t>Plateformes</t>
        </is>
      </c>
      <c r="S1" s="6" t="inlineStr">
        <is>
          <t>Source</t>
        </is>
      </c>
    </row>
    <row r="2">
      <c r="A2" s="7" t="n">
        <v>1</v>
      </c>
      <c r="B2" s="7" t="inlineStr">
        <is>
          <t>PaidPex</t>
        </is>
      </c>
      <c r="C2" s="7" t="inlineStr">
        <is>
          <t>CFD</t>
        </is>
      </c>
      <c r="D2" s="8" t="inlineStr">
        <is>
          <t>OUI</t>
        </is>
      </c>
      <c r="E2" s="8" t="inlineStr">
        <is>
          <t>OUI</t>
        </is>
      </c>
      <c r="F2" s="7" t="inlineStr">
        <is>
          <t>TTP review: 'Allows Copy Trading: Yes' on 1-Step and Instant; 'EA trading and API-based automated trading are allowed'. Official site blocked.</t>
        </is>
      </c>
      <c r="G2" s="7" t="inlineStr"/>
      <c r="H2" s="9" t="n">
        <v>300000</v>
      </c>
      <c r="I2" s="9" t="n">
        <v>6000000</v>
      </c>
      <c r="J2" s="10" t="n">
        <v>6000000</v>
      </c>
      <c r="K2" s="10" t="n">
        <v>11980</v>
      </c>
      <c r="L2" s="7" t="inlineStr">
        <is>
          <t>20 x 599 (one_step 300k) = 11980</t>
        </is>
      </c>
      <c r="M2" s="7" t="inlineStr">
        <is>
          <t>1 Step</t>
        </is>
      </c>
      <c r="N2" s="7" t="inlineStr">
        <is>
          <t>1 Step(300k):599;Instant-Direct(200k):2499 (TTP review)</t>
        </is>
      </c>
      <c r="O2" s="7" t="inlineStr">
        <is>
          <t>review YES x review cap 6000000 = 6000000</t>
        </is>
      </c>
      <c r="P2" s="7" t="inlineStr">
        <is>
          <t>review site (TTP: 'Max Allocation $6.0M'; official site 403)</t>
        </is>
      </c>
      <c r="Q2" s="7" t="inlineStr"/>
      <c r="R2" s="7" t="inlineStr">
        <is>
          <t>proprietary web platform + API</t>
        </is>
      </c>
      <c r="S2" s="7" t="inlineStr">
        <is>
          <t>https://thetrustedprop.com/prop-firms/paidpex ; https://paidpex.com/ (blocked)</t>
        </is>
      </c>
    </row>
    <row r="3">
      <c r="A3" s="11" t="n">
        <v>2</v>
      </c>
      <c r="B3" s="11" t="inlineStr">
        <is>
          <t>Moneta Funded</t>
        </is>
      </c>
      <c r="C3" s="11" t="inlineStr">
        <is>
          <t>CFD</t>
        </is>
      </c>
      <c r="D3" s="8" t="inlineStr">
        <is>
          <t>OUI</t>
        </is>
      </c>
      <c r="E3" s="8" t="inlineStr">
        <is>
          <t>OUI</t>
        </is>
      </c>
      <c r="F3" s="11" t="inlineStr">
        <is>
          <t>Review site only (official blocked): TTP: 'Copy trading' permitted 'your own accounts only'; EAs allowed with restrictions (no HFT, martingale, arbitrage); TTP field Copy Trading Allowed.</t>
        </is>
      </c>
      <c r="G3" s="11" t="inlineStr"/>
      <c r="H3" s="12" t="n">
        <v>100000</v>
      </c>
      <c r="I3" s="12" t="n">
        <v>2300000</v>
      </c>
      <c r="J3" s="10" t="n">
        <v>2300000</v>
      </c>
      <c r="K3" s="10" t="n">
        <v>6900</v>
      </c>
      <c r="L3" s="11" t="inlineStr">
        <is>
          <t>23 x 300 (sprint 100k) = 6900 (23 x 780 = 17940 via one_step/two_step)</t>
        </is>
      </c>
      <c r="M3" s="11" t="inlineStr">
        <is>
          <t>sprint</t>
        </is>
      </c>
      <c r="N3" s="11" t="inlineStr">
        <is>
          <t>Instant-Direct:780 (100k);1 Step:780 (100k);2 Step:780 (100k);phoenix:1150 (20k);sprint:300 (100k) [TTP]</t>
        </is>
      </c>
      <c r="O3" s="11">
        <f> max_cumulative 2300000 (review site)</f>
        <v/>
      </c>
      <c r="P3" s="11" t="inlineStr">
        <is>
          <t>review site (TTP max allocation $2.3M; official site behind CAPTCHA)</t>
        </is>
      </c>
      <c r="Q3" s="12" t="n">
        <v>2300000</v>
      </c>
      <c r="R3" s="11" t="inlineStr">
        <is>
          <t>Match-Trader, MT5</t>
        </is>
      </c>
      <c r="S3" s="11" t="inlineStr">
        <is>
          <t>https://thetrustedprop.com/prop-firms/moneta-funded ; https://monetafunded.com/ (blocked)</t>
        </is>
      </c>
    </row>
    <row r="4">
      <c r="A4" s="7" t="n">
        <v>3</v>
      </c>
      <c r="B4" s="7" t="inlineStr">
        <is>
          <t>IQ Capital</t>
        </is>
      </c>
      <c r="C4" s="7" t="inlineStr">
        <is>
          <t>CFD + Futures</t>
        </is>
      </c>
      <c r="D4" s="8" t="inlineStr">
        <is>
          <t>OUI</t>
        </is>
      </c>
      <c r="E4" s="13" t="inlineStr">
        <is>
          <t>OUI sous conditions</t>
        </is>
      </c>
      <c r="F4" s="7" t="inlineStr">
        <is>
          <t>Official FAQ/rules silent on copy trading; IQ Capital operates its own MT5 master/slave 'IQCapital Copier Dashboard' (copier.iqcapital.io) implying own-account copying is supported; propfirmmap: 'Copy trading and external signal providers' prohibited (third-party). Micro-scalping rule (&gt;=50% of trades/profit from holds &gt;15s), consistency 30%/day.</t>
        </is>
      </c>
      <c r="G4" s="7" t="inlineStr">
        <is>
          <t>10 (5 on Rapid)</t>
        </is>
      </c>
      <c r="H4" s="9" t="n">
        <v>200000</v>
      </c>
      <c r="I4" s="9" t="n">
        <v>2000000</v>
      </c>
      <c r="J4" s="10" t="n">
        <v>2000000</v>
      </c>
      <c r="K4" s="10" t="n">
        <v>9990</v>
      </c>
      <c r="L4" s="7" t="inlineStr">
        <is>
          <t>10 x 999 (core 200k) = 9990</t>
        </is>
      </c>
      <c r="M4" s="7" t="inlineStr">
        <is>
          <t>core (1-step)</t>
        </is>
      </c>
      <c r="N4" s="7" t="inlineStr">
        <is>
          <t>core:999 (200k list, propfirmmap; official homepage core 100k = 475);rapid:1125 (100k);Instant-Direct:3495 (100k);futures:299-699 (100k) [mixed official/propfirmmap]</t>
        </is>
      </c>
      <c r="O4" s="7">
        <f> max_cumulative: 10 x 200000 (own copier tool; conflicting review text)</f>
        <v/>
      </c>
      <c r="P4" s="7" t="inlineStr">
        <is>
          <t>official homepage 'up to 10 accounts' x 200000 max (propfirmmap: 'up to ten accounts at once for a maximum of $2 million')</t>
        </is>
      </c>
      <c r="Q4" s="7" t="inlineStr"/>
      <c r="R4" s="7" t="inlineStr">
        <is>
          <t>MT5, Volumetrica (CFD/crypto); Quantower, Tradovate, ATAS, DeepCharts (futures)</t>
        </is>
      </c>
      <c r="S4" s="7" t="inlineStr">
        <is>
          <t>https://iqcapital.io/ ; https://iqcapital.io/faq ; https://propfirmmap.com/blog/iqcapital-review</t>
        </is>
      </c>
    </row>
    <row r="5">
      <c r="A5" s="11" t="n">
        <v>4</v>
      </c>
      <c r="B5" s="11" t="inlineStr">
        <is>
          <t>Sway Funded</t>
        </is>
      </c>
      <c r="C5" s="11" t="inlineStr">
        <is>
          <t>CFD</t>
        </is>
      </c>
      <c r="D5" s="8" t="inlineStr">
        <is>
          <t>OUI</t>
        </is>
      </c>
      <c r="E5" s="13" t="inlineStr">
        <is>
          <t>OUI sous conditions</t>
        </is>
      </c>
      <c r="F5" s="11" t="inlineStr">
        <is>
          <t>Official KB: 'Trading scripts and automated bots are permitted' (no HFT/arbitrage/toxic volume); copying between own accounts not addressed by KB; review (tradersunion/TTP): copy trading allowed incl. own accounts.</t>
        </is>
      </c>
      <c r="G5" s="11" t="inlineStr">
        <is>
          <t>10</t>
        </is>
      </c>
      <c r="H5" s="12" t="n">
        <v>200000</v>
      </c>
      <c r="I5" s="12" t="n">
        <v>2000000</v>
      </c>
      <c r="J5" s="10" t="n">
        <v>2000000</v>
      </c>
      <c r="K5" s="10" t="n">
        <v>9890</v>
      </c>
      <c r="L5" s="11" t="inlineStr">
        <is>
          <t>10 x 989 (regular 200k) = 9890</t>
        </is>
      </c>
      <c r="M5" s="11" t="inlineStr">
        <is>
          <t>regular_challenge</t>
        </is>
      </c>
      <c r="N5" s="11" t="inlineStr">
        <is>
          <t>regular(200k):989;rapid(200k):1484;no_consistency(200k):1187 (TTP review; official shows $13 entry only)</t>
        </is>
      </c>
      <c r="O5" s="11" t="inlineStr">
        <is>
          <t>official bots OK + review copy OK x 10 x 200000 = 2000000</t>
        </is>
      </c>
      <c r="P5" s="11" t="inlineStr">
        <is>
          <t>official computed: KB 'up to 10 active challenge accounts simultaneously ... no limit on the total account size you can manage' x 200000</t>
        </is>
      </c>
      <c r="Q5" s="11" t="inlineStr"/>
      <c r="R5" s="11" t="inlineStr">
        <is>
          <t>proprietary Liquid Charts Pro / Sway dashboard (Liquid Brokers); no MT EA support found</t>
        </is>
      </c>
      <c r="S5" s="11" t="inlineStr">
        <is>
          <t>https://swayfunded.kb.help/how-many-challenges-can-i-have/ ; https://swayfunded.kb.help/are-trading-bots-or-eas-allowed/ ; https://thetrustedprop.com/prop-firms/sway-funded</t>
        </is>
      </c>
    </row>
    <row r="6">
      <c r="A6" s="7" t="n">
        <v>5</v>
      </c>
      <c r="B6" s="7" t="inlineStr">
        <is>
          <t>The Whale Order</t>
        </is>
      </c>
      <c r="C6" s="7" t="inlineStr">
        <is>
          <t>CFD</t>
        </is>
      </c>
      <c r="D6" s="8" t="inlineStr">
        <is>
          <t>OUI</t>
        </is>
      </c>
      <c r="E6" s="13" t="inlineStr">
        <is>
          <t>OUI sous conditions</t>
        </is>
      </c>
      <c r="F6" s="7" t="inlineStr">
        <is>
          <t>Official FAQ: 'EA's, Copy Traders, Scripts, and Indicators are all allowed'; 'The maximum funding allocation for a particular trading strategy or EA is also $2 million'; 'one evaluation at a time'; each assessment distinct size; off-the-shelf pass-the-assessment EAs banned. NOTE: algo trading not available on DXtrade, MT4/5 discontinued.</t>
        </is>
      </c>
      <c r="G6" s="7" t="inlineStr">
        <is>
          <t>unlimited (distinct sizes)</t>
        </is>
      </c>
      <c r="H6" s="9" t="n">
        <v>500000</v>
      </c>
      <c r="I6" s="9" t="n">
        <v>2000000</v>
      </c>
      <c r="J6" s="10" t="n">
        <v>2000000</v>
      </c>
      <c r="K6" s="10" t="n">
        <v>3500</v>
      </c>
      <c r="L6" s="7" t="inlineStr">
        <is>
          <t>unknown (distinct-size rule; 500k = 3500)</t>
        </is>
      </c>
      <c r="M6" s="7" t="inlineStr">
        <is>
          <t>1 Step</t>
        </is>
      </c>
      <c r="N6" s="7" t="inlineStr">
        <is>
          <t>1 Step(500k):3500 (TTP review)</t>
        </is>
      </c>
      <c r="O6" s="7" t="inlineStr">
        <is>
          <t>official YES x official per-EA cap 2000000 = 2000000</t>
        </is>
      </c>
      <c r="P6" s="7" t="inlineStr">
        <is>
          <t>official stated: 'The maximum funding allocation for an individual trader is $2 million ... each assessment must have a different size and not be active simultaneously'</t>
        </is>
      </c>
      <c r="Q6" s="7" t="inlineStr"/>
      <c r="R6" s="7" t="inlineStr">
        <is>
          <t>DXtrade (no algo trading); MT4/MT5 discontinued</t>
        </is>
      </c>
      <c r="S6" s="7" t="inlineStr">
        <is>
          <t>https://www.thewhaleorder.com/faq/ ; https://thetrustedprop.com/prop-firms/the-whale-order</t>
        </is>
      </c>
    </row>
    <row r="7">
      <c r="A7" s="11" t="n">
        <v>6</v>
      </c>
      <c r="B7" s="11" t="inlineStr">
        <is>
          <t>Leveraged</t>
        </is>
      </c>
      <c r="C7" s="11" t="inlineStr">
        <is>
          <t>CFD</t>
        </is>
      </c>
      <c r="D7" s="8" t="inlineStr">
        <is>
          <t>OUI</t>
        </is>
      </c>
      <c r="E7" s="8" t="inlineStr">
        <is>
          <t>OUI</t>
        </is>
      </c>
      <c r="F7" s="11" t="inlineStr">
        <is>
          <t>Official FAQ 'Is copy trading allowed?': permitted 'Replicating trades between your own accounts across Leveraged, other prop firms, or personal retail brokers (must be registered under your name)'; prohibited between different individuals. 'Expert Advisors that you have fully developed and control yourself... A self-developed EA may be fully automated'; commercial EAs prohibited.</t>
        </is>
      </c>
      <c r="G7" s="11" t="inlineStr">
        <is>
          <t>one per program cap</t>
        </is>
      </c>
      <c r="H7" s="12" t="n">
        <v>1000000</v>
      </c>
      <c r="I7" s="12" t="n">
        <v>1555000</v>
      </c>
      <c r="J7" s="10" t="n">
        <v>1555000</v>
      </c>
      <c r="K7" s="14" t="inlineStr">
        <is>
          <t>inconnu</t>
        </is>
      </c>
      <c r="L7" s="11" t="inlineStr">
        <is>
          <t>unknown (Executive 1M + Turbo 200k + Crypto 150k + Sr 100k + Sprint 100k + Jr 5k; prices not published)</t>
        </is>
      </c>
      <c r="M7" s="11" t="inlineStr">
        <is>
          <t>executive (3-step) + others</t>
        </is>
      </c>
      <c r="N7" s="11" t="inlineStr">
        <is>
          <t>unknown (official pages show only 'Senior Portfolio Manager simulation price $349' and sizes to $1M; no price matrix; not on TTP/fundedtrading)</t>
        </is>
      </c>
      <c r="O7" s="11">
        <f> max_cumulative 1555000 (own-account copying allowed)</f>
        <v/>
      </c>
      <c r="P7" s="11" t="inlineStr">
        <is>
          <t>official stated (FAQ: 'The total maximum allocation across all programs is $1,555,000'; Executive 1M, Turbo 200K, Crypto 150K, Sr 100K, Sprint 100K, Jr 5K)</t>
        </is>
      </c>
      <c r="Q7" s="11" t="inlineStr"/>
      <c r="R7" s="11" t="inlineStr">
        <is>
          <t>MT5, cTrader</t>
        </is>
      </c>
      <c r="S7" s="11" t="inlineStr">
        <is>
          <t>https://getleveraged.com/faq/is-copy-trading-allowed/ ; https://getleveraged.com/faq/what-is-the-maximum-capital-allocation/</t>
        </is>
      </c>
    </row>
    <row r="8">
      <c r="A8" s="7" t="n">
        <v>7</v>
      </c>
      <c r="B8" s="7" t="inlineStr">
        <is>
          <t>Leveraged Crypto</t>
        </is>
      </c>
      <c r="C8" s="7" t="inlineStr">
        <is>
          <t>crypto</t>
        </is>
      </c>
      <c r="D8" s="8" t="inlineStr">
        <is>
          <t>OUI</t>
        </is>
      </c>
      <c r="E8" s="8" t="inlineStr">
        <is>
          <t>OUI</t>
        </is>
      </c>
      <c r="F8" s="7" t="inlineStr">
        <is>
          <t>Official FAQ 'Is copy trading allowed?': permitted 'Replicating trades between your own accounts across Leveraged, other prop firms, or personal retail brokers (must be registered under your name)'; prohibited between different individuals. 'Expert Advisors that you have fully developed and control yourself... A self-developed EA may be fully automated'; commercial EAs prohibited.</t>
        </is>
      </c>
      <c r="G8" s="7" t="inlineStr">
        <is>
          <t>one per program cap</t>
        </is>
      </c>
      <c r="H8" s="9" t="n">
        <v>150000</v>
      </c>
      <c r="I8" s="9" t="n">
        <v>1555000</v>
      </c>
      <c r="J8" s="10" t="n">
        <v>1555000</v>
      </c>
      <c r="K8" s="14" t="inlineStr">
        <is>
          <t>inconnu</t>
        </is>
      </c>
      <c r="L8" s="7" t="inlineStr">
        <is>
          <t>unknown</t>
        </is>
      </c>
      <c r="M8" s="7" t="inlineStr">
        <is>
          <t>crypto</t>
        </is>
      </c>
      <c r="N8" s="7" t="inlineStr">
        <is>
          <t>crypto:unknown (150k)</t>
        </is>
      </c>
      <c r="O8" s="7">
        <f> firm-wide 1555000 (crypto program alone 150000)</f>
        <v/>
      </c>
      <c r="P8" s="7" t="inlineStr">
        <is>
          <t>official stated (firm-wide $1,555,000 across all programs; Crypto program itself capped at $150,000)</t>
        </is>
      </c>
      <c r="Q8" s="7" t="inlineStr"/>
      <c r="R8" s="7" t="inlineStr">
        <is>
          <t>MT5, cTrader</t>
        </is>
      </c>
      <c r="S8" s="7" t="inlineStr">
        <is>
          <t>https://getleveraged.com/faq/is-copy-trading-allowed/ ; https://getleveraged.com/faq/what-is-the-maximum-capital-allocation/</t>
        </is>
      </c>
    </row>
    <row r="9">
      <c r="A9" s="11" t="n">
        <v>8</v>
      </c>
      <c r="B9" s="11" t="inlineStr">
        <is>
          <t>Upcomers</t>
        </is>
      </c>
      <c r="C9" s="11" t="inlineStr">
        <is>
          <t>CFD</t>
        </is>
      </c>
      <c r="D9" s="8" t="inlineStr">
        <is>
          <t>OUI</t>
        </is>
      </c>
      <c r="E9" s="13" t="inlineStr">
        <is>
          <t>OUI sous conditions</t>
        </is>
      </c>
      <c r="F9" s="11" t="inlineStr">
        <is>
          <t>Official copy-trading article: may replicate trades across accounts you personally own incl. 'multiple Upcomers accounts under the same individual'; BUT official EA article prohibits 'Generating identical or near-identical trades across multiple accounts' and requires EA customized to your style; automated flagging of near-identical trade-by-trade activity - risk of review.</t>
        </is>
      </c>
      <c r="G9" s="11" t="inlineStr"/>
      <c r="H9" s="12" t="n">
        <v>1500000</v>
      </c>
      <c r="I9" s="12" t="n">
        <v>1500000</v>
      </c>
      <c r="J9" s="10" t="n">
        <v>1500000</v>
      </c>
      <c r="K9" s="14" t="inlineStr">
        <is>
          <t>inconnu</t>
        </is>
      </c>
      <c r="L9" s="11" t="inlineStr">
        <is>
          <t>1 x 1.5M account (price unknown)</t>
        </is>
      </c>
      <c r="M9" s="11" t="inlineStr">
        <is>
          <t>unknown</t>
        </is>
      </c>
      <c r="N9" s="11" t="inlineStr">
        <is>
          <t>oracle(1M):11900 regular (official homepage);vanguard_Instant-Direct(1M)/thunderbolt(1.5M)/phoenix(1.5M):unknown</t>
        </is>
      </c>
      <c r="O9" s="11" t="inlineStr">
        <is>
          <t>official YES (own accounts) x official cap 1500000 = 1500000 (subject to identical-trade flagging)</t>
        </is>
      </c>
      <c r="P9" s="11" t="inlineStr">
        <is>
          <t>official stated: 'maximum total of $1,500,000 in funded accounts across all programs'</t>
        </is>
      </c>
      <c r="Q9" s="12" t="n">
        <v>4000000</v>
      </c>
      <c r="R9" s="11" t="inlineStr">
        <is>
          <t>MT5; TradeLocker; Match-Trader; cTrader; Upcomers X; DXtrade</t>
        </is>
      </c>
      <c r="S9" s="11" t="inlineStr">
        <is>
          <t>https://help.upcomers.com/en/articles/12640343-copy-trading ; https://help.upcomers.com/en/articles/11704867-are-expert-advisors-eas-trading-bots-and-automated-strategies-allowed ; https://help.upcomers.com/en/articles/8556249-how-many-accounts-can-i-have-with-upcomers</t>
        </is>
      </c>
    </row>
    <row r="10">
      <c r="A10" s="7" t="n">
        <v>9</v>
      </c>
      <c r="B10" s="7" t="inlineStr">
        <is>
          <t>Upcomers Futures</t>
        </is>
      </c>
      <c r="C10" s="7" t="inlineStr">
        <is>
          <t>Futures</t>
        </is>
      </c>
      <c r="D10" s="8" t="inlineStr">
        <is>
          <t>OUI</t>
        </is>
      </c>
      <c r="E10" s="13" t="inlineStr">
        <is>
          <t>OUI sous conditions</t>
        </is>
      </c>
      <c r="F10" s="7" t="inlineStr">
        <is>
          <t>Same Upcomers policy: copying across own accounts allowed; identical/near-identical trades across accounts flagged/prohibited under EA policy.</t>
        </is>
      </c>
      <c r="G10" s="7" t="inlineStr"/>
      <c r="H10" s="9" t="n">
        <v>400000</v>
      </c>
      <c r="I10" s="9" t="n">
        <v>1500000</v>
      </c>
      <c r="J10" s="10" t="n">
        <v>1500000</v>
      </c>
      <c r="K10" s="10" t="n">
        <v>23100</v>
      </c>
      <c r="L10" s="7" t="inlineStr">
        <is>
          <t>3 x 7700 (instant 400k) + 1 x 300k (price unknown) = 23100 + unknown</t>
        </is>
      </c>
      <c r="M10" s="7" t="inlineStr">
        <is>
          <t>Instant-Direct</t>
        </is>
      </c>
      <c r="N10" s="7" t="inlineStr">
        <is>
          <t>Instant-Direct(400k):7700 regular (official; 770 at 90% promo);1 Step(400k):unknown</t>
        </is>
      </c>
      <c r="O10" s="7" t="inlineStr">
        <is>
          <t>official YES x official cap 1500000 (e.g. 3 x 400000 + 300000)</t>
        </is>
      </c>
      <c r="P10" s="7" t="inlineStr">
        <is>
          <t>official stated: $1.5M cap across all programs; futures accounts up to $400K</t>
        </is>
      </c>
      <c r="Q10" s="9" t="n">
        <v>4000000</v>
      </c>
      <c r="R10" s="7" t="inlineStr">
        <is>
          <t>Upcomers X (web)</t>
        </is>
      </c>
      <c r="S10" s="7" t="inlineStr">
        <is>
          <t>https://help.upcomers.com/en/articles/12640343-copy-trading ; https://upcomers.com/futures</t>
        </is>
      </c>
    </row>
    <row r="11">
      <c r="A11" s="11" t="n">
        <v>10</v>
      </c>
      <c r="B11" s="11" t="inlineStr">
        <is>
          <t>Funded Futures Network</t>
        </is>
      </c>
      <c r="C11" s="11" t="inlineStr">
        <is>
          <t>Futures</t>
        </is>
      </c>
      <c r="D11" s="8" t="inlineStr">
        <is>
          <t>OUI</t>
        </is>
      </c>
      <c r="E11" s="13" t="inlineStr">
        <is>
          <t>OUI sous conditions</t>
        </is>
      </c>
      <c r="F11" s="11" t="inlineStr">
        <is>
          <t>FAQ: 'You can copy trade a maximum of 5 accounts. You cannot have more than 5 accounts trading at one time on the same product simultaneously.' 'Automated trading is allowed but at the discretion of FFN'; no HFT bots</t>
        </is>
      </c>
      <c r="G11" s="11" t="inlineStr">
        <is>
          <t>5</t>
        </is>
      </c>
      <c r="H11" s="12" t="n">
        <v>250000</v>
      </c>
      <c r="I11" s="12" t="n">
        <v>1250000</v>
      </c>
      <c r="J11" s="10" t="n">
        <v>1250000</v>
      </c>
      <c r="K11" s="14" t="inlineStr">
        <is>
          <t>inconnu</t>
        </is>
      </c>
      <c r="L11" s="11" t="inlineStr">
        <is>
          <t>unknown</t>
        </is>
      </c>
      <c r="M11" s="11" t="inlineStr">
        <is>
          <t>1 Step</t>
        </is>
      </c>
      <c r="N11" s="11" t="inlineStr">
        <is>
          <t>1 Step:unknown (250k; MAX Standard 50k = 160/month)</t>
        </is>
      </c>
      <c r="O11" s="11" t="inlineStr">
        <is>
          <t>5 x 250000 = 1250000 (official computed; copy limited to 5 accounts)</t>
        </is>
      </c>
      <c r="P11" s="11" t="inlineStr">
        <is>
          <t>official computed (5 funded x 250000): 'You can have up to a total of 10 accounts, however, you can only have 5 funded accounts.'</t>
        </is>
      </c>
      <c r="Q11" s="11" t="inlineStr"/>
      <c r="R11" s="11" t="inlineStr">
        <is>
          <t>Onyx;Quantower (FundX);EdgeProX;MotiveWave</t>
        </is>
      </c>
      <c r="S11" s="11" t="inlineStr">
        <is>
          <t>https://fundedfuturesnetwork.zendesk.com/hc/en-us/articles/47493608444059-FFN-Frequently-Asked-Questions</t>
        </is>
      </c>
    </row>
    <row r="12">
      <c r="A12" s="7" t="n">
        <v>11</v>
      </c>
      <c r="B12" s="7" t="inlineStr">
        <is>
          <t>CK Capital</t>
        </is>
      </c>
      <c r="C12" s="7" t="inlineStr">
        <is>
          <t>CFD</t>
        </is>
      </c>
      <c r="D12" s="8" t="inlineStr">
        <is>
          <t>OUI</t>
        </is>
      </c>
      <c r="E12" s="8" t="inlineStr">
        <is>
          <t>OUI</t>
        </is>
      </c>
      <c r="F12" s="7" t="inlineStr">
        <is>
          <t>review site (TTP): 'Allows Copy Trading: Yes'; official EA article: EAs allowed without approval, not on cTrader; official copy-trading article not reachable</t>
        </is>
      </c>
      <c r="G12" s="7" t="inlineStr"/>
      <c r="H12" s="9" t="n">
        <v>300000</v>
      </c>
      <c r="I12" s="9" t="n">
        <v>1100000</v>
      </c>
      <c r="J12" s="10" t="n">
        <v>1100000</v>
      </c>
      <c r="K12" s="14" t="inlineStr">
        <is>
          <t>inconnu</t>
        </is>
      </c>
      <c r="L12" s="7" t="inlineStr">
        <is>
          <t>unknown</t>
        </is>
      </c>
      <c r="M12" s="7" t="inlineStr">
        <is>
          <t>unknown</t>
        </is>
      </c>
      <c r="N12" s="7" t="inlineStr">
        <is>
          <t>Instant-Direct:unknown (200k; 5k=180);1 Step:unknown (300k);2 Step:unknown (300k; 5k=88, 100k=528 TTP)</t>
        </is>
      </c>
      <c r="O12" s="7">
        <f> 1100000 (review-site basis for copying; e.g. 3 x 300000 + 200000)</f>
        <v/>
      </c>
      <c r="P12" s="7" t="inlineStr">
        <is>
          <t>official stated (help 10487138 via search snippet): 'CK Capital does not allow exceeding the $1,100,000 per household limit' (CORRECTS 200000; TTP says 200000)</t>
        </is>
      </c>
      <c r="Q12" s="9" t="n">
        <v>1200000</v>
      </c>
      <c r="R12" s="7" t="inlineStr">
        <is>
          <t>TradeLocker; MT5; cTrader (no EA)</t>
        </is>
      </c>
      <c r="S12" s="7" t="inlineStr">
        <is>
          <t>https://intercom.help/ckcapitaluk/en/articles/10487138-can-i-exceed-the-maximum-allocation | https://intercom.help/ckcapitaluk/en/articles/9566451-can-i-use-eas | https://thetrustedprop.com/prop-firms/ck-capital (fallback)</t>
        </is>
      </c>
    </row>
    <row r="13">
      <c r="A13" s="11" t="n">
        <v>12</v>
      </c>
      <c r="B13" s="11" t="inlineStr">
        <is>
          <t>Axi Select</t>
        </is>
      </c>
      <c r="C13" s="11" t="inlineStr">
        <is>
          <t>CFD</t>
        </is>
      </c>
      <c r="D13" s="8" t="inlineStr">
        <is>
          <t>OUI</t>
        </is>
      </c>
      <c r="E13" s="15" t="inlineStr">
        <is>
          <t>NON (un seul compte par stratégie)</t>
        </is>
      </c>
      <c r="F13" s="11" t="inlineStr">
        <is>
          <t>Axi help: 'the use of Copy Trading in Axi Select is strictly prohibited'; 'Expert Advisors (EAs) can be employed ... must not be utilized for copying trades'; only own custom-built EAs</t>
        </is>
      </c>
      <c r="G13" s="11" t="inlineStr">
        <is>
          <t>1</t>
        </is>
      </c>
      <c r="H13" s="12" t="n">
        <v>1000000</v>
      </c>
      <c r="I13" s="12" t="n">
        <v>1000000</v>
      </c>
      <c r="J13" s="10" t="n">
        <v>1000000</v>
      </c>
      <c r="K13" s="14" t="inlineStr">
        <is>
          <t>inconnu</t>
        </is>
      </c>
      <c r="L13" s="11" t="inlineStr">
        <is>
          <t>0 (no fee; own deposit min 500)</t>
        </is>
      </c>
      <c r="M13" s="11" t="inlineStr">
        <is>
          <t>4 Step et +</t>
        </is>
      </c>
      <c r="N13" s="11" t="inlineStr">
        <is>
          <t>4 Step et +:0 (free to join; min own deposit 500)</t>
        </is>
      </c>
      <c r="O13" s="11" t="inlineStr">
        <is>
          <t>NO -&gt; single Axi Select account (max 1000000 only via scaling; starts at own deposit)</t>
        </is>
      </c>
      <c r="P13" s="11" t="inlineStr">
        <is>
          <t>ATTENTION plafond via scaling. official stated (scaling ladder Seed 5k -&gt; Pro M 1,000,000; broker program on own deposit, single account)</t>
        </is>
      </c>
      <c r="Q13" s="12" t="n">
        <v>1000000</v>
      </c>
      <c r="R13" s="11" t="inlineStr">
        <is>
          <t>MT4; MT5</t>
        </is>
      </c>
      <c r="S13" s="11" t="inlineStr">
        <is>
          <t>https://help.axi.com/en-US/axiv2--axicorp-prod/article/C8cCMxjz-can-i-use-copy-trading-in-axi-select | https://www.axi.com/int/axi-select</t>
        </is>
      </c>
    </row>
    <row r="14">
      <c r="A14" s="7" t="n">
        <v>13</v>
      </c>
      <c r="B14" s="7" t="inlineStr">
        <is>
          <t>BestProp4U</t>
        </is>
      </c>
      <c r="C14" s="7" t="inlineStr">
        <is>
          <t>CFD + Futures</t>
        </is>
      </c>
      <c r="D14" s="8" t="inlineStr">
        <is>
          <t>OUI</t>
        </is>
      </c>
      <c r="E14" s="13" t="inlineStr">
        <is>
          <t>OUI sous conditions</t>
        </is>
      </c>
      <c r="F14" s="7" t="inlineStr">
        <is>
          <t>FAQ: 'Copy trading from one account to another is only permitted if the trader owns all the accounts in question.' BUT also 'Using automated trading systems (EAs) or third-party trading strategies that facilitate copy trading is strictly prohibited' -&gt; clarify EA-driven copying with support; DXtrade no EAs</t>
        </is>
      </c>
      <c r="G14" s="7" t="inlineStr"/>
      <c r="H14" s="9" t="n">
        <v>1000000</v>
      </c>
      <c r="I14" s="9" t="n">
        <v>1000000</v>
      </c>
      <c r="J14" s="10" t="n">
        <v>1000000</v>
      </c>
      <c r="K14" s="10" t="n">
        <v>4950</v>
      </c>
      <c r="L14" s="7" t="inlineStr">
        <is>
          <t>2 x 2475 (two_step 400k) + 1 x two_step 200k (price unknown) = 4950+</t>
        </is>
      </c>
      <c r="M14" s="7" t="inlineStr">
        <is>
          <t>2 Step</t>
        </is>
      </c>
      <c r="N14" s="7" t="inlineStr">
        <is>
          <t>1 Step:4050 (400k);2 Step:2475 (400k);Instant-Direct:unknown (190k cap);4 Step et +:unknown (1M futures) [review site TTP]</t>
        </is>
      </c>
      <c r="O14" s="7">
        <f> 1000000 (e.g. 2 x 400000 + 200000)</f>
        <v/>
      </c>
      <c r="P14" s="7" t="inlineStr">
        <is>
          <t>official stated (FAQ): 'A maximum of $1 million in active funded plans per person is permitted.' (Instant: 'maximum of $190,000 in active Instant Funding plans'; Futures: combined 325,000)</t>
        </is>
      </c>
      <c r="Q14" s="7" t="inlineStr"/>
      <c r="R14" s="7" t="inlineStr">
        <is>
          <t>DXtrade (no EA); cTrader; Match-Trader; Rithmic (futures)</t>
        </is>
      </c>
      <c r="S14" s="7" t="inlineStr">
        <is>
          <t>https://bestprop4u.com/faq</t>
        </is>
      </c>
    </row>
    <row r="15">
      <c r="A15" s="11" t="n">
        <v>14</v>
      </c>
      <c r="B15" s="11" t="inlineStr">
        <is>
          <t>Blink Funding</t>
        </is>
      </c>
      <c r="C15" s="11" t="inlineStr">
        <is>
          <t>CFD</t>
        </is>
      </c>
      <c r="D15" s="8" t="inlineStr">
        <is>
          <t>OUI</t>
        </is>
      </c>
      <c r="E15" s="8" t="inlineStr">
        <is>
          <t>OUI</t>
        </is>
      </c>
      <c r="F15" s="11" t="inlineStr">
        <is>
          <t>review site (TTP): 'Allows Copy Trading: Yes'; official FAQ: EAs allowed 'subject to our policy on Prohibited Trading' (no off-the-shelf strategies, no different strategy eval vs live); copying between own accounts not addressed officially</t>
        </is>
      </c>
      <c r="G15" s="11" t="inlineStr"/>
      <c r="H15" s="12" t="n">
        <v>1000000</v>
      </c>
      <c r="I15" s="12" t="n">
        <v>1000000</v>
      </c>
      <c r="J15" s="10" t="n">
        <v>1000000</v>
      </c>
      <c r="K15" s="10" t="n">
        <v>3600</v>
      </c>
      <c r="L15" s="11" t="inlineStr">
        <is>
          <t>2 x 1800 (three_step 500k) = 3600</t>
        </is>
      </c>
      <c r="M15" s="11" t="inlineStr">
        <is>
          <t>3 Step</t>
        </is>
      </c>
      <c r="N15" s="11" t="inlineStr">
        <is>
          <t>1 Step:4500 (500k);2 Step:3000 (500k);3 Step:1800 (500k); 1M price unknown</t>
        </is>
      </c>
      <c r="O15" s="11">
        <f> 1000000 (review-site basis; 2 x 500000)</f>
        <v/>
      </c>
      <c r="P15" s="11" t="inlineStr">
        <is>
          <t>official computed (largest account 1,000,000 listed on how-it-works; no cumulative cap published; TTP lists 500000)</t>
        </is>
      </c>
      <c r="Q15" s="11" t="inlineStr"/>
      <c r="R15" s="11" t="inlineStr">
        <is>
          <t>DXtrade (no EA); Match-Trader; cTrader (ThinkMarkets)</t>
        </is>
      </c>
      <c r="S15" s="11" t="inlineStr">
        <is>
          <t>https://blinkfunding.com/how-it-works/ | https://thetrustedprop.com/prop-firms/blink-funding (fallback)</t>
        </is>
      </c>
    </row>
    <row r="16">
      <c r="A16" s="7" t="n">
        <v>15</v>
      </c>
      <c r="B16" s="7" t="inlineStr">
        <is>
          <t>Finotive Futures</t>
        </is>
      </c>
      <c r="C16" s="7" t="inlineStr">
        <is>
          <t>Futures</t>
        </is>
      </c>
      <c r="D16" s="8" t="inlineStr">
        <is>
          <t>OUI</t>
        </is>
      </c>
      <c r="E16" s="8" t="inlineStr">
        <is>
          <t>OUI</t>
        </is>
      </c>
      <c r="F16" s="7" t="inlineStr">
        <is>
          <t>Legal: 'Copy trading is permitted only across accounts that the Trader personally owns and controls, whether held with Finotive Futures or at another prop firm.' 'Trading bots, Expert Advisors, and other automated or algorithmic trading strategies are permitted on all Finotive Futures accounts'</t>
        </is>
      </c>
      <c r="G16" s="7" t="inlineStr">
        <is>
          <t>unlimited (funded capital cap)</t>
        </is>
      </c>
      <c r="H16" s="9" t="n">
        <v>150000</v>
      </c>
      <c r="I16" s="9" t="n">
        <v>1000000</v>
      </c>
      <c r="J16" s="10" t="n">
        <v>1000000</v>
      </c>
      <c r="K16" s="10" t="n">
        <v>2693</v>
      </c>
      <c r="L16" s="7" t="inlineStr">
        <is>
          <t>6 x 399 (one_step 150k) + 1 x 299 (one_step 100k) = 2693</t>
        </is>
      </c>
      <c r="M16" s="7" t="inlineStr">
        <is>
          <t>1 Step</t>
        </is>
      </c>
      <c r="N16" s="7" t="inlineStr">
        <is>
          <t>1 Step:399 (150k); 100k=299</t>
        </is>
      </c>
      <c r="O16" s="7" t="inlineStr">
        <is>
          <t>6 x 150000 + 1 x 100000 = 1000000 (official)</t>
        </is>
      </c>
      <c r="P16" s="7" t="inlineStr">
        <is>
          <t>official stated: 'your total funded allocation cannot exceed $1,000,000 at any point'; 'You can hold as many accounts as you like. The only limit is on funded capital.'</t>
        </is>
      </c>
      <c r="Q16" s="7" t="inlineStr"/>
      <c r="R16" s="7" t="inlineStr">
        <is>
          <t>NinjaTrader; Tradovate; TradingView; DeepCharts; ATAS; Quantower</t>
        </is>
      </c>
      <c r="S16" s="7" t="inlineStr">
        <is>
          <t>https://finotivefutures.com/legal</t>
        </is>
      </c>
    </row>
    <row r="17">
      <c r="A17" s="11" t="n">
        <v>16</v>
      </c>
      <c r="B17" s="11" t="inlineStr">
        <is>
          <t>Funded Trader Markets</t>
        </is>
      </c>
      <c r="C17" s="11" t="inlineStr">
        <is>
          <t>CFD</t>
        </is>
      </c>
      <c r="D17" s="8" t="inlineStr">
        <is>
          <t>OUI</t>
        </is>
      </c>
      <c r="E17" s="13" t="inlineStr">
        <is>
          <t>OUI sous conditions</t>
        </is>
      </c>
      <c r="F17" s="11" t="inlineStr">
        <is>
          <t>Help 9999529: 'permits the use of trade copiers in all our programs' for your own trades; copiers only Evaluation&lt;-&gt;Evaluation or Sim Funded&lt;-&gt;Sim Funded (eval-&gt;funded prohibited); no identical bots as another trader; exceeding a program cap voids profits</t>
        </is>
      </c>
      <c r="G17" s="11" t="inlineStr"/>
      <c r="H17" s="12" t="n">
        <v>300000</v>
      </c>
      <c r="I17" s="12" t="n">
        <v>1000000</v>
      </c>
      <c r="J17" s="10" t="n">
        <v>1000000</v>
      </c>
      <c r="K17" s="10" t="n">
        <v>1622</v>
      </c>
      <c r="L17" s="11" t="inlineStr">
        <is>
          <t>1 x 1622 (one_step Nitro 300k) + two_step 300k + instant 400k (prices unknown) = 1622+</t>
        </is>
      </c>
      <c r="M17" s="11" t="inlineStr">
        <is>
          <t>1 Step</t>
        </is>
      </c>
      <c r="N17" s="11" t="inlineStr">
        <is>
          <t>1 Step:1622 (Nitro 300k list);2 Step:unknown (from 33);Instant-Direct:unknown (from 47)</t>
        </is>
      </c>
      <c r="O17" s="11" t="inlineStr">
        <is>
          <t>300000 + 300000 + 200000 + 100000 + 100000 = 1000000 (official; per-program caps)</t>
        </is>
      </c>
      <c r="P17" s="11" t="inlineStr">
        <is>
          <t>official stated: 'the maximum allocation of Simulated Capital is $1,000,000' (Evaluations 600k: 2-Step Plus 300k + 1-Step Nitro 300k; Instant 400k: Standard 200k + Pro 100k + Plus 100k)</t>
        </is>
      </c>
      <c r="Q17" s="11" t="inlineStr"/>
      <c r="R17" s="11" t="inlineStr">
        <is>
          <t>MT5;cTrader;TradeLocker;Match-Trader</t>
        </is>
      </c>
      <c r="S17" s="11" t="inlineStr">
        <is>
          <t>https://intercom.help/fundedtradermarkets/en/articles/9999450-how-much-simulated-capital-am-i-allowed-to-trade-at-funded-trader-markets | https://intercom.help/fundedtradermarkets/en/articles/9999529-am-i-allowed-to-use-a-trade-copier</t>
        </is>
      </c>
    </row>
    <row r="18">
      <c r="A18" s="7" t="n">
        <v>17</v>
      </c>
      <c r="B18" s="7" t="inlineStr">
        <is>
          <t>FundedForge</t>
        </is>
      </c>
      <c r="C18" s="7" t="inlineStr">
        <is>
          <t>CFD</t>
        </is>
      </c>
      <c r="D18" s="8" t="inlineStr">
        <is>
          <t>OUI</t>
        </is>
      </c>
      <c r="E18" s="13" t="inlineStr">
        <is>
          <t>OUI sous conditions</t>
        </is>
      </c>
      <c r="F18" s="7" t="inlineStr">
        <is>
          <t>Official FAQ: 'Copy trading from one account to another is only permitted if the trader owns all the accounts in question.' Automated strategies allowed subject to Prohibited Trading (no third-party/off-the-shelf strategies, no latency exploitation, no cross-account hedging). DXtrade has no EA support (use Match-Trader/cTrader).</t>
        </is>
      </c>
      <c r="G18" s="7" t="inlineStr">
        <is>
          <t>one active evaluation per size &amp; tier; funded capped by $1M</t>
        </is>
      </c>
      <c r="H18" s="9" t="n">
        <v>500000</v>
      </c>
      <c r="I18" s="9" t="n">
        <v>1000000</v>
      </c>
      <c r="J18" s="10" t="n">
        <v>1000000</v>
      </c>
      <c r="K18" s="14" t="inlineStr">
        <is>
          <t>inconnu</t>
        </is>
      </c>
      <c r="L18" s="7" t="inlineStr">
        <is>
          <t>2 x 500k (one_step or two_step; price unknown) = unknown</t>
        </is>
      </c>
      <c r="M18" s="7" t="inlineStr">
        <is>
          <t>unknown</t>
        </is>
      </c>
      <c r="N18" s="7" t="inlineStr">
        <is>
          <t>unknown (official site shows sizes up to $500K 1-step/2-step, $100K Instant-Direct, but no prices; not listed on TTP/fundedtrading)</t>
        </is>
      </c>
      <c r="O18" s="7">
        <f> max_cumulative 1000000 (own-account copying allowed; e.g. 2 x 500k)</f>
        <v/>
      </c>
      <c r="P18" s="7" t="inlineStr">
        <is>
          <t>official stated (FAQ: 'A maximum of $1 million in active funded plans per person is permitted'; Instant Funding max $190,000, one of each size; one evaluation per size/tier at a time)</t>
        </is>
      </c>
      <c r="Q18" s="7" t="inlineStr"/>
      <c r="R18" s="7" t="inlineStr">
        <is>
          <t>DXtrade (no EAs);Match-Trader;cTrader</t>
        </is>
      </c>
      <c r="S18" s="7" t="inlineStr">
        <is>
          <t>https://www.fundedforge.com/faqs ; https://fundedforge.com/trading-rules</t>
        </is>
      </c>
    </row>
    <row r="19">
      <c r="A19" s="11" t="n">
        <v>18</v>
      </c>
      <c r="B19" s="11" t="inlineStr">
        <is>
          <t>IF Crypto</t>
        </is>
      </c>
      <c r="C19" s="11" t="inlineStr">
        <is>
          <t>CFD</t>
        </is>
      </c>
      <c r="D19" s="8" t="inlineStr">
        <is>
          <t>OUI</t>
        </is>
      </c>
      <c r="E19" s="8" t="inlineStr">
        <is>
          <t>OUI</t>
        </is>
      </c>
      <c r="F19" s="11" t="inlineStr">
        <is>
          <t>Official prohibited-practices page: 'Copying trades, signals or management from accounts that aren't your own. Your own accounts are fine.' 'Public third-party expert advisors are restricted. First-party EAs you build yourself are allowed.' HFT (&lt;60s holds) banned. Crypto products: One-Phase Crypto (max 100k), IF Micro Crypto (20k).</t>
        </is>
      </c>
      <c r="G19" s="11" t="inlineStr">
        <is>
          <t>unlimited within $1M</t>
        </is>
      </c>
      <c r="H19" s="12" t="n">
        <v>100000</v>
      </c>
      <c r="I19" s="12" t="n">
        <v>1000000</v>
      </c>
      <c r="J19" s="10" t="n">
        <v>1000000</v>
      </c>
      <c r="K19" s="14" t="inlineStr">
        <is>
          <t>inconnu</t>
        </is>
      </c>
      <c r="L19" s="11" t="inlineStr">
        <is>
          <t>10 x one_phase_crypto 100k (price not retrieved; ~1798 each if same as non-crypto = ~17980)</t>
        </is>
      </c>
      <c r="M19" s="11" t="inlineStr">
        <is>
          <t>one_phase_crypto</t>
        </is>
      </c>
      <c r="N19" s="11" t="inlineStr">
        <is>
          <t>one_phase_crypto:unknown (100k);if_micro_crypto:unknown (20k) [prices not retrievable; non-crypto one-phase 100k = 1798 per fundedtrading]</t>
        </is>
      </c>
      <c r="O19" s="11">
        <f> max_cumulative 1000000 (own accounts fine; e.g. 10 x 100k One-Phase Crypto)</f>
        <v/>
      </c>
      <c r="P19" s="11" t="inlineStr">
        <is>
          <t>official stated (Instant Funding help: 'combined cap of $1,000,000 across all account types and challenge types, based on starting balance only'; scaled portion excluded)</t>
        </is>
      </c>
      <c r="Q19" s="11" t="inlineStr"/>
      <c r="R19" s="11" t="inlineStr">
        <is>
          <t>MT5;cTrader;Match-Trader</t>
        </is>
      </c>
      <c r="S19" s="11" t="inlineStr">
        <is>
          <t>https://instantfunding.com/help/prohibited-trading-practice/ ; https://instantfunding.com/help/how-many-accounts-can-i-have/</t>
        </is>
      </c>
    </row>
    <row r="20">
      <c r="A20" s="7" t="n">
        <v>19</v>
      </c>
      <c r="B20" s="7" t="inlineStr">
        <is>
          <t>Instant Funding</t>
        </is>
      </c>
      <c r="C20" s="7" t="inlineStr">
        <is>
          <t>CFD + Futures</t>
        </is>
      </c>
      <c r="D20" s="8" t="inlineStr">
        <is>
          <t>OUI</t>
        </is>
      </c>
      <c r="E20" s="8" t="inlineStr">
        <is>
          <t>OUI</t>
        </is>
      </c>
      <c r="F20" s="7" t="inlineStr">
        <is>
          <t>Official: 'Copying trades, signals or management from accounts that aren't your own. Your own accounts are fine.' 'Copy trading is only permitted between accounts owned by the same individual.' 'Public third-party expert advisors are restricted. First-party EAs you build yourself are allowed.' HFT (&lt;60s holds / unusually many trades per hour) banned.</t>
        </is>
      </c>
      <c r="G20" s="7" t="inlineStr">
        <is>
          <t>unlimited within $1M</t>
        </is>
      </c>
      <c r="H20" s="9" t="n">
        <v>300000</v>
      </c>
      <c r="I20" s="9" t="n">
        <v>1000000</v>
      </c>
      <c r="J20" s="10" t="n">
        <v>1000000</v>
      </c>
      <c r="K20" s="10" t="n">
        <v>10780</v>
      </c>
      <c r="L20" s="7" t="inlineStr">
        <is>
          <t>10 x 1078 (two_phase 100k) = 10780</t>
        </is>
      </c>
      <c r="M20" s="7" t="inlineStr">
        <is>
          <t>two_phase</t>
        </is>
      </c>
      <c r="N20" s="7" t="inlineStr">
        <is>
          <t>Instant-Direct:5499 (100k; 300k unlisted);one_phase:1798 (100k; 300k unlisted);two_phase:1078 (100k; 300k unlisted);if_micro:1659 (120k);if1:939 (80k) [fundedtrading review]</t>
        </is>
      </c>
      <c r="O20" s="7">
        <f> max_cumulative 1000000</f>
        <v/>
      </c>
      <c r="P20" s="7" t="inlineStr">
        <is>
          <t>official stated (help: 'combined cap of $1,000,000 across all account types and challenge types, based on starting balance only'; 'one total limit')</t>
        </is>
      </c>
      <c r="Q20" s="7" t="inlineStr"/>
      <c r="R20" s="7" t="inlineStr">
        <is>
          <t>MT5;cTrader;Match-Trader</t>
        </is>
      </c>
      <c r="S20" s="7" t="inlineStr">
        <is>
          <t>https://instantfunding.com/help/how-many-accounts-can-i-have/ ; https://instantfunding.com/help/prohibited-trading-practice/ ; https://instantfunding.com/help/is-copy-trading-allowed/</t>
        </is>
      </c>
    </row>
    <row r="21">
      <c r="A21" s="11" t="n">
        <v>20</v>
      </c>
      <c r="B21" s="11" t="inlineStr">
        <is>
          <t>Investiqa</t>
        </is>
      </c>
      <c r="C21" s="11" t="inlineStr">
        <is>
          <t>CFD</t>
        </is>
      </c>
      <c r="D21" s="8" t="inlineStr">
        <is>
          <t>OUI</t>
        </is>
      </c>
      <c r="E21" s="13" t="inlineStr">
        <is>
          <t>OUI sous conditions</t>
        </is>
      </c>
      <c r="F21" s="11" t="inlineStr">
        <is>
          <t>Official FAQ: 'Copy trading is only permitted when all accounts engaged in copy trading are owned by you.' Automated strategies allowed subject to Prohibited Trading (no third-party/off-the-shelf strategies, same strategy eval-&gt;funded, no latency exploitation); Crypto-only DXtrade plans do not support EAs.</t>
        </is>
      </c>
      <c r="G21" s="11" t="inlineStr">
        <is>
          <t>one evaluation per size &amp; tier; $1M total</t>
        </is>
      </c>
      <c r="H21" s="12" t="n">
        <v>400000</v>
      </c>
      <c r="I21" s="12" t="n">
        <v>1000000</v>
      </c>
      <c r="J21" s="10" t="n">
        <v>1000000</v>
      </c>
      <c r="K21" s="10" t="n">
        <v>5040</v>
      </c>
      <c r="L21" s="11" t="inlineStr">
        <is>
          <t>2 x 2520 (two_step 500k, TTP) = 5040 (official sizes now max 400k -&gt; 400k+400k+200k, prices not retrieved)</t>
        </is>
      </c>
      <c r="M21" s="11" t="inlineStr">
        <is>
          <t>2 Step</t>
        </is>
      </c>
      <c r="N21" s="11" t="inlineStr">
        <is>
          <t>1 Step:4463 (500k, TTP; official now lists max 400k);2 Step:2520 (500k, TTP);Instant-Direct/crypto/futures:unknown</t>
        </is>
      </c>
      <c r="O21" s="11">
        <f> max_cumulative 1000000 (e.g. 2 x 400k + 200k)</f>
        <v/>
      </c>
      <c r="P21" s="11" t="inlineStr">
        <is>
          <t>official stated (FAQ: 'A maximum of $1 million in active funded plans per person is permitted')</t>
        </is>
      </c>
      <c r="Q21" s="11" t="inlineStr"/>
      <c r="R21" s="11" t="inlineStr">
        <is>
          <t>DXtrade (no EAs), Match-Trader, cTrader (via GooeyTrade)</t>
        </is>
      </c>
      <c r="S21" s="11" t="inlineStr">
        <is>
          <t>https://investiqa.com/faqs/</t>
        </is>
      </c>
    </row>
    <row r="22">
      <c r="A22" s="7" t="n">
        <v>21</v>
      </c>
      <c r="B22" s="7" t="inlineStr">
        <is>
          <t>Kickstart Trading</t>
        </is>
      </c>
      <c r="C22" s="7" t="inlineStr">
        <is>
          <t>CFD + Futures</t>
        </is>
      </c>
      <c r="D22" s="8" t="inlineStr">
        <is>
          <t>OUI</t>
        </is>
      </c>
      <c r="E22" s="13" t="inlineStr">
        <is>
          <t>OUI sous conditions</t>
        </is>
      </c>
      <c r="F22" s="7" t="inlineStr">
        <is>
          <t>Official FAQ: 'Copy trading from one account to another is only permitted if the trader owns all accounts involved.' 'Automated strategies may be used subject to the prohibited trading policy and all applicable provider rules'; no third-party passing strategies, no latency exploitation. DXtrade has no EA support.</t>
        </is>
      </c>
      <c r="G22" s="7" t="inlineStr">
        <is>
          <t>one evaluation per size &amp; tier; $1M total</t>
        </is>
      </c>
      <c r="H22" s="9" t="n">
        <v>1000000</v>
      </c>
      <c r="I22" s="9" t="n">
        <v>1000000</v>
      </c>
      <c r="J22" s="10" t="n">
        <v>1000000</v>
      </c>
      <c r="K22" s="10" t="n">
        <v>5520</v>
      </c>
      <c r="L22" s="7" t="inlineStr">
        <is>
          <t>2 x 2760 (two_step_fx 500k) = 5520</t>
        </is>
      </c>
      <c r="M22" s="7" t="inlineStr">
        <is>
          <t>2 Step_fx</t>
        </is>
      </c>
      <c r="N22" s="7" t="inlineStr">
        <is>
          <t>Instant-Direct:5000 (100k);1 Step_fx:9800 (1M) / 4895 (500k);2 Step_fx:2760 (500k);futures_funding:1735 (150k);1 Step_futures:360/month (150k);equities:1400 (200k) [official]</t>
        </is>
      </c>
      <c r="O22" s="7">
        <f> max_cumulative 1000000 (e.g. 2 x 500k two_step)</f>
        <v/>
      </c>
      <c r="P22" s="7" t="inlineStr">
        <is>
          <t>official stated (FAQ: max active evaluation and max active funded plans capped at $1M per person; futures one per tier, $325K combined)</t>
        </is>
      </c>
      <c r="Q22" s="7" t="inlineStr"/>
      <c r="R22" s="7" t="inlineStr">
        <is>
          <t>DXtrade (no EAs), Match-Trader, cTrader (FX/CFD); DXFutures, Volumetrica, R|Trader Pro, Quantower, MotiveWave, Bookmap (futures); GooeyPro (equities)</t>
        </is>
      </c>
      <c r="S22" s="7" t="inlineStr">
        <is>
          <t>https://kickstarttrading.com/faq ; https://kickstarttrading.com/funding/</t>
        </is>
      </c>
    </row>
    <row r="23">
      <c r="A23" s="11" t="n">
        <v>22</v>
      </c>
      <c r="B23" s="11" t="inlineStr">
        <is>
          <t>Kingdom Wealth Funding</t>
        </is>
      </c>
      <c r="C23" s="11" t="inlineStr">
        <is>
          <t>CFD</t>
        </is>
      </c>
      <c r="D23" s="8" t="inlineStr">
        <is>
          <t>OUI</t>
        </is>
      </c>
      <c r="E23" s="13" t="inlineStr">
        <is>
          <t>OUI sous conditions</t>
        </is>
      </c>
      <c r="F23" s="11" t="inlineStr">
        <is>
          <t>Official site: 'Subject to our policy on Prohibited Trading... you can trade using an Expert Advisor'; prohibits third-party/off-the-shelf strategies, strategy switching, cross-account arbitrage. Linked T&amp;C is the same dashboardanalytix template as Ment/Investiqa/FundedForge ('Copy trading from one account to another is only permitted if the trader owns all the accounts') per prior read - not re-verified now; TTP field now 'Undisclosed'.</t>
        </is>
      </c>
      <c r="G23" s="11" t="inlineStr"/>
      <c r="H23" s="12" t="n">
        <v>1000000</v>
      </c>
      <c r="I23" s="12" t="n">
        <v>1000000</v>
      </c>
      <c r="J23" s="10" t="n">
        <v>1000000</v>
      </c>
      <c r="K23" s="10" t="n">
        <v>8500</v>
      </c>
      <c r="L23" s="11" t="inlineStr">
        <is>
          <t>1 x 8500 (one_step 1M) = 8500</t>
        </is>
      </c>
      <c r="M23" s="11" t="inlineStr">
        <is>
          <t>1 Step</t>
        </is>
      </c>
      <c r="N23" s="11" t="inlineStr">
        <is>
          <t>1 Step:8500 (1M) [official]</t>
        </is>
      </c>
      <c r="O23" s="11">
        <f> max_cumulative 1000000 (single 1M account available; own-account copying per template T&amp;C, unverified at fetch)</f>
        <v/>
      </c>
      <c r="P23" s="11" t="inlineStr">
        <is>
          <t>linked T&amp;C (dashboardanalytix client terms, prior read: max $1M active evaluation or funded plans per person); T&amp;C not retrievable at fetch (redirect loop)</t>
        </is>
      </c>
      <c r="Q23" s="11" t="inlineStr"/>
      <c r="R23" s="11" t="inlineStr">
        <is>
          <t>MT4, MT5</t>
        </is>
      </c>
      <c r="S23" s="11" t="inlineStr">
        <is>
          <t>https://kingdomwealthfunding.com/ ; https://dashboardanalytix.com/client-terms-and-policies/</t>
        </is>
      </c>
    </row>
    <row r="24">
      <c r="A24" s="7" t="n">
        <v>23</v>
      </c>
      <c r="B24" s="7" t="inlineStr">
        <is>
          <t>Ment Funding</t>
        </is>
      </c>
      <c r="C24" s="7" t="inlineStr">
        <is>
          <t>CFD + Futures</t>
        </is>
      </c>
      <c r="D24" s="8" t="inlineStr">
        <is>
          <t>OUI</t>
        </is>
      </c>
      <c r="E24" s="13" t="inlineStr">
        <is>
          <t>OUI sous conditions</t>
        </is>
      </c>
      <c r="F24" s="7" t="inlineStr">
        <is>
          <t>Official T&amp;C: 'Copy trading from one account to another is only permitted if the trader owns all the accounts in question.' 'A maximum of $1 million in active evaluation or funded plans per person is permitted. This can be composed of multiple assessment or funded accounts.' 'Traders are limited to one active account per assessment level' absent written approval. 'Using automated trading systems (EAs) or third-party trading strategies that facilitate copy trading [between non-owned accounts] is strictly prohibited'; mirroring another trader across accounts prohibited; same strategy eval-&gt;funded.</t>
        </is>
      </c>
      <c r="G24" s="7" t="inlineStr">
        <is>
          <t>one active account per assessment level; $1M total</t>
        </is>
      </c>
      <c r="H24" s="9" t="n">
        <v>2000000</v>
      </c>
      <c r="I24" s="9" t="n">
        <v>1000000</v>
      </c>
      <c r="J24" s="10" t="n">
        <v>1000000</v>
      </c>
      <c r="K24" s="10" t="n">
        <v>9750</v>
      </c>
      <c r="L24" s="7" t="inlineStr">
        <is>
          <t>1 x 9750 (forex one_step 1M) = 9750</t>
        </is>
      </c>
      <c r="M24" s="7" t="inlineStr">
        <is>
          <t>forex 1 Step</t>
        </is>
      </c>
      <c r="N24" s="7" t="inlineStr">
        <is>
          <t>forex_1 Step:9750 (1M, official homepage; TTP 10500, fundedtrading 8600); 400k: 3900 (TTP) / 3000 (fundedtrading); 2M: 17200 (fundedtrading)</t>
        </is>
      </c>
      <c r="O24" s="7">
        <f> max_cumulative 1000000 (single 1M account available)</f>
        <v/>
      </c>
      <c r="P24" s="7" t="inlineStr">
        <is>
          <t>official stated (T&amp;C s.13: max $1 million in active evaluation or funded plans per person)</t>
        </is>
      </c>
      <c r="Q24" s="7" t="inlineStr"/>
      <c r="R24" s="7" t="inlineStr">
        <is>
          <t>DXtrade, cTrader, MetaTrader, Match-Trader (TTP)</t>
        </is>
      </c>
      <c r="S24" s="7" t="inlineStr">
        <is>
          <t>https://mentfunding.com/terms-and-conditions/ ; https://mentfunding.com/</t>
        </is>
      </c>
    </row>
    <row r="25">
      <c r="A25" s="11" t="n">
        <v>24</v>
      </c>
      <c r="B25" s="11" t="inlineStr">
        <is>
          <t>WarBux</t>
        </is>
      </c>
      <c r="C25" s="11" t="inlineStr">
        <is>
          <t>CFD</t>
        </is>
      </c>
      <c r="D25" s="8" t="inlineStr">
        <is>
          <t>OUI</t>
        </is>
      </c>
      <c r="E25" s="8" t="inlineStr">
        <is>
          <t>OUI</t>
        </is>
      </c>
      <c r="F25" s="11" t="inlineStr">
        <is>
          <t>Official T&amp;C: 'Copy trading from one account to another is only permitted if the trader owns all the accounts in question'; group trading/signal services banned; DXtrade has no EA support (automation only if programmed in DXtrade).</t>
        </is>
      </c>
      <c r="G25" s="11" t="inlineStr"/>
      <c r="H25" s="12" t="n">
        <v>200000</v>
      </c>
      <c r="I25" s="12" t="n">
        <v>1000000</v>
      </c>
      <c r="J25" s="10" t="n">
        <v>1000000</v>
      </c>
      <c r="K25" s="10" t="n">
        <v>7000</v>
      </c>
      <c r="L25" s="11" t="inlineStr">
        <is>
          <t>5 x 1400 (one_step_equities 200k) = 7000</t>
        </is>
      </c>
      <c r="M25" s="11" t="inlineStr">
        <is>
          <t>1 Step</t>
        </is>
      </c>
      <c r="N25" s="11" t="inlineStr">
        <is>
          <t>Instant-Direct_crypto(100k):2100;1 Step_equities(200k):1400 (official regular)</t>
        </is>
      </c>
      <c r="O25" s="11" t="inlineStr">
        <is>
          <t>official YES x official cap 1000000 = 1000000</t>
        </is>
      </c>
      <c r="P25" s="11" t="inlineStr">
        <is>
          <t>official stated: 'Maximum $1,000,000 in active Funding allocation' (and $1M active evaluation)</t>
        </is>
      </c>
      <c r="Q25" s="11" t="inlineStr"/>
      <c r="R25" s="11" t="inlineStr">
        <is>
          <t>DXtrade; GooeyPro</t>
        </is>
      </c>
      <c r="S25" s="11" t="inlineStr">
        <is>
          <t>https://warbuxbtc.com/terms-conditions/ ; https://help.warbuxbtc.com/en/articles/12734622-can-i-use-automated-strategies</t>
        </is>
      </c>
    </row>
    <row r="26">
      <c r="A26" s="7" t="n">
        <v>25</v>
      </c>
      <c r="B26" s="7" t="inlineStr">
        <is>
          <t>We Copy Trade</t>
        </is>
      </c>
      <c r="C26" s="7" t="inlineStr">
        <is>
          <t>CFD</t>
        </is>
      </c>
      <c r="D26" s="8" t="inlineStr">
        <is>
          <t>OUI</t>
        </is>
      </c>
      <c r="E26" s="8" t="inlineStr">
        <is>
          <t>OUI</t>
        </is>
      </c>
      <c r="F26" s="7" t="inlineStr">
        <is>
          <t>Review (TTP/proptradingreview): copy trading on personal accounts permitted; EAs permitted; official FAQ not retrievable.</t>
        </is>
      </c>
      <c r="G26" s="7" t="inlineStr"/>
      <c r="H26" s="9" t="n">
        <v>400000</v>
      </c>
      <c r="I26" s="9" t="n">
        <v>1000000</v>
      </c>
      <c r="J26" s="10" t="n">
        <v>1000000</v>
      </c>
      <c r="K26" s="10" t="n">
        <v>4900</v>
      </c>
      <c r="L26" s="7" t="inlineStr">
        <is>
          <t>2 x 1725 (instant 400k) + 2 x 725 (two_step 100k) = 4900</t>
        </is>
      </c>
      <c r="M26" s="7" t="inlineStr">
        <is>
          <t>Instant-Direct+2 Step</t>
        </is>
      </c>
      <c r="N26" s="7" t="inlineStr">
        <is>
          <t>Instant-Direct(400k):1725 regular (1380 at 20% off);2 Step(100k):725 regular (official)</t>
        </is>
      </c>
      <c r="O26" s="7" t="inlineStr">
        <is>
          <t>review YES x review cap 1000000 = 1000000</t>
        </is>
      </c>
      <c r="P26" s="7" t="inlineStr">
        <is>
          <t>review site (TTP WeMasterTrade: 'allocates a maximum of $1,000,000'; same operator as WeMasterTrade)</t>
        </is>
      </c>
      <c r="Q26" s="9" t="n">
        <v>1000000</v>
      </c>
      <c r="R26" s="7" t="inlineStr">
        <is>
          <t>MT5; Match-Trader</t>
        </is>
      </c>
      <c r="S26" s="7" t="inlineStr">
        <is>
          <t>https://wemastertrade.com/ ; https://thetrustedprop.com/prop-firms/wemastertrade</t>
        </is>
      </c>
    </row>
    <row r="27">
      <c r="A27" s="11" t="n">
        <v>26</v>
      </c>
      <c r="B27" s="11" t="inlineStr">
        <is>
          <t>WeMasterTrade</t>
        </is>
      </c>
      <c r="C27" s="11" t="inlineStr">
        <is>
          <t>CFD</t>
        </is>
      </c>
      <c r="D27" s="8" t="inlineStr">
        <is>
          <t>OUI</t>
        </is>
      </c>
      <c r="E27" s="8" t="inlineStr">
        <is>
          <t>OUI</t>
        </is>
      </c>
      <c r="F27" s="11" t="inlineStr">
        <is>
          <t>Review (TTP/proptradingreview): copy trading on personal accounts permitted; EAs permitted across challenge and funded.</t>
        </is>
      </c>
      <c r="G27" s="11" t="inlineStr"/>
      <c r="H27" s="12" t="n">
        <v>400000</v>
      </c>
      <c r="I27" s="12" t="n">
        <v>1000000</v>
      </c>
      <c r="J27" s="10" t="n">
        <v>1000000</v>
      </c>
      <c r="K27" s="10" t="n">
        <v>4900</v>
      </c>
      <c r="L27" s="11" t="inlineStr">
        <is>
          <t>2 x 1725 (instant 400k) + 2 x 725 (two_step 100k) = 4900</t>
        </is>
      </c>
      <c r="M27" s="11" t="inlineStr">
        <is>
          <t>Instant-Direct+2 Step</t>
        </is>
      </c>
      <c r="N27" s="11" t="inlineStr">
        <is>
          <t>Instant-Direct(400k):1725 regular (1380 at 20% off);2 Step(100k):725 regular (official)</t>
        </is>
      </c>
      <c r="O27" s="11" t="inlineStr">
        <is>
          <t>review YES x review cap 1000000 = 1000000</t>
        </is>
      </c>
      <c r="P27" s="11" t="inlineStr">
        <is>
          <t>review site (TTP: 'allocates a maximum of $1,000,000'; official FAQ not retrievable)</t>
        </is>
      </c>
      <c r="Q27" s="12" t="n">
        <v>1000000</v>
      </c>
      <c r="R27" s="11" t="inlineStr">
        <is>
          <t>MT5 (restricted for US/CA/VN etc.); Match-Trader</t>
        </is>
      </c>
      <c r="S27" s="11" t="inlineStr">
        <is>
          <t>https://wemastertrade.com/ ; https://thetrustedprop.com/prop-firms/wemastertrade</t>
        </is>
      </c>
    </row>
    <row r="28">
      <c r="A28" s="7" t="n">
        <v>27</v>
      </c>
      <c r="B28" s="7" t="inlineStr">
        <is>
          <t>BluSky</t>
        </is>
      </c>
      <c r="C28" s="7" t="inlineStr">
        <is>
          <t>Futures</t>
        </is>
      </c>
      <c r="D28" s="8" t="inlineStr">
        <is>
          <t>OUI</t>
        </is>
      </c>
      <c r="E28" s="8" t="inlineStr">
        <is>
          <t>OUI</t>
        </is>
      </c>
      <c r="F28" s="7" t="inlineStr">
        <is>
          <t>Help 12433943: trade copier allowed on all evaluation sizes with unlimited accounts and on funded accounts; copy across own BluSky accounts allowed; opposite positions on same product simultaneously forbidden (CME Rule 534)</t>
        </is>
      </c>
      <c r="G28" s="7" t="inlineStr">
        <is>
          <t>3</t>
        </is>
      </c>
      <c r="H28" s="9" t="n">
        <v>300000</v>
      </c>
      <c r="I28" s="9" t="n">
        <v>900000</v>
      </c>
      <c r="J28" s="10" t="n">
        <v>900000</v>
      </c>
      <c r="K28" s="14" t="inlineStr">
        <is>
          <t>inconnu</t>
        </is>
      </c>
      <c r="L28" s="7" t="inlineStr">
        <is>
          <t>unknown</t>
        </is>
      </c>
      <c r="M28" s="7" t="inlineStr">
        <is>
          <t>1 Step</t>
        </is>
      </c>
      <c r="N28" s="7" t="inlineStr">
        <is>
          <t>1 Step:unknown (Propel 300k; Launch/Propel 3k = 99)</t>
        </is>
      </c>
      <c r="O28" s="7" t="inlineStr">
        <is>
          <t>3 x 300000 = 900000 (official computed)</t>
        </is>
      </c>
      <c r="P28" s="7" t="inlineStr">
        <is>
          <t>official computed (3 funded accounts x Propel 300k): 'Funded accounts can only be 3 at any time (Sim Funded, Instant Sim Funded or Direct to Funded Accounts)'</t>
        </is>
      </c>
      <c r="Q28" s="7" t="inlineStr"/>
      <c r="R28" s="7" t="inlineStr">
        <is>
          <t>NinjaTrader (license included); Tradovate; Rithmic; TradingView; DeepCharts; TickBlaze; Tradesea</t>
        </is>
      </c>
      <c r="S28" s="7" t="inlineStr">
        <is>
          <t>https://help.blusky.pro/en/articles/12433943-multiple-accounts-copy-trading</t>
        </is>
      </c>
    </row>
    <row r="29">
      <c r="A29" s="11" t="n">
        <v>28</v>
      </c>
      <c r="B29" s="11" t="inlineStr">
        <is>
          <t>FXIFY</t>
        </is>
      </c>
      <c r="C29" s="11" t="inlineStr">
        <is>
          <t>CFD + Futures</t>
        </is>
      </c>
      <c r="D29" s="13" t="inlineStr">
        <is>
          <t>OUI sur certains comptes</t>
        </is>
      </c>
      <c r="E29" s="13" t="inlineStr">
        <is>
          <t>OUI sous conditions</t>
        </is>
      </c>
      <c r="F29" s="11" t="inlineStr">
        <is>
          <t>Official FAQ: 'You can copy trades between your FXIFY accounts and from your FXIFY accounts to other accounts.' Not allowed on Instant Funding LITE, Instant Funding, 2 Phase PRO (unless master) and Lightning. Copying from third parties = violation. EAs allowed on 1/2/3 Phase challenges and funded stage only 'upon review by our support team and pre-approval'.</t>
        </is>
      </c>
      <c r="G29" s="11" t="inlineStr">
        <is>
          <t>8 (one per size)</t>
        </is>
      </c>
      <c r="H29" s="12" t="n">
        <v>400000</v>
      </c>
      <c r="I29" s="12" t="n">
        <v>805000</v>
      </c>
      <c r="J29" s="10" t="n">
        <v>805000</v>
      </c>
      <c r="K29" s="10" t="n">
        <v>4572</v>
      </c>
      <c r="L29" s="11" t="inlineStr">
        <is>
          <t>three_phase ladder 400k 1599 + 200k ~1599 + 100k 799 + 50k 249 + 25k 149 + 15k 79 + 10k 59 + 5k 39 (mixed TTP/fundedtrading) ~= 4572</t>
        </is>
      </c>
      <c r="M29" s="11" t="inlineStr">
        <is>
          <t>three_phase</t>
        </is>
      </c>
      <c r="N29" s="11" t="inlineStr">
        <is>
          <t>Instant-Direct:4249 (100k);Instant-Direct_lite:289 (25k);one_phase:2950 (400k per TTP / 200k per fundedtrading);two_phase:2950 (400k TTP);two_phase_pro:1350 (250k TTP);three_phase:1599 (400k TTP);lightning:399 (75-100k) [review sites; official pricing table not retrievable]</t>
        </is>
      </c>
      <c r="O29" s="11">
        <f> max_cumulative 805000 (all evaluation types allow own-account copying; EA pre-approval required)</f>
        <v/>
      </c>
      <c r="P29" s="11" t="inlineStr">
        <is>
          <t>official computed (FAQ: one active account of each size 5k+10k+15k+25k+50k+100k+200k+400k = 805000; legacy traders 'max allocation of up to 800k')</t>
        </is>
      </c>
      <c r="Q29" s="12" t="n">
        <v>4000000</v>
      </c>
      <c r="R29" s="11" t="inlineStr">
        <is>
          <t>MT4;MT5;DXtrade;TradingView</t>
        </is>
      </c>
      <c r="S29" s="11" t="inlineStr">
        <is>
          <t>https://fxify.com/faqs/all-faqs/is-copy-trading-allowed/ ; https://fxify.com/faqs/all-faqs/what-the-max-allocation/</t>
        </is>
      </c>
    </row>
    <row r="30">
      <c r="A30" s="7" t="n">
        <v>29</v>
      </c>
      <c r="B30" s="7" t="inlineStr">
        <is>
          <t>Funded Squad</t>
        </is>
      </c>
      <c r="C30" s="7" t="inlineStr">
        <is>
          <t>CFD</t>
        </is>
      </c>
      <c r="D30" s="8" t="inlineStr">
        <is>
          <t>OUI</t>
        </is>
      </c>
      <c r="E30" s="8" t="inlineStr">
        <is>
          <t>OUI</t>
        </is>
      </c>
      <c r="F30" s="7" t="inlineStr">
        <is>
          <t>Help 12303489: 'copy trading between FundedSquad accounts is also allowed'; copying to/from own personal or other-prop-firm accounts allowed; proof of ownership may be requested; third-party copy services/signals prohibited; HFT and Gold Arbitrage EAs not permitted</t>
        </is>
      </c>
      <c r="G30" s="7" t="inlineStr"/>
      <c r="H30" s="9" t="n">
        <v>200000</v>
      </c>
      <c r="I30" s="9" t="n">
        <v>800000</v>
      </c>
      <c r="J30" s="10" t="n">
        <v>800000</v>
      </c>
      <c r="K30" s="10" t="n">
        <v>2398</v>
      </c>
      <c r="L30" s="7" t="inlineStr">
        <is>
          <t>2 x 1199 (two_step 200k) = 2398 for 400k challenge side (+ instant 400k: 8 x 50k, price unknown)</t>
        </is>
      </c>
      <c r="M30" s="7" t="inlineStr">
        <is>
          <t>2 Step</t>
        </is>
      </c>
      <c r="N30" s="7" t="inlineStr">
        <is>
          <t>1 Step:1219 (200k);2 Step:1199 (200k);Instant-Direct:unknown (max 50k per TTP) [review site TTP]</t>
        </is>
      </c>
      <c r="O30" s="7" t="inlineStr">
        <is>
          <t>400000 (challenge: 2 x 200000) + 400000 (instant) = 800000 (official)</t>
        </is>
      </c>
      <c r="P30" s="7" t="inlineStr">
        <is>
          <t>official stated: 'up to $400k in Instant Funded Accounts and up to $400k in Challenge Funded Accounts' = $800k combined</t>
        </is>
      </c>
      <c r="Q30" s="7" t="inlineStr"/>
      <c r="R30" s="7" t="inlineStr">
        <is>
          <t>MT5;Match-Trader;cTrader</t>
        </is>
      </c>
      <c r="S30" s="7" t="inlineStr">
        <is>
          <t>https://intercom.help/fundedsquad/en/articles/12303018-what-is-the-maximum-funding-limit | https://intercom.help/fundedsquad/en/articles/12303489-copy-trading</t>
        </is>
      </c>
    </row>
    <row r="31">
      <c r="A31" s="11" t="n">
        <v>30</v>
      </c>
      <c r="B31" s="11" t="inlineStr">
        <is>
          <t>Ment Funding Futures</t>
        </is>
      </c>
      <c r="C31" s="11" t="inlineStr">
        <is>
          <t>Futures</t>
        </is>
      </c>
      <c r="D31" s="8" t="inlineStr">
        <is>
          <t>OUI</t>
        </is>
      </c>
      <c r="E31" s="13" t="inlineStr">
        <is>
          <t>OUI sous conditions</t>
        </is>
      </c>
      <c r="F31" s="11" t="inlineStr">
        <is>
          <t>Official T&amp;C: 'Copy trading from one account to another is only permitted if the trader owns all the accounts in question.' 'A maximum of $1 million in active evaluation or funded plans per person is permitted. This can be composed of multiple assessment or funded accounts.' 'Traders are limited to one active account per assessment level' absent written approval. 'Using automated trading systems (EAs) or third-party trading strategies that facilitate copy trading [between non-owned accounts] is strictly prohibited'; mirroring another trader across accounts prohibited; same strategy eval-&gt;funded.</t>
        </is>
      </c>
      <c r="G31" s="11" t="inlineStr">
        <is>
          <t>one active account per assessment level</t>
        </is>
      </c>
      <c r="H31" s="12" t="n">
        <v>400000</v>
      </c>
      <c r="I31" s="12" t="n">
        <v>1000000</v>
      </c>
      <c r="J31" s="10" t="n">
        <v>775000</v>
      </c>
      <c r="K31" s="10" t="n">
        <v>7440</v>
      </c>
      <c r="L31" s="11" t="inlineStr">
        <is>
          <t>3900 + 1800 + 900 + 540 + 300 (futures one_step 400k+200k+100k+50k+25k) = 7440</t>
        </is>
      </c>
      <c r="M31" s="11" t="inlineStr">
        <is>
          <t>futures 1 Step</t>
        </is>
      </c>
      <c r="N31" s="11" t="inlineStr">
        <is>
          <t>futures_1 Step:3900 (400k) [TTP; 200k 1800, 100k 900, 50k 540, 25k 300]</t>
        </is>
      </c>
      <c r="O31" s="11" t="inlineStr">
        <is>
          <t>min(firm cap 1000000, one futures account per size: 400k+200k+100k+50k+25k = 775000)</t>
        </is>
      </c>
      <c r="P31" s="11" t="inlineStr">
        <is>
          <t>official stated (firm-wide $1M per person); futures sizes 25k-400k, one active account per level -&gt; futures practical max 400+200+100+50+25 = 775000</t>
        </is>
      </c>
      <c r="Q31" s="12" t="n">
        <v>5000000</v>
      </c>
      <c r="R31" s="11" t="inlineStr">
        <is>
          <t>unknown (futures platform not listed)</t>
        </is>
      </c>
      <c r="S31" s="11" t="inlineStr">
        <is>
          <t>https://mentfunding.com/terms-and-conditions/ ; https://mentfunding.com/</t>
        </is>
      </c>
    </row>
    <row r="32">
      <c r="A32" s="7" t="n">
        <v>31</v>
      </c>
      <c r="B32" s="7" t="inlineStr">
        <is>
          <t>10FOUR</t>
        </is>
      </c>
      <c r="C32" s="7" t="inlineStr">
        <is>
          <t>Futures</t>
        </is>
      </c>
      <c r="D32" s="8" t="inlineStr">
        <is>
          <t>OUI</t>
        </is>
      </c>
      <c r="E32" s="8" t="inlineStr">
        <is>
          <t>OUI</t>
        </is>
      </c>
      <c r="F32" s="7" t="inlineStr">
        <is>
          <t>Official rulebook: 'Automated strategies and trade copiers (you remain responsible)' allowed; prohibited: 'Hedging - opposing positions across accounts'</t>
        </is>
      </c>
      <c r="G32" s="7" t="inlineStr">
        <is>
          <t>5</t>
        </is>
      </c>
      <c r="H32" s="9" t="n">
        <v>150000</v>
      </c>
      <c r="I32" s="9" t="n">
        <v>750000</v>
      </c>
      <c r="J32" s="10" t="n">
        <v>750000</v>
      </c>
      <c r="K32" s="10" t="n">
        <v>1242</v>
      </c>
      <c r="L32" s="7" t="inlineStr">
        <is>
          <t>5 x 248.57 (one_step 1-Day Pass 150k) = 1242.85</t>
        </is>
      </c>
      <c r="M32" s="7" t="inlineStr">
        <is>
          <t>1 Step</t>
        </is>
      </c>
      <c r="N32" s="7" t="inlineStr">
        <is>
          <t>Instant-Direct:590;1 Step_daily_eval:258;1 Step_1day_pass:248.57;static_eval_50k:349</t>
        </is>
      </c>
      <c r="O32" s="7" t="inlineStr">
        <is>
          <t>5 x 150000 = 750000 (official)</t>
        </is>
      </c>
      <c r="P32" s="7" t="inlineStr">
        <is>
          <t>official computed (5 funded x 150000): 'Up to 10 active evaluation + funded accounts combined per household. Up to 5 funded. Up to 5 Live accounts.'</t>
        </is>
      </c>
      <c r="Q32" s="7" t="inlineStr"/>
      <c r="R32" s="7" t="inlineStr">
        <is>
          <t>Tradara (CQG-powered futures); 10FOUR Terminal (perpetuals demo) - EA/API support unverified</t>
        </is>
      </c>
      <c r="S32" s="7" t="inlineStr">
        <is>
          <t>https://10four.com/how-it-works</t>
        </is>
      </c>
    </row>
    <row r="33">
      <c r="A33" s="11" t="n">
        <v>32</v>
      </c>
      <c r="B33" s="11" t="inlineStr">
        <is>
          <t>Blue Guardian Futures</t>
        </is>
      </c>
      <c r="C33" s="11" t="inlineStr">
        <is>
          <t>Futures</t>
        </is>
      </c>
      <c r="D33" s="8" t="inlineStr">
        <is>
          <t>OUI</t>
        </is>
      </c>
      <c r="E33" s="8" t="inlineStr">
        <is>
          <t>OUI</t>
        </is>
      </c>
      <c r="F33" s="11" t="inlineStr">
        <is>
          <t>Futures help: third-party copier software allowed 'provided all copied trades are between accounts legally owned by the same trader'; 'Trade Copier: Yes', 'Expert Advisors: Yes'</t>
        </is>
      </c>
      <c r="G33" s="11" t="inlineStr">
        <is>
          <t>unknown (bundles up to 4-5 accounts)</t>
        </is>
      </c>
      <c r="H33" s="12" t="n">
        <v>400000</v>
      </c>
      <c r="I33" s="12" t="n">
        <v>750000</v>
      </c>
      <c r="J33" s="10" t="n">
        <v>750000</v>
      </c>
      <c r="K33" s="10" t="n">
        <v>3424</v>
      </c>
      <c r="L33" s="11" t="inlineStr">
        <is>
          <t>1 x 1712 (one_step nano 400k) + 1 x 1712 (one_step nano 400k, capped to 350k remaining) = 3424</t>
        </is>
      </c>
      <c r="M33" s="11" t="inlineStr">
        <is>
          <t>1 Step</t>
        </is>
      </c>
      <c r="N33" s="11" t="inlineStr">
        <is>
          <t>Instant-Direct:2200 (400k);1 Step:2200 (std)/1712 (nano) (400k);2 Step:2200 (std)/1712 (nano) (400k)</t>
        </is>
      </c>
      <c r="O33" s="11">
        <f> 750000 (e.g. 400000 + 300000 + 50000)</f>
        <v/>
      </c>
      <c r="P33" s="11" t="inlineStr">
        <is>
          <t>official stated: blueguardian.com/futures 'Trade up to $750K' / funded accounts up to $750K (older help article said 450k)</t>
        </is>
      </c>
      <c r="Q33" s="11" t="inlineStr"/>
      <c r="R33" s="11" t="inlineStr">
        <is>
          <t>NinjaTrader; Tradovate; DeepCharts; TradingView</t>
        </is>
      </c>
      <c r="S33" s="11" t="inlineStr">
        <is>
          <t>https://blueguardian.com/futures/ | https://helpfutures.blueguardian.com/en/</t>
        </is>
      </c>
    </row>
    <row r="34">
      <c r="A34" s="7" t="n">
        <v>33</v>
      </c>
      <c r="B34" s="7" t="inlineStr">
        <is>
          <t>Bulenox</t>
        </is>
      </c>
      <c r="C34" s="7" t="inlineStr">
        <is>
          <t>Futures</t>
        </is>
      </c>
      <c r="D34" s="8" t="inlineStr">
        <is>
          <t>OUI</t>
        </is>
      </c>
      <c r="E34" s="13" t="inlineStr">
        <is>
          <t>OUI sous conditions</t>
        </is>
      </c>
      <c r="F34" s="7" t="inlineStr">
        <is>
          <t>FAQ (via review site): 'Bots, algorithms and trade copiers are allowed, with one condition: the tool has to be built by you and used only on your own accounts.' Commercial/shared tools prohibited</t>
        </is>
      </c>
      <c r="G34" s="7" t="inlineStr">
        <is>
          <t>5</t>
        </is>
      </c>
      <c r="H34" s="9" t="n">
        <v>150000</v>
      </c>
      <c r="I34" s="9" t="n">
        <v>750000</v>
      </c>
      <c r="J34" s="10" t="n">
        <v>750000</v>
      </c>
      <c r="K34" s="14" t="inlineStr">
        <is>
          <t>inconnu</t>
        </is>
      </c>
      <c r="L34" s="7" t="inlineStr">
        <is>
          <t>unknown</t>
        </is>
      </c>
      <c r="M34" s="7" t="inlineStr">
        <is>
          <t>1 Step</t>
        </is>
      </c>
      <c r="N34" s="7" t="inlineStr">
        <is>
          <t>1 Step:unknown (150k; pricing page not readable)</t>
        </is>
      </c>
      <c r="O34" s="7" t="inlineStr">
        <is>
          <t>5 x 150000 = 750000 (review-site basis)</t>
        </is>
      </c>
      <c r="P34" s="7" t="inlineStr">
        <is>
          <t>review site computed (tradetanto summary of bulenox.com FAQ): 'Master-level accounts are capped at five active at once' x 150000 (official site: 'Get funded up to $150,000') (CORRECTS 1250000)</t>
        </is>
      </c>
      <c r="Q34" s="7" t="inlineStr"/>
      <c r="R34" s="7" t="inlineStr">
        <is>
          <t>Rithmic via NinjaTrader and 20+ Rithmic-compatible platforms (API +$100/mo)</t>
        </is>
      </c>
      <c r="S34" s="7" t="inlineStr">
        <is>
          <t>https://bulenox.com/faq | https://tradetanto.com/learn/bulenox-rules-what-traders-need-to-know (fallback)</t>
        </is>
      </c>
    </row>
    <row r="35">
      <c r="A35" s="11" t="n">
        <v>34</v>
      </c>
      <c r="B35" s="11" t="inlineStr">
        <is>
          <t>FundedNext Futures</t>
        </is>
      </c>
      <c r="C35" s="11" t="inlineStr">
        <is>
          <t>Futures</t>
        </is>
      </c>
      <c r="D35" s="8" t="inlineStr">
        <is>
          <t>OUI</t>
        </is>
      </c>
      <c r="E35" s="8" t="inlineStr">
        <is>
          <t>OUI</t>
        </is>
      </c>
      <c r="F35" s="11" t="inlineStr">
        <is>
          <t>Official: 'Copy trading within FundedNext is allowed. Traders can freely copy trades between their own FundedNext Accounts'; tools allowed: Tradovate built-in copier, NinjaTrader modules like Replikanto, any third-party platform 'for copying one's own trades only'; all accounts must be registered under the exact same name. EAs/bots allowed in Challenge and FundedNext Account (no latency abuse/order flooding).</t>
        </is>
      </c>
      <c r="G35" s="11" t="inlineStr">
        <is>
          <t>5</t>
        </is>
      </c>
      <c r="H35" s="12" t="n">
        <v>150000</v>
      </c>
      <c r="I35" s="12" t="n">
        <v>750000</v>
      </c>
      <c r="J35" s="10" t="n">
        <v>750000</v>
      </c>
      <c r="K35" s="10" t="n">
        <v>2419</v>
      </c>
      <c r="L35" s="11" t="inlineStr">
        <is>
          <t>5 x 483.99 (flex 150k) = 2419.95</t>
        </is>
      </c>
      <c r="M35" s="11" t="inlineStr">
        <is>
          <t>flex (1-step)</t>
        </is>
      </c>
      <c r="N35" s="11" t="inlineStr">
        <is>
          <t>flex:483.99 (150k, official regular price);legacy/rapid/bolt:unknown</t>
        </is>
      </c>
      <c r="O35" s="11">
        <f> max_cumulative: 5 x 150000</f>
        <v/>
      </c>
      <c r="P35" s="11" t="inlineStr">
        <is>
          <t>official computed (5 active FundedNext Accounts per user/household x 150000 max size; challenge allocation cap $750,000 at a time)</t>
        </is>
      </c>
      <c r="Q35" s="11" t="inlineStr"/>
      <c r="R35" s="11" t="inlineStr">
        <is>
          <t>NinjaTrader;Tradovate;TradingView</t>
        </is>
      </c>
      <c r="S35" s="11" t="inlineStr">
        <is>
          <t>https://helpfutures.fundednext.com/en/articles/14298572-what-is-copy-group-trading-policy-at-fundednext-futures ; https://helpfutures.fundednext.com/en/articles/14261075-how-many-accounts-can-i-have</t>
        </is>
      </c>
    </row>
    <row r="36">
      <c r="A36" s="7" t="n">
        <v>35</v>
      </c>
      <c r="B36" s="7" t="inlineStr">
        <is>
          <t>FunderPro Futures</t>
        </is>
      </c>
      <c r="C36" s="7" t="inlineStr">
        <is>
          <t>Futures</t>
        </is>
      </c>
      <c r="D36" s="8" t="inlineStr">
        <is>
          <t>OUI</t>
        </is>
      </c>
      <c r="E36" s="8" t="inlineStr">
        <is>
          <t>OUI</t>
        </is>
      </c>
      <c r="F36" s="7" t="inlineStr">
        <is>
          <t>Official homepage: 'Copy trading across challenge and funded accounts'; review sites: allowed between accounts owned by the same trader, third-party copier software OK, copying another trader's signals prohibited. Automation permitted only if transparent and trader-owned (FunderPro policy).</t>
        </is>
      </c>
      <c r="G36" s="7" t="inlineStr">
        <is>
          <t>5</t>
        </is>
      </c>
      <c r="H36" s="9" t="n">
        <v>150000</v>
      </c>
      <c r="I36" s="9" t="n">
        <v>750000</v>
      </c>
      <c r="J36" s="10" t="n">
        <v>750000</v>
      </c>
      <c r="K36" s="10" t="n">
        <v>1095</v>
      </c>
      <c r="L36" s="7" t="inlineStr">
        <is>
          <t>5 x 219 (one_step 150k, monthly) = 1095 per month</t>
        </is>
      </c>
      <c r="M36" s="7" t="inlineStr">
        <is>
          <t>1 Step</t>
        </is>
      </c>
      <c r="N36" s="7" t="inlineStr">
        <is>
          <t>1 Step:219/month (150k) [official]</t>
        </is>
      </c>
      <c r="O36" s="7">
        <f> max_cumulative: 5 x 150000</f>
        <v/>
      </c>
      <c r="P36" s="7" t="inlineStr">
        <is>
          <t>official computed (homepage: 'You can have up to 5 funded accounts' x 150000 max size)</t>
        </is>
      </c>
      <c r="Q36" s="7" t="inlineStr"/>
      <c r="R36" s="7" t="inlineStr">
        <is>
          <t>unknown</t>
        </is>
      </c>
      <c r="S36" s="7" t="inlineStr">
        <is>
          <t>https://funderprofutures.com/ ; https://support.funderprofutures.com/</t>
        </is>
      </c>
    </row>
    <row r="37">
      <c r="A37" s="11" t="n">
        <v>36</v>
      </c>
      <c r="B37" s="11" t="inlineStr">
        <is>
          <t>Goat Funded Futures</t>
        </is>
      </c>
      <c r="C37" s="11" t="inlineStr">
        <is>
          <t>Futures</t>
        </is>
      </c>
      <c r="D37" s="8" t="inlineStr">
        <is>
          <t>OUI</t>
        </is>
      </c>
      <c r="E37" s="13" t="inlineStr">
        <is>
          <t>OUI sous conditions</t>
        </is>
      </c>
      <c r="F37" s="11" t="inlineStr">
        <is>
          <t>Official help: 'You may copy your own trades across your own GFF accounts, and across accounts you hold elsewhere'; Daily Payouts: copy only between own Daily Payouts accounts; Instant Lite: copy within same program/size across max 3 accounts. Own EAs allowed on EOD, 1-Day-Pass, Flex, Instant Classic; 'Bots, Expert Advisors and automated strategies are not permitted' on Daily Payouts and Instant Lite. Must prove EA ownership (source code) on request.</t>
        </is>
      </c>
      <c r="G37" s="11" t="inlineStr">
        <is>
          <t>5 per program type (3 Instant Classic)</t>
        </is>
      </c>
      <c r="H37" s="12" t="n">
        <v>150000</v>
      </c>
      <c r="I37" s="12" t="n">
        <v>750000</v>
      </c>
      <c r="J37" s="10" t="n">
        <v>750000</v>
      </c>
      <c r="K37" s="10" t="n">
        <v>2690</v>
      </c>
      <c r="L37" s="11" t="inlineStr">
        <is>
          <t>5 x 538 (eod 150k, official) = 2690 (review-site alt: 5 x 358 one_day_pass = 1790)</t>
        </is>
      </c>
      <c r="M37" s="11" t="inlineStr">
        <is>
          <t>eod</t>
        </is>
      </c>
      <c r="N37" s="11" t="inlineStr">
        <is>
          <t>eod:538 (150k, official regular);one_day_pass/sprint:358 (150k, fundedtrading);flex:598 (150k, fundedtrading);Instant-Direct:1248 (150k TTP)/764 (fundedtrading);pro:579 (150k TTP)</t>
        </is>
      </c>
      <c r="O37" s="11">
        <f> max_cumulative 750000 (5 x 150000 on an EA-eligible program, e.g. EOD)</f>
        <v/>
      </c>
      <c r="P37" s="11" t="inlineStr">
        <is>
          <t>official stated (homepage 'Trade up to $750,000'; help: up to 5 funded accounts each for EOD/1-Day-Pass/Flex/Daily Payouts, 3 for Instant Classic, counted separately)</t>
        </is>
      </c>
      <c r="Q37" s="11" t="inlineStr"/>
      <c r="R37" s="11" t="inlineStr">
        <is>
          <t>Quantower;NinjaTrader;Tradovate;Tickblaze;ATAS;DeepCharts;ProjectX (TTP)</t>
        </is>
      </c>
      <c r="S37" s="11" t="inlineStr">
        <is>
          <t>https://help.goatfundedfutures.com/en/articles/15945150-signals-copy-trading-and-automated-strategies ; https://help.goatfundedfutures.com/en/articles/14110566-how-many-accounts-can-i-have</t>
        </is>
      </c>
    </row>
    <row r="38">
      <c r="A38" s="7" t="n">
        <v>37</v>
      </c>
      <c r="B38" s="7" t="inlineStr">
        <is>
          <t>LifeUp Trading</t>
        </is>
      </c>
      <c r="C38" s="7" t="inlineStr">
        <is>
          <t>Futures</t>
        </is>
      </c>
      <c r="D38" s="8" t="inlineStr">
        <is>
          <t>OUI</t>
        </is>
      </c>
      <c r="E38" s="8" t="inlineStr">
        <is>
          <t>OUI</t>
        </is>
      </c>
      <c r="F38" s="7" t="inlineStr">
        <is>
          <t>Official rules (Korean): 'LifeUp offers free copy trading' ('라이프업에서는 무료로 카피트레이딩을 이용할 수 있습니다'); when copy trading across multiple accounts close positions rather than using switching; HFT/scalping programs and unauthorized external programs prohibited (NinjaTrader-approved only).</t>
        </is>
      </c>
      <c r="G38" s="7" t="inlineStr">
        <is>
          <t>5 reward accounts</t>
        </is>
      </c>
      <c r="H38" s="9" t="n">
        <v>150000</v>
      </c>
      <c r="I38" s="9" t="n">
        <v>750000</v>
      </c>
      <c r="J38" s="10" t="n">
        <v>750000</v>
      </c>
      <c r="K38" s="10" t="n">
        <v>1600000</v>
      </c>
      <c r="L38" s="7" t="inlineStr">
        <is>
          <t>5 x 320000 KRW (basic 150k) = 1,600,000 KRW (~1150 USD)</t>
        </is>
      </c>
      <c r="M38" s="7" t="inlineStr">
        <is>
          <t>basic (1 Step)</t>
        </is>
      </c>
      <c r="N38" s="7" t="inlineStr">
        <is>
          <t>basic_1 Step:320000 KRW (150k, ~230 USD);expert_1 Step:740000 KRW (150k, ~530 USD) [official; KRW]</t>
        </is>
      </c>
      <c r="O38" s="7">
        <f> max_cumulative: 5 x 150000</f>
        <v/>
      </c>
      <c r="P38" s="7" t="inlineStr">
        <is>
          <t>official computed (rules: 'A maximum of 5 reward accounts can be held' x 150000)</t>
        </is>
      </c>
      <c r="Q38" s="7" t="inlineStr"/>
      <c r="R38" s="7" t="inlineStr">
        <is>
          <t>NinjaTrader, Tradovate, TradingView</t>
        </is>
      </c>
      <c r="S38" s="7" t="inlineStr">
        <is>
          <t>https://guide.lifeuptrading.com/ko/articles/general-rules-122952eb ; https://lifeuptrading.com/</t>
        </is>
      </c>
    </row>
    <row r="39">
      <c r="A39" s="11" t="n">
        <v>38</v>
      </c>
      <c r="B39" s="11" t="inlineStr">
        <is>
          <t>Lucid Direct</t>
        </is>
      </c>
      <c r="C39" s="11" t="inlineStr">
        <is>
          <t>Futures</t>
        </is>
      </c>
      <c r="D39" s="8" t="inlineStr">
        <is>
          <t>OUI</t>
        </is>
      </c>
      <c r="E39" s="8" t="inlineStr">
        <is>
          <t>OUI</t>
        </is>
      </c>
      <c r="F39" s="11" t="inlineStr">
        <is>
          <t>Official FAQ: 'Automated strategies and in-platform/third party trade copiers are permitted, but traders are responsible for any software errors or unintended outcomes.' 'Up to 10 active evaluation accounts per household/family. Up to 5 active funded accounts per household/family.' HFT banned; micro-scalping flag if &gt;50% of profit from trades held &lt;=5s.</t>
        </is>
      </c>
      <c r="G39" s="11" t="inlineStr">
        <is>
          <t>5 funded (10 incl. evaluations)</t>
        </is>
      </c>
      <c r="H39" s="12" t="n">
        <v>150000</v>
      </c>
      <c r="I39" s="12" t="n">
        <v>750000</v>
      </c>
      <c r="J39" s="10" t="n">
        <v>750000</v>
      </c>
      <c r="K39" s="10" t="n">
        <v>4180</v>
      </c>
      <c r="L39" s="11" t="inlineStr">
        <is>
          <t>5 x 836 (direct 150k) = 4180</t>
        </is>
      </c>
      <c r="M39" s="11" t="inlineStr">
        <is>
          <t>direct (Instant-Direct)</t>
        </is>
      </c>
      <c r="N39" s="11" t="inlineStr">
        <is>
          <t>direct_Instant-Direct:836 (150k; fundedtrading lists 836 / 585) [fundedtrading]</t>
        </is>
      </c>
      <c r="O39" s="11">
        <f> max_cumulative: 5 x 150000</f>
        <v/>
      </c>
      <c r="P39" s="11" t="inlineStr">
        <is>
          <t>official computed (5 active funded accounts per household x 150000)</t>
        </is>
      </c>
      <c r="Q39" s="11" t="inlineStr"/>
      <c r="R39" s="11" t="inlineStr">
        <is>
          <t>NinjaTrader, Tradovate, Rithmic (Sierra Chart, Quantower, Bookmap, Jigsaw, ATAS, R|Trader Pro, MultiCharts), TradingView</t>
        </is>
      </c>
      <c r="S39" s="11" t="inlineStr">
        <is>
          <t>https://lucidtrading.com/general-faq/ ; https://fundedtrading.com/propfirm/lucid/</t>
        </is>
      </c>
    </row>
    <row r="40">
      <c r="A40" s="7" t="n">
        <v>39</v>
      </c>
      <c r="B40" s="7" t="inlineStr">
        <is>
          <t>Lucid Trading</t>
        </is>
      </c>
      <c r="C40" s="7" t="inlineStr">
        <is>
          <t>Futures</t>
        </is>
      </c>
      <c r="D40" s="8" t="inlineStr">
        <is>
          <t>OUI</t>
        </is>
      </c>
      <c r="E40" s="8" t="inlineStr">
        <is>
          <t>OUI</t>
        </is>
      </c>
      <c r="F40" s="7" t="inlineStr">
        <is>
          <t>Official FAQ: 'Automated strategies and in-platform/third party trade copiers are permitted, but traders are responsible for any software errors or unintended outcomes.' 'Up to 10 active evaluation accounts per household/family. Up to 5 active funded accounts per household/family.' HFT banned; micro-scalping flag if &gt;50% of profit from trades held &lt;=5s.</t>
        </is>
      </c>
      <c r="G40" s="7" t="inlineStr">
        <is>
          <t>5 funded (10 incl. evaluations)</t>
        </is>
      </c>
      <c r="H40" s="9" t="n">
        <v>150000</v>
      </c>
      <c r="I40" s="9" t="n">
        <v>750000</v>
      </c>
      <c r="J40" s="10" t="n">
        <v>750000</v>
      </c>
      <c r="K40" s="10" t="n">
        <v>1825</v>
      </c>
      <c r="L40" s="7" t="inlineStr">
        <is>
          <t>5 x 365 (lucidpro one_step 150k) = 1825</t>
        </is>
      </c>
      <c r="M40" s="7" t="inlineStr">
        <is>
          <t>lucidpro (1 Step)</t>
        </is>
      </c>
      <c r="N40" s="7" t="inlineStr">
        <is>
          <t>lucidpro_eval:365 (150k);lucidflex_eval:372 (150k);luciddaily_eval:386 (150k);direct_Instant-Direct:836 (150k) [fundedtrading]</t>
        </is>
      </c>
      <c r="O40" s="7">
        <f> max_cumulative: 5 x 150000</f>
        <v/>
      </c>
      <c r="P40" s="7" t="inlineStr">
        <is>
          <t>official computed (5 active funded accounts per household x 150000)</t>
        </is>
      </c>
      <c r="Q40" s="7" t="inlineStr"/>
      <c r="R40" s="7" t="inlineStr">
        <is>
          <t>NinjaTrader, Tradovate, Rithmic (Sierra Chart, Quantower, Bookmap, Jigsaw, ATAS, R|Trader Pro, MultiCharts), TradingView</t>
        </is>
      </c>
      <c r="S40" s="7" t="inlineStr">
        <is>
          <t>https://lucidtrading.com/general-faq/ ; https://fundedtrading.com/propfirm/lucid/</t>
        </is>
      </c>
    </row>
    <row r="41">
      <c r="A41" s="11" t="n">
        <v>40</v>
      </c>
      <c r="B41" s="11" t="inlineStr">
        <is>
          <t>Redline Futures Funding</t>
        </is>
      </c>
      <c r="C41" s="11" t="inlineStr">
        <is>
          <t>Futures</t>
        </is>
      </c>
      <c r="D41" s="8" t="inlineStr">
        <is>
          <t>OUI</t>
        </is>
      </c>
      <c r="E41" s="8" t="inlineStr">
        <is>
          <t>OUI</t>
        </is>
      </c>
      <c r="F41" s="11" t="inlineStr">
        <is>
          <t>Official rules: 'Copying trades between your own Redline accounts (e.g. via Volumetrica or TradeSyncer) is always allowed and does not require notification'; algo execution requires paid Automation Waiver; hedging across accounts prohibited.</t>
        </is>
      </c>
      <c r="G41" s="11" t="inlineStr">
        <is>
          <t>5</t>
        </is>
      </c>
      <c r="H41" s="12" t="n">
        <v>150000</v>
      </c>
      <c r="I41" s="12" t="n">
        <v>750000</v>
      </c>
      <c r="J41" s="10" t="n">
        <v>750000</v>
      </c>
      <c r="K41" s="10" t="n">
        <v>1490</v>
      </c>
      <c r="L41" s="11" t="inlineStr">
        <is>
          <t>5 x 298 (one_step 150k) = 1490 (firm no longer selling)</t>
        </is>
      </c>
      <c r="M41" s="11" t="inlineStr">
        <is>
          <t>1 Step</t>
        </is>
      </c>
      <c r="N41" s="11" t="inlineStr">
        <is>
          <t>1 Step(150k):298 (official accounts page)</t>
        </is>
      </c>
      <c r="O41" s="11" t="inlineStr">
        <is>
          <t>official YES x review cap 5 x 150000 = 750000</t>
        </is>
      </c>
      <c r="P41" s="11" t="inlineStr">
        <is>
          <t>review site computed (coinspot/comparepropfirms: 'maximum of 5 active funded accounts per trader' x 150000; official rules do not state count). NOTE: official banner 'Redline is no longer accepting new purchases'.</t>
        </is>
      </c>
      <c r="Q41" s="11" t="inlineStr"/>
      <c r="R41" s="11" t="inlineStr">
        <is>
          <t>DeepCharts, WealthCharts</t>
        </is>
      </c>
      <c r="S41" s="11" t="inlineStr">
        <is>
          <t>https://redlinefuturesfunding.com/rules ; https://www.redlinefuturesfunding.com/accounts ; https://comparepropfirms.com/prop-firm/redline-futures-funding/</t>
        </is>
      </c>
    </row>
    <row r="42">
      <c r="A42" s="7" t="n">
        <v>41</v>
      </c>
      <c r="B42" s="7" t="inlineStr">
        <is>
          <t>TradeDay</t>
        </is>
      </c>
      <c r="C42" s="7" t="inlineStr">
        <is>
          <t>Futures</t>
        </is>
      </c>
      <c r="D42" s="8" t="inlineStr">
        <is>
          <t>OUI</t>
        </is>
      </c>
      <c r="E42" s="13" t="inlineStr">
        <is>
          <t>OUI sous conditions</t>
        </is>
      </c>
      <c r="F42" s="7" t="inlineStr">
        <is>
          <t>Official support: copy trading allowed across own Evaluation &amp; Funded Sim accounts (2-10 accounts) and between up to 5 Funded Live accounts; not across Live/Sim types; own algos only via supported platforms, third-party bots forbidden; identical trades across different users -&gt; shutdown.</t>
        </is>
      </c>
      <c r="G42" s="7" t="inlineStr">
        <is>
          <t>10</t>
        </is>
      </c>
      <c r="H42" s="9" t="n">
        <v>150000</v>
      </c>
      <c r="I42" s="9" t="n">
        <v>750000</v>
      </c>
      <c r="J42" s="10" t="n">
        <v>750000</v>
      </c>
      <c r="K42" s="10" t="n">
        <v>1800</v>
      </c>
      <c r="L42" s="7" t="inlineStr">
        <is>
          <t>5 x 360 (one_step 150k, monthly) = 1800 per month</t>
        </is>
      </c>
      <c r="M42" s="7" t="inlineStr">
        <is>
          <t>1 Step</t>
        </is>
      </c>
      <c r="N42" s="7" t="inlineStr">
        <is>
          <t>1 Step(150k):360 per month (official; 162 promo)</t>
        </is>
      </c>
      <c r="O42" s="7" t="inlineStr">
        <is>
          <t>official YES x 5 funded x 150000 = 750000</t>
        </is>
      </c>
      <c r="P42" s="7" t="inlineStr">
        <is>
          <t>official computed: 'A trader can trade up to 10 accounts total ... max of 10 evaluation accounts, 5 Funded Sim accounts and 5 Funded live accounts' -&gt; 5 funded x 150000</t>
        </is>
      </c>
      <c r="Q42" s="7" t="inlineStr"/>
      <c r="R42" s="7" t="inlineStr">
        <is>
          <t>Tradovate; Rithmic; NinjaTrader; TradingView; Jigsaw; Quantower</t>
        </is>
      </c>
      <c r="S42" s="7" t="inlineStr">
        <is>
          <t>https://tradeday.freshdesk.com/en/support/solutions/articles/103000008833-can-i-have-multiple-accounts-can-i-use-copy-trader- ; https://tradeday.freshdesk.com/en/support/solutions/articles/103000085101-automated-algo-and-bot-trading</t>
        </is>
      </c>
    </row>
    <row r="43">
      <c r="A43" s="11" t="n">
        <v>42</v>
      </c>
      <c r="B43" s="11" t="inlineStr">
        <is>
          <t>Tradeify</t>
        </is>
      </c>
      <c r="C43" s="11" t="inlineStr">
        <is>
          <t>Futures</t>
        </is>
      </c>
      <c r="D43" s="8" t="inlineStr">
        <is>
          <t>OUI</t>
        </is>
      </c>
      <c r="E43" s="13" t="inlineStr">
        <is>
          <t>OUI sous conditions</t>
        </is>
      </c>
      <c r="F43" s="11" t="inlineStr">
        <is>
          <t>Official agreement: 'copying or mirroring of the Trader's own trades across the Trader's own Trader-Controlled Accounts is permitted' if no opposing positions; algo must be solely owned, not shared, no HFT; &gt;=50% of profit from trades held &gt;10s.</t>
        </is>
      </c>
      <c r="G43" s="11" t="inlineStr">
        <is>
          <t>5</t>
        </is>
      </c>
      <c r="H43" s="12" t="n">
        <v>150000</v>
      </c>
      <c r="I43" s="12" t="n">
        <v>750000</v>
      </c>
      <c r="J43" s="10" t="n">
        <v>750000</v>
      </c>
      <c r="K43" s="10" t="n">
        <v>1845</v>
      </c>
      <c r="L43" s="11" t="inlineStr">
        <is>
          <t>5 x 369 (one_step_growth 150k) = 1845</t>
        </is>
      </c>
      <c r="M43" s="11" t="inlineStr">
        <is>
          <t>1 Step_growth</t>
        </is>
      </c>
      <c r="N43" s="11" t="inlineStr">
        <is>
          <t>1 Step_growth(150k):369;Instant-Direct_lightning(150k):369 (official homepage regular; TTP lists lightning 796)</t>
        </is>
      </c>
      <c r="O43" s="11" t="inlineStr">
        <is>
          <t>official YES x 5 x 150000 = 750000</t>
        </is>
      </c>
      <c r="P43" s="11" t="inlineStr">
        <is>
          <t>official computed: Funded Trader Agreement 'limits the maximum number of Simulated Funded Accounts ... to five (5)' x 150000 (reviews: combined max $750K; TTP says $1.0M)</t>
        </is>
      </c>
      <c r="Q43" s="12" t="n">
        <v>750000</v>
      </c>
      <c r="R43" s="11" t="inlineStr">
        <is>
          <t>Tradovate; NinjaTrader; Rithmic/Tradesea; WealthCharts</t>
        </is>
      </c>
      <c r="S43" s="11" t="inlineStr">
        <is>
          <t>https://tradeify.co/funded-trader-agreement ; https://help.tradeify.co/en/articles/10468318-guidelines-for-traders ; https://tradeify.co/</t>
        </is>
      </c>
    </row>
    <row r="44">
      <c r="A44" s="7" t="n">
        <v>43</v>
      </c>
      <c r="B44" s="7" t="inlineStr">
        <is>
          <t>Audacity Capital</t>
        </is>
      </c>
      <c r="C44" s="7" t="inlineStr">
        <is>
          <t>CFD</t>
        </is>
      </c>
      <c r="D44" s="8" t="inlineStr">
        <is>
          <t>OUI</t>
        </is>
      </c>
      <c r="E44" s="13" t="inlineStr">
        <is>
          <t>OUI sous conditions</t>
        </is>
      </c>
      <c r="F44" s="7" t="inlineStr">
        <is>
          <t>Only EAs 'personally written/developed by the trader'; prohibited: mirroring trades 'from another trader's account'; own multiple accounts allowed, only cross-account hedging prohibited; copying between own accounts not explicitly addressed</t>
        </is>
      </c>
      <c r="G44" s="7" t="inlineStr">
        <is>
          <t>unknown (e.g. 2 x 120k Ability + 4 x 60k FTP)</t>
        </is>
      </c>
      <c r="H44" s="9" t="n">
        <v>200000</v>
      </c>
      <c r="I44" s="9" t="n">
        <v>720000</v>
      </c>
      <c r="J44" s="10" t="n">
        <v>720000</v>
      </c>
      <c r="K44" s="10" t="n">
        <v>2744</v>
      </c>
      <c r="L44" s="7" t="inlineStr">
        <is>
          <t>2 x [1049 (200k) + 195 (25k) + 79 (10k) + 49 (5k)] = 2744 for 480k (two_step + one_step 240k each); FTP 240k price unknown</t>
        </is>
      </c>
      <c r="M44" s="7" t="inlineStr">
        <is>
          <t>2 Step+1 Step</t>
        </is>
      </c>
      <c r="N44" s="7" t="inlineStr">
        <is>
          <t>2 Step:1049 (200k);1 Step:1049 (200k);Instant-Direct:1299 (50k, TTP)</t>
        </is>
      </c>
      <c r="O44" s="7" t="inlineStr">
        <is>
          <t>3 x 240000 = 720000 (official computed)</t>
        </is>
      </c>
      <c r="P44" s="7" t="inlineStr">
        <is>
          <t>official computed (3 programs x 240000): help article 'Traders from eligible countries can hold multiple accounts across programs, with a $240K maximum per program' (Ability Challenge, Ability One, FTP); 'accounts from different programs cannot be combined to reach a total of 480K under any single program'</t>
        </is>
      </c>
      <c r="Q44" s="9" t="n">
        <v>2000000</v>
      </c>
      <c r="R44" s="7" t="inlineStr">
        <is>
          <t>MT5; DXtrade (no EA)</t>
        </is>
      </c>
      <c r="S44" s="7" t="inlineStr">
        <is>
          <t>https://help.audacity.capital/hc/en-gb/articles/31927772033042-What-is-the-max-account-allocation-I-m-allowed-to-have-with-Audacity-Capital | https://audacity.capital/prohibited-trading-practices/</t>
        </is>
      </c>
    </row>
    <row r="45">
      <c r="A45" s="11" t="n">
        <v>44</v>
      </c>
      <c r="B45" s="11" t="inlineStr">
        <is>
          <t>Fintokei</t>
        </is>
      </c>
      <c r="C45" s="11" t="inlineStr">
        <is>
          <t>CFD</t>
        </is>
      </c>
      <c r="D45" s="8" t="inlineStr">
        <is>
          <t>OUI</t>
        </is>
      </c>
      <c r="E45" s="13" t="inlineStr">
        <is>
          <t>OUI sous conditions</t>
        </is>
      </c>
      <c r="F45" s="11" t="inlineStr">
        <is>
          <t>Support 10419735: allowed 'Using your own EA or automated system, fully created and configured by you'; prohibited 'Following a master account of someone else through trade mirroring or copier tools', reversed copying, cooperation with other users; TTP: own copying 'Needs to be a Master Account'; per-program caps apply</t>
        </is>
      </c>
      <c r="G45" s="11" t="inlineStr">
        <is>
          <t>unknown (max 200 open orders)</t>
        </is>
      </c>
      <c r="H45" s="12" t="n">
        <v>400000</v>
      </c>
      <c r="I45" s="12" t="n">
        <v>700000</v>
      </c>
      <c r="J45" s="10" t="n">
        <v>700000</v>
      </c>
      <c r="K45" s="10" t="n">
        <v>2818</v>
      </c>
      <c r="L45" s="11" t="inlineStr">
        <is>
          <t>1 x 2399 (ProTrader 400k) + 1 x 419 (StartTrader 100k) + SwiftTrader 200k (unknown) = 2818+</t>
        </is>
      </c>
      <c r="M45" s="11" t="inlineStr">
        <is>
          <t>2 Step+3 Step+1 Step</t>
        </is>
      </c>
      <c r="N45" s="11" t="inlineStr">
        <is>
          <t>3 Step:419 (StartTrader 100k, TTP);1 Step:unknown (SwiftTrader 200k);2 Step:2399 (ProTrader 400k, TTP)</t>
        </is>
      </c>
      <c r="O45" s="11" t="inlineStr">
        <is>
          <t>100000 (StartTrader) + 200000 (SwiftTrader) + 400000 (ProTrader) = 700000 (official computed)</t>
        </is>
      </c>
      <c r="P45" s="11" t="inlineStr">
        <is>
          <t>official computed: funded-phase caps 'ProTrader and ProTrader Swing (combined) is 400,000', 'StartTrader is 100 000', 'SwiftTrader is 200 000' = 700000</t>
        </is>
      </c>
      <c r="Q45" s="11" t="inlineStr"/>
      <c r="R45" s="11" t="inlineStr">
        <is>
          <t>MT5;cTrader;TradingView</t>
        </is>
      </c>
      <c r="S45" s="11" t="inlineStr">
        <is>
          <t>https://support.fintokei.com/en/articles/6538886-how-many-accounts-and-open-positions-can-i-have | https://support.fintokei.com/en/articles/10419735-copy-trading-and-eas-what-is-allowed-and-what-prohibited</t>
        </is>
      </c>
    </row>
    <row r="46">
      <c r="A46" s="7" t="n">
        <v>45</v>
      </c>
      <c r="B46" s="7" t="inlineStr">
        <is>
          <t>Mainet Funded</t>
        </is>
      </c>
      <c r="C46" s="7" t="inlineStr">
        <is>
          <t>CFD</t>
        </is>
      </c>
      <c r="D46" s="8" t="inlineStr">
        <is>
          <t>OUI</t>
        </is>
      </c>
      <c r="E46" s="13" t="inlineStr">
        <is>
          <t>OUI sous conditions</t>
        </is>
      </c>
      <c r="F46" s="7" t="inlineStr">
        <is>
          <t>Official homepage: 'traders are free to use Expert Advisors or Copiers'. Official Terms: 'The Funded Trader Program is not designed for large organizations, a group of individuals, or copy traders'; 'Multi-Account Reverse Trading' prohibited (termination). Match-Trader only (bridge needed for EAs).</t>
        </is>
      </c>
      <c r="G46" s="7" t="inlineStr"/>
      <c r="H46" s="9" t="n">
        <v>300000</v>
      </c>
      <c r="I46" s="9" t="n">
        <v>700000</v>
      </c>
      <c r="J46" s="10" t="n">
        <v>700000</v>
      </c>
      <c r="K46" s="14" t="inlineStr">
        <is>
          <t>inconnu</t>
        </is>
      </c>
      <c r="L46" s="7" t="inlineStr">
        <is>
          <t>unknown</t>
        </is>
      </c>
      <c r="M46" s="7" t="inlineStr">
        <is>
          <t>unknown</t>
        </is>
      </c>
      <c r="N46" s="7" t="inlineStr">
        <is>
          <t>unknown (official FAQ/pricing pages 404; not on TTP/fundedtrading)</t>
        </is>
      </c>
      <c r="O46" s="7">
        <f> max_cumulative 700000 (review site cap; copiers allowed per official homepage, reverse trading banned)</f>
        <v/>
      </c>
      <c r="P46" s="7" t="inlineStr">
        <is>
          <t>review site (TTP max allocation 700k); official pages silent (FAQ/pricing 404)</t>
        </is>
      </c>
      <c r="Q46" s="9" t="n">
        <v>1000000</v>
      </c>
      <c r="R46" s="7" t="inlineStr">
        <is>
          <t>Match-Trader</t>
        </is>
      </c>
      <c r="S46" s="7" t="inlineStr">
        <is>
          <t>https://mainetfunded.com/ ; https://mainetfunded.com/terms-of-service</t>
        </is>
      </c>
    </row>
    <row r="47">
      <c r="A47" s="11" t="n">
        <v>46</v>
      </c>
      <c r="B47" s="11" t="inlineStr">
        <is>
          <t>Fill88</t>
        </is>
      </c>
      <c r="C47" s="11" t="inlineStr">
        <is>
          <t>CFD</t>
        </is>
      </c>
      <c r="D47" s="8" t="inlineStr">
        <is>
          <t>OUI</t>
        </is>
      </c>
      <c r="E47" s="8" t="inlineStr">
        <is>
          <t>OUI</t>
        </is>
      </c>
      <c r="F47" s="11" t="inlineStr">
        <is>
          <t>review site (TTP): 'Copy trading between accounts owned by the same verified individual' permitted; group copying/coordinated trading prohibited; publicly distributed third-party EAs prohibited (own EAs OK); official pages lack rule text</t>
        </is>
      </c>
      <c r="G47" s="11" t="inlineStr"/>
      <c r="H47" s="12" t="n">
        <v>200000</v>
      </c>
      <c r="I47" s="12" t="n">
        <v>640000</v>
      </c>
      <c r="J47" s="10" t="n">
        <v>640000</v>
      </c>
      <c r="K47" s="10" t="n">
        <v>798</v>
      </c>
      <c r="L47" s="11" t="inlineStr">
        <is>
          <t>2 x 399 (one_step Launch 200k) = 798 for 400k (+ Spark 240k: 100k = 3699 each)</t>
        </is>
      </c>
      <c r="M47" s="11" t="inlineStr">
        <is>
          <t>1 Step</t>
        </is>
      </c>
      <c r="N47" s="11" t="inlineStr">
        <is>
          <t>Instant-Direct:3699 (Spark 100k);1 Step:399 (Launch 200k);2 Step:1079 (Ascend 200k)/999 (Summit 200k) [review site TTP; official site lists sizes only to 120k]</t>
        </is>
      </c>
      <c r="O47" s="11" t="inlineStr">
        <is>
          <t>400000 (Launch/Ascend/Summit) + 240000 (Spark) = 640000 (review-site basis)</t>
        </is>
      </c>
      <c r="P47" s="11" t="inlineStr">
        <is>
          <t>review site computed (propfirmmap: '$400,000 combined across Launch, Ascend and Summit, and $240,000 combined across Spark' = 640000 simultaneous)</t>
        </is>
      </c>
      <c r="Q47" s="12" t="n">
        <v>1280000</v>
      </c>
      <c r="R47" s="11" t="inlineStr">
        <is>
          <t>MT5</t>
        </is>
      </c>
      <c r="S47" s="11" t="inlineStr">
        <is>
          <t>https://fill88.com/ | https://propfirmmap.com/firms/fill88 (fallback) | https://thetrustedprop.com/prop-firms/fill88 (fallback)</t>
        </is>
      </c>
    </row>
    <row r="48">
      <c r="A48" s="7" t="n">
        <v>47</v>
      </c>
      <c r="B48" s="7" t="inlineStr">
        <is>
          <t>DNA Funded</t>
        </is>
      </c>
      <c r="C48" s="7" t="inlineStr">
        <is>
          <t>CFD</t>
        </is>
      </c>
      <c r="D48" s="13" t="inlineStr">
        <is>
          <t>OUI sur certains comptes</t>
        </is>
      </c>
      <c r="E48" s="13" t="inlineStr">
        <is>
          <t>OUI sous conditions</t>
        </is>
      </c>
      <c r="F48" s="7" t="inlineStr">
        <is>
          <t>FAQ: 'Copying or mirroring trades between accounts with different users (unique email addresses) or from external accounts is prohibited' -&gt; own DNA accounts OK; EAs allowed only on 1 Phase/2 Phase/Rapid ('Instant Funding Accounts: EAs and algorithmic trading (Algos) are prohibited'; 24h manual only)</t>
        </is>
      </c>
      <c r="G48" s="7" t="inlineStr"/>
      <c r="H48" s="9" t="n">
        <v>200000</v>
      </c>
      <c r="I48" s="9" t="n">
        <v>600000</v>
      </c>
      <c r="J48" s="10" t="n">
        <v>600000</v>
      </c>
      <c r="K48" s="10" t="n">
        <v>3237</v>
      </c>
      <c r="L48" s="7" t="inlineStr">
        <is>
          <t>3 x 1079 (two_step 200k) = 3237</t>
        </is>
      </c>
      <c r="M48" s="7" t="inlineStr">
        <is>
          <t>2 Step</t>
        </is>
      </c>
      <c r="N48" s="7" t="inlineStr">
        <is>
          <t>Instant-Direct:979 (100k);1 Step:1209 (200k);2 Step:1079 (200k);rapid:549 (100k) [review site TTP]</t>
        </is>
      </c>
      <c r="O48" s="7" t="inlineStr">
        <is>
          <t>3 x 200000 = 600000 (1/2 Phase accounts, official)</t>
        </is>
      </c>
      <c r="P48" s="7" t="inlineStr">
        <is>
          <t>official stated: 'up to a maximum of USD 600k in funding'</t>
        </is>
      </c>
      <c r="Q48" s="7" t="inlineStr"/>
      <c r="R48" s="7" t="inlineStr">
        <is>
          <t>TradeLocker</t>
        </is>
      </c>
      <c r="S48" s="7" t="inlineStr">
        <is>
          <t>https://dnafunded.com/faqs/</t>
        </is>
      </c>
    </row>
    <row r="49">
      <c r="A49" s="11" t="n">
        <v>48</v>
      </c>
      <c r="B49" s="11" t="inlineStr">
        <is>
          <t>Eightcap Challenges</t>
        </is>
      </c>
      <c r="C49" s="11" t="inlineStr">
        <is>
          <t>CFD</t>
        </is>
      </c>
      <c r="D49" s="8" t="inlineStr">
        <is>
          <t>OUI</t>
        </is>
      </c>
      <c r="E49" s="8" t="inlineStr">
        <is>
          <t>OUI</t>
        </is>
      </c>
      <c r="F49" s="11" t="inlineStr">
        <is>
          <t>Trading FAQ: 'you are allowed to copy trades between your own accounts ... provided all accounts are registered under the same email address'; prohibited: hedging across accounts, martingale, grid, tick trading, copy trading with other traders</t>
        </is>
      </c>
      <c r="G49" s="11" t="inlineStr"/>
      <c r="H49" s="12" t="n">
        <v>200000</v>
      </c>
      <c r="I49" s="12" t="n">
        <v>600000</v>
      </c>
      <c r="J49" s="10" t="n">
        <v>600000</v>
      </c>
      <c r="K49" s="10" t="n">
        <v>3597</v>
      </c>
      <c r="L49" s="11" t="inlineStr">
        <is>
          <t>3 x 1199 (two_step 200k) = 3597</t>
        </is>
      </c>
      <c r="M49" s="11" t="inlineStr">
        <is>
          <t>2 Step</t>
        </is>
      </c>
      <c r="N49" s="11" t="inlineStr">
        <is>
          <t>1 Step:1299 (200k);2 Step:1199 (200k) [review site TTP]</t>
        </is>
      </c>
      <c r="O49" s="11" t="inlineStr">
        <is>
          <t>3 x 200000 = 600000 (official)</t>
        </is>
      </c>
      <c r="P49" s="11" t="inlineStr">
        <is>
          <t>official stated: 'USD $600,000 (combined total across all active accounts)'</t>
        </is>
      </c>
      <c r="Q49" s="12" t="n">
        <v>1000000</v>
      </c>
      <c r="R49" s="11" t="inlineStr">
        <is>
          <t>MT4; MT5; TradingView; TradeLocker</t>
        </is>
      </c>
      <c r="S49" s="11" t="inlineStr">
        <is>
          <t>https://challenges.eightcap.com/faq/trading/</t>
        </is>
      </c>
    </row>
    <row r="50">
      <c r="A50" s="7" t="n">
        <v>49</v>
      </c>
      <c r="B50" s="7" t="inlineStr">
        <is>
          <t>Finotive Funding</t>
        </is>
      </c>
      <c r="C50" s="7" t="inlineStr">
        <is>
          <t>CFD</t>
        </is>
      </c>
      <c r="D50" s="8" t="inlineStr">
        <is>
          <t>OUI</t>
        </is>
      </c>
      <c r="E50" s="13" t="inlineStr">
        <is>
          <t>OUI sous conditions</t>
        </is>
      </c>
      <c r="F50" s="7" t="inlineStr">
        <is>
          <t>Help: EA 'only if the Expert Advisor is genuinely developed, owned, and controlled by you' (strategy explanation/live demo/Enhanced KYC may be required); review site (TTP): copying across own accounts allowed but 'correlated stacking' rule may reduce payouts</t>
        </is>
      </c>
      <c r="G50" s="7" t="inlineStr"/>
      <c r="H50" s="9" t="n">
        <v>200000</v>
      </c>
      <c r="I50" s="9" t="n">
        <v>600000</v>
      </c>
      <c r="J50" s="10" t="n">
        <v>600000</v>
      </c>
      <c r="K50" s="10" t="n">
        <v>3297</v>
      </c>
      <c r="L50" s="7" t="inlineStr">
        <is>
          <t>3 x 1099 (two_step 200k) = 3297</t>
        </is>
      </c>
      <c r="M50" s="7" t="inlineStr">
        <is>
          <t>2 Step</t>
        </is>
      </c>
      <c r="N50" s="7" t="inlineStr">
        <is>
          <t>Instant-Direct:3549 (100k);1 Step:1349 (200k);2 Step:1099 (200k);pro_2 Step:1600 (200k) [review site TTP]</t>
        </is>
      </c>
      <c r="O50" s="7" t="inlineStr">
        <is>
          <t>3 x 200000 = 600000 (official cap; copy conditions per review site)</t>
        </is>
      </c>
      <c r="P50" s="7" t="inlineStr">
        <is>
          <t>official stated: Challenge/Pro accounts up to $600,000 purchased capital (help article 'What is Max Allocation')</t>
        </is>
      </c>
      <c r="Q50" s="9" t="n">
        <v>2040000</v>
      </c>
      <c r="R50" s="7" t="inlineStr">
        <is>
          <t>MT5; Match-Trader</t>
        </is>
      </c>
      <c r="S50" s="7" t="inlineStr">
        <is>
          <t>https://help.finotivefunding.com/en/articles/20-what-is-max-allocation-and-what-are-the-limits | https://help.finotivefunding.com/en/articles/956-can-i-use-an-expert-advisor | https://thetrustedprop.com/prop-firms/finotive-funding (fallback)</t>
        </is>
      </c>
    </row>
    <row r="51">
      <c r="A51" s="11" t="n">
        <v>50</v>
      </c>
      <c r="B51" s="11" t="inlineStr">
        <is>
          <t>Super Funded</t>
        </is>
      </c>
      <c r="C51" s="11" t="inlineStr">
        <is>
          <t>CFD</t>
        </is>
      </c>
      <c r="D51" s="8" t="inlineStr">
        <is>
          <t>OUI</t>
        </is>
      </c>
      <c r="E51" s="8" t="inlineStr">
        <is>
          <t>OUI</t>
        </is>
      </c>
      <c r="F51" s="11" t="inlineStr">
        <is>
          <t>Official FAQ: 'You may use trade copiers to replicate strategies between your own accounts where SuperFunded is either the master or slave account'; copying other users prohibited; EAs allowed (not on DXtrade).</t>
        </is>
      </c>
      <c r="G51" s="11" t="inlineStr"/>
      <c r="H51" s="12" t="n">
        <v>250000</v>
      </c>
      <c r="I51" s="12" t="n">
        <v>600000</v>
      </c>
      <c r="J51" s="10" t="n">
        <v>600000</v>
      </c>
      <c r="K51" s="10" t="n">
        <v>2997</v>
      </c>
      <c r="L51" s="11" t="inlineStr">
        <is>
          <t>3 x 999 (two_step 200k) = 2997</t>
        </is>
      </c>
      <c r="M51" s="11" t="inlineStr">
        <is>
          <t>2 Step</t>
        </is>
      </c>
      <c r="N51" s="11" t="inlineStr">
        <is>
          <t>2 Step(200k):999 (TTP review); 250k price unknown</t>
        </is>
      </c>
      <c r="O51" s="11" t="inlineStr">
        <is>
          <t>official YES x review cap 600000 = 600000</t>
        </is>
      </c>
      <c r="P51" s="11" t="inlineStr">
        <is>
          <t>review site (tradingfinder: 'maximum trading capital of $600K by purchasing multiple accounts'; TTP lists 200K; official FAQ publishes no cap)</t>
        </is>
      </c>
      <c r="Q51" s="11" t="inlineStr"/>
      <c r="R51" s="11" t="inlineStr">
        <is>
          <t>TradeLocker (no MT EAs; bot via TradeLocker API/TradingView); DXtrade (no EAs)</t>
        </is>
      </c>
      <c r="S51" s="11" t="inlineStr">
        <is>
          <t>https://superfunded.com/faqs/ ; https://tradingfinder.com/props/super-funded/ ; https://superfunded.com/</t>
        </is>
      </c>
    </row>
    <row r="52">
      <c r="A52" s="7" t="n">
        <v>51</v>
      </c>
      <c r="B52" s="7" t="inlineStr">
        <is>
          <t>The Concept Trading</t>
        </is>
      </c>
      <c r="C52" s="7" t="inlineStr">
        <is>
          <t>CFD</t>
        </is>
      </c>
      <c r="D52" s="8" t="inlineStr">
        <is>
          <t>OUI</t>
        </is>
      </c>
      <c r="E52" s="8" t="inlineStr">
        <is>
          <t>OUI</t>
        </is>
      </c>
      <c r="F52" s="7" t="inlineStr">
        <is>
          <t>Official rules: 'On all models, we allow EAs, HFT and copiers'; FAQ: 'We accept EA's, algorithms, scalpers... without restriction'.</t>
        </is>
      </c>
      <c r="G52" s="7" t="inlineStr">
        <is>
          <t>3</t>
        </is>
      </c>
      <c r="H52" s="9" t="n">
        <v>200000</v>
      </c>
      <c r="I52" s="9" t="n">
        <v>600000</v>
      </c>
      <c r="J52" s="10" t="n">
        <v>600000</v>
      </c>
      <c r="K52" s="10" t="n">
        <v>59991</v>
      </c>
      <c r="L52" s="7" t="inlineStr">
        <is>
          <t>3 x 19997 (empire 200k) = 59991</t>
        </is>
      </c>
      <c r="M52" s="7" t="inlineStr">
        <is>
          <t>empire_1 Step</t>
        </is>
      </c>
      <c r="N52" s="7" t="inlineStr">
        <is>
          <t>empire_1 Step(200k):19997;xtreme(100k):5000;premier(25k):2497;traditional(2.5k):247;foundation_3 Step(25k):260;Instant-Direct(50k):5997 (official)</t>
        </is>
      </c>
      <c r="O52" s="7" t="inlineStr">
        <is>
          <t>official YES x 3 x 200000 = 600000</t>
        </is>
      </c>
      <c r="P52" s="7" t="inlineStr">
        <is>
          <t>official computed: caps per model '3 Empire, 3 Xtreme, 5 Premier, 10 Tradition, 10 Foundation' x Empire 200000; hitting the cap on one model bars other models</t>
        </is>
      </c>
      <c r="Q52" s="9" t="n">
        <v>50000000</v>
      </c>
      <c r="R52" s="7" t="inlineStr">
        <is>
          <t>Platform 5 / TradeLocker</t>
        </is>
      </c>
      <c r="S52" s="7" t="inlineStr">
        <is>
          <t>https://prop.theconcepttrader.com/all-rules/ ; https://prop.theconcepttrader.com/</t>
        </is>
      </c>
    </row>
    <row r="53">
      <c r="A53" s="11" t="n">
        <v>52</v>
      </c>
      <c r="B53" s="11" t="inlineStr">
        <is>
          <t>ThinkCapital</t>
        </is>
      </c>
      <c r="C53" s="11" t="inlineStr">
        <is>
          <t>CFD</t>
        </is>
      </c>
      <c r="D53" s="8" t="inlineStr">
        <is>
          <t>OUI</t>
        </is>
      </c>
      <c r="E53" s="13" t="inlineStr">
        <is>
          <t>OUI sous conditions</t>
        </is>
      </c>
      <c r="F53" s="11" t="inlineStr">
        <is>
          <t>Official FAQ: copy trading allowed between ThinkCapital accounts; must purchase challenge with EA Add-On; vs other firms' accounts TC must be master; EAs must be declared by email in advance.</t>
        </is>
      </c>
      <c r="G53" s="11" t="inlineStr">
        <is>
          <t>unlimited (challenges)</t>
        </is>
      </c>
      <c r="H53" s="12" t="n">
        <v>100000</v>
      </c>
      <c r="I53" s="12" t="n">
        <v>600000</v>
      </c>
      <c r="J53" s="10" t="n">
        <v>600000</v>
      </c>
      <c r="K53" s="10" t="n">
        <v>2094</v>
      </c>
      <c r="L53" s="11" t="inlineStr">
        <is>
          <t>6 x 349 (three_step_nexus 100k) = 2094 (+ EA add-on per challenge)</t>
        </is>
      </c>
      <c r="M53" s="11" t="inlineStr">
        <is>
          <t>3 Step_nexus</t>
        </is>
      </c>
      <c r="N53" s="11" t="inlineStr">
        <is>
          <t>1 Step_lightning(100k):499;2 Step_dual(100k):698;3 Step_nexus(100k):349;Instant-Direct_bolt(50k):unknown (TTP review)</t>
        </is>
      </c>
      <c r="O53" s="11" t="inlineStr">
        <is>
          <t>official YES x official cap 600000 = 600000</t>
        </is>
      </c>
      <c r="P53" s="11" t="inlineStr">
        <is>
          <t>official stated: maximum funded allocation $600,000 across all account types incl. Bolt; unlimited challenges; Bolt one active per size</t>
        </is>
      </c>
      <c r="Q53" s="12" t="n">
        <v>1500000</v>
      </c>
      <c r="R53" s="11" t="inlineStr">
        <is>
          <t>ThinkTrader; TradingView</t>
        </is>
      </c>
      <c r="S53" s="11" t="inlineStr">
        <is>
          <t>https://www.thinkcapital.com/faqs/general-faqs/can-i-use-copy-trading-software-with-thinkcapital-accounts/ ; https://www.thinkcapital.com/faqs/funded-accounts/what-are-the-limits-for-simulated-challenge-and-funded-accounts/</t>
        </is>
      </c>
    </row>
    <row r="54">
      <c r="A54" s="7" t="n">
        <v>53</v>
      </c>
      <c r="B54" s="7" t="inlineStr">
        <is>
          <t>TTT Markets</t>
        </is>
      </c>
      <c r="C54" s="7" t="inlineStr">
        <is>
          <t>CFD</t>
        </is>
      </c>
      <c r="D54" s="8" t="inlineStr">
        <is>
          <t>OUI</t>
        </is>
      </c>
      <c r="E54" s="15" t="inlineStr">
        <is>
          <t>NON (un seul compte par stratégie)</t>
        </is>
      </c>
      <c r="F54" s="7" t="inlineStr">
        <is>
          <t>Official TTT article: 'Copy trading is prohibited internally as well as externally. Each account must be traded independently.'</t>
        </is>
      </c>
      <c r="G54" s="7" t="inlineStr"/>
      <c r="H54" s="9" t="n">
        <v>500000</v>
      </c>
      <c r="I54" s="9" t="n">
        <v>1000000</v>
      </c>
      <c r="J54" s="10" t="n">
        <v>500000</v>
      </c>
      <c r="K54" s="10" t="n">
        <v>3299</v>
      </c>
      <c r="L54" s="7" t="inlineStr">
        <is>
          <t>1 x 3299 (two_step 500k) = 3299</t>
        </is>
      </c>
      <c r="M54" s="7" t="inlineStr">
        <is>
          <t>2 Step</t>
        </is>
      </c>
      <c r="N54" s="7" t="inlineStr">
        <is>
          <t>Instant-Direct(100k):3999;1 Step(500k):3499;2 Step(500k):3299 (official/TTP)</t>
        </is>
      </c>
      <c r="O54" s="7" t="inlineStr">
        <is>
          <t>NO -&gt; max single account 500000</t>
        </is>
      </c>
      <c r="P54" s="7" t="inlineStr">
        <is>
          <t>ATTENTION plafond via scaling. review site (TTP baseline); official homepage 'access up to $4M' via scaling only</t>
        </is>
      </c>
      <c r="Q54" s="7" t="inlineStr"/>
      <c r="R54" s="7" t="inlineStr">
        <is>
          <t>MT5 (restricted in some countries); TTT WebTrader</t>
        </is>
      </c>
      <c r="S54" s="7" t="inlineStr">
        <is>
          <t>https://tttmarkets.com/articles/what-trade-copying-detection-actually-looks-for/ ; https://tttmarkets.com/ ; https://thetrustedprop.com/prop-firms/ttt-markets</t>
        </is>
      </c>
    </row>
    <row r="55">
      <c r="A55" s="11" t="n">
        <v>54</v>
      </c>
      <c r="B55" s="11" t="inlineStr">
        <is>
          <t>Hola Prime</t>
        </is>
      </c>
      <c r="C55" s="11" t="inlineStr">
        <is>
          <t>CFD + Futures</t>
        </is>
      </c>
      <c r="D55" s="13" t="inlineStr">
        <is>
          <t>OUI sur certains comptes</t>
        </is>
      </c>
      <c r="E55" s="13" t="inlineStr">
        <is>
          <t>OUI sous conditions</t>
        </is>
      </c>
      <c r="F55" s="11" t="inlineStr">
        <is>
          <t>Official FAQ: 'Copy trading is permitted between Hola Prime accounts owned by the same individual'; no restriction between Challenge accounts; 'Copy trading involving Hola Prime (Sim. Funded) Accounts is limited to two accounts owned by the same individual, structured as: 1 Master Account [and] 1 Copier Account'; 'Accounts using identical or highly similar EA strategies or configurations may be grouped and subject to a combined maximum capital allocation'; EA strategy must be declared when funded account issued. EAs only on MT5 with paid EA add-on; not on Direct accounts; futures 'EAs: Restricted'.</t>
        </is>
      </c>
      <c r="G55" s="11" t="inlineStr">
        <is>
          <t>forex: unlimited within 500k (Direct max 2); futures: 5</t>
        </is>
      </c>
      <c r="H55" s="12" t="n">
        <v>300000</v>
      </c>
      <c r="I55" s="12" t="n">
        <v>800000</v>
      </c>
      <c r="J55" s="10" t="n">
        <v>500000</v>
      </c>
      <c r="K55" s="10" t="n">
        <v>1900</v>
      </c>
      <c r="L55" s="11" t="inlineStr">
        <is>
          <t>1 x 1079 (two_step_prime 300k) + 1 x ~800-1079 (two_step_prime 200k, price not retrieved) ~= 1900-2160</t>
        </is>
      </c>
      <c r="M55" s="11" t="inlineStr">
        <is>
          <t>2 Step_prime</t>
        </is>
      </c>
      <c r="N55" s="11" t="inlineStr">
        <is>
          <t>direct_Instant-Direct:2399 (300k, fundedtrading, discounted);1 Step_prime:1599 (300k);2 Step_prime:1079 (300k);2 Step_pro:unknown (300k);futures_1 Step:359 (150k, TTP) [review sites; official plans page dynamic]</t>
        </is>
      </c>
      <c r="O55" s="11" t="inlineStr">
        <is>
          <t>funded copy limited to 2 accounts: min(2 x 300000, forex cap 500000) = 500000 (identical-EA grouping cap unspecified)</t>
        </is>
      </c>
      <c r="P55" s="11" t="inlineStr">
        <is>
          <t>official stated (forex max $500K, Direct max 2 accounts; futures $500K or 5 accounts; combined forex+futures capped at $800K)</t>
        </is>
      </c>
      <c r="Q55" s="12" t="n">
        <v>4000000</v>
      </c>
      <c r="R55" s="11" t="inlineStr">
        <is>
          <t>MT5 (EAs);MT4;DXtrade;Match-Trader;TradeLocker</t>
        </is>
      </c>
      <c r="S55" s="11" t="inlineStr">
        <is>
          <t>https://holaprime.com/forex/faq/trading-conditions/ea-algorithmic-copy-trading/ ; https://holaprime.com/forex/faq/general-faqs/what-is-the-maximum-hola-prime-account-allocation-and-how-do-they-apply-to-my-hola-prime-accounts/</t>
        </is>
      </c>
    </row>
    <row r="56">
      <c r="A56" s="7" t="n">
        <v>55</v>
      </c>
      <c r="B56" s="7" t="inlineStr">
        <is>
          <t>Capitalize</t>
        </is>
      </c>
      <c r="C56" s="7" t="inlineStr">
        <is>
          <t>CFD</t>
        </is>
      </c>
      <c r="D56" s="8" t="inlineStr">
        <is>
          <t>OUI</t>
        </is>
      </c>
      <c r="E56" s="15" t="inlineStr">
        <is>
          <t>NON (un seul compte par stratégie)</t>
        </is>
      </c>
      <c r="F56" s="7" t="inlineStr">
        <is>
          <t>review site (TTP): 'Allows Copy Trading: No'; EAs permitted; no off-the-shelf pass strategies</t>
        </is>
      </c>
      <c r="G56" s="7" t="inlineStr"/>
      <c r="H56" s="9" t="n">
        <v>500000</v>
      </c>
      <c r="I56" s="9" t="n">
        <v>500000</v>
      </c>
      <c r="J56" s="10" t="n">
        <v>500000</v>
      </c>
      <c r="K56" s="10" t="n">
        <v>4999</v>
      </c>
      <c r="L56" s="7" t="inlineStr">
        <is>
          <t>1 x 4999 (one_step 500k) = 4999</t>
        </is>
      </c>
      <c r="M56" s="7" t="inlineStr">
        <is>
          <t>1 Step</t>
        </is>
      </c>
      <c r="N56" s="7" t="inlineStr">
        <is>
          <t>1 Step:4999 (500k) [review site TTP]</t>
        </is>
      </c>
      <c r="O56" s="7" t="inlineStr">
        <is>
          <t>NO -&gt; max single account 500000 (review-site basis)</t>
        </is>
      </c>
      <c r="P56" s="7" t="inlineStr">
        <is>
          <t>review site (TTP max allocation); official site unreachable</t>
        </is>
      </c>
      <c r="Q56" s="9" t="n">
        <v>2000000</v>
      </c>
      <c r="R56" s="7" t="inlineStr">
        <is>
          <t>ThinkMarkets raw accounts (platform not named)</t>
        </is>
      </c>
      <c r="S56" s="7" t="inlineStr">
        <is>
          <t>https://thetrustedprop.com/prop-firms/capitalize (fallback) | https://prop-capitalize.com/</t>
        </is>
      </c>
    </row>
    <row r="57">
      <c r="A57" s="11" t="n">
        <v>56</v>
      </c>
      <c r="B57" s="11" t="inlineStr">
        <is>
          <t>Darwinex Zero</t>
        </is>
      </c>
      <c r="C57" s="11" t="inlineStr">
        <is>
          <t>CFD + Futures</t>
        </is>
      </c>
      <c r="D57" s="8" t="inlineStr">
        <is>
          <t>OUI</t>
        </is>
      </c>
      <c r="E57" s="13" t="inlineStr">
        <is>
          <t>OUI sous conditions</t>
        </is>
      </c>
      <c r="F57" s="11" t="inlineStr">
        <is>
          <t>No trading rules; 'Multiple accounts are permitted, but not with the same subscription' (separate email + subscription per DARWIN); algo/EA trading encouraged; allocation depends on each DARWIN's rating</t>
        </is>
      </c>
      <c r="G57" s="11" t="inlineStr">
        <is>
          <t>unknown (multiple accounts allowed, each own subscription + email)</t>
        </is>
      </c>
      <c r="H57" s="12" t="n">
        <v>500000</v>
      </c>
      <c r="I57" s="12" t="n">
        <v>500000</v>
      </c>
      <c r="J57" s="10" t="n">
        <v>500000</v>
      </c>
      <c r="K57" s="14" t="inlineStr">
        <is>
          <t>inconnu</t>
        </is>
      </c>
      <c r="L57" s="11" t="inlineStr">
        <is>
          <t>1 x 41/month (subscription) - allocation earned via rating</t>
        </is>
      </c>
      <c r="M57" s="11" t="inlineStr">
        <is>
          <t>subscription</t>
        </is>
      </c>
      <c r="N57" s="11" t="inlineStr">
        <is>
          <t>subscription:41/month (EUR38) per account</t>
        </is>
      </c>
      <c r="O57" s="11" t="inlineStr">
        <is>
          <t>allocation not purchasable (per DARWIN up to 500000 EUR)</t>
        </is>
      </c>
      <c r="P57" s="11" t="inlineStr">
        <is>
          <t>review site (DarwinIA allocation per DARWIN up to 500,000 EUR; earned by rating, not purchasable)</t>
        </is>
      </c>
      <c r="Q57" s="12" t="n">
        <v>500000</v>
      </c>
      <c r="R57" s="11" t="inlineStr">
        <is>
          <t>MT4; MT5</t>
        </is>
      </c>
      <c r="S57" s="11" t="inlineStr">
        <is>
          <t>https://www.darwinexzero.com/ | https://help.darwinex.com/can-i-include-more-than-one-strategy (fallback)</t>
        </is>
      </c>
    </row>
    <row r="58">
      <c r="A58" s="7" t="n">
        <v>57</v>
      </c>
      <c r="B58" s="7" t="inlineStr">
        <is>
          <t>E8 Markets</t>
        </is>
      </c>
      <c r="C58" s="7" t="inlineStr">
        <is>
          <t>CFD</t>
        </is>
      </c>
      <c r="D58" s="8" t="inlineStr">
        <is>
          <t>OUI</t>
        </is>
      </c>
      <c r="E58" s="8" t="inlineStr">
        <is>
          <t>OUI</t>
        </is>
      </c>
      <c r="F58" s="7" t="inlineStr">
        <is>
          <t>Help 9453469: 'Copy trading across your own accounts is allowed ... as long as all accounts belong to you and you alone'; EA allowed unless multiple users execute same trades/strategy</t>
        </is>
      </c>
      <c r="G58" s="7" t="inlineStr">
        <is>
          <t>5 per market</t>
        </is>
      </c>
      <c r="H58" s="9" t="n">
        <v>500000</v>
      </c>
      <c r="I58" s="9" t="n">
        <v>500000</v>
      </c>
      <c r="J58" s="10" t="n">
        <v>500000</v>
      </c>
      <c r="K58" s="10" t="n">
        <v>1998</v>
      </c>
      <c r="L58" s="7" t="inlineStr">
        <is>
          <t>1 x 1998 (one_step 500k) = 1998 (alt: 3 x 390 Signature 150k = 1170 for 450k)</t>
        </is>
      </c>
      <c r="M58" s="7" t="inlineStr">
        <is>
          <t>1 Step</t>
        </is>
      </c>
      <c r="N58" s="7" t="inlineStr">
        <is>
          <t>1 Step:1998 (E8 One 500k list);2 Step:390 (Signature 150k, TTP)</t>
        </is>
      </c>
      <c r="O58" s="7" t="inlineStr">
        <is>
          <t>1 x 500000 (E8 One) = 500000 (official)</t>
        </is>
      </c>
      <c r="P58" s="7" t="inlineStr">
        <is>
          <t>ATTENTION plafond via scaling. official stated: 'maximum allocation limit on the Performance stage for E8 One is $500,000'; 'You can only actively manage 5 performance accounts for each market'</t>
        </is>
      </c>
      <c r="Q58" s="9" t="n">
        <v>1000000</v>
      </c>
      <c r="R58" s="7" t="inlineStr">
        <is>
          <t>MT5; TradeLocker; cTrader; Match-Trader; E8 Terminal</t>
        </is>
      </c>
      <c r="S58" s="7" t="inlineStr">
        <is>
          <t>https://help.e8markets.com/en/articles/5515039-how-many-accounts-can-i-apply-for-at-once | https://help.e8markets.com/en/articles/9453469-is-copy-trading-allowed</t>
        </is>
      </c>
    </row>
    <row r="59">
      <c r="A59" s="11" t="n">
        <v>58</v>
      </c>
      <c r="B59" s="11" t="inlineStr">
        <is>
          <t>FNC Funding</t>
        </is>
      </c>
      <c r="C59" s="11" t="inlineStr">
        <is>
          <t>CFD</t>
        </is>
      </c>
      <c r="D59" s="13" t="inlineStr">
        <is>
          <t>OUI sur certains comptes</t>
        </is>
      </c>
      <c r="E59" s="13" t="inlineStr">
        <is>
          <t>OUI sous conditions</t>
        </is>
      </c>
      <c r="F59" s="11" t="inlineStr">
        <is>
          <t>review site (TTP): 'permits copy trading with specific restrictions'; official: EAs allowed on Forex/CFD programs 'subject to certain policies', 'EA Allowed? No' on Crypto programs</t>
        </is>
      </c>
      <c r="G59" s="11" t="inlineStr"/>
      <c r="H59" s="12" t="n">
        <v>100000</v>
      </c>
      <c r="I59" s="12" t="n">
        <v>500000</v>
      </c>
      <c r="J59" s="10" t="n">
        <v>500000</v>
      </c>
      <c r="K59" s="10" t="n">
        <v>2625</v>
      </c>
      <c r="L59" s="11" t="inlineStr">
        <is>
          <t>5 x 525 (two_step 100k) = 2625</t>
        </is>
      </c>
      <c r="M59" s="11" t="inlineStr">
        <is>
          <t>2 Step</t>
        </is>
      </c>
      <c r="N59" s="11" t="inlineStr">
        <is>
          <t>Instant-Direct:5000 (100k);1 Step:850 (100k);2 Step:525 (100k) [review site propfirmmap]</t>
        </is>
      </c>
      <c r="O59" s="11">
        <f> 500000 (review-site basis; 5 x 100000)</f>
        <v/>
      </c>
      <c r="P59" s="11" t="inlineStr">
        <is>
          <t>review site (TTP 'Max Allocation $500K'); official pricing shows accounts to 100k; FAQ blocked by bot-check</t>
        </is>
      </c>
      <c r="Q59" s="11" t="inlineStr"/>
      <c r="R59" s="11" t="inlineStr">
        <is>
          <t>unknown (not stated on official page; TTP lists none)</t>
        </is>
      </c>
      <c r="S59" s="11" t="inlineStr">
        <is>
          <t>https://fncfunding.com/ | https://thetrustedprop.com/prop-firms/fnc-funding (fallback) | https://propfirmmap.com/blog/fncfunding-review (fallback)</t>
        </is>
      </c>
    </row>
    <row r="60">
      <c r="A60" s="7" t="n">
        <v>59</v>
      </c>
      <c r="B60" s="7" t="inlineStr">
        <is>
          <t>Funding Traders</t>
        </is>
      </c>
      <c r="C60" s="7" t="inlineStr">
        <is>
          <t>CFD</t>
        </is>
      </c>
      <c r="D60" s="8" t="inlineStr">
        <is>
          <t>OUI</t>
        </is>
      </c>
      <c r="E60" s="13" t="inlineStr">
        <is>
          <t>OUI sous conditions</t>
        </is>
      </c>
      <c r="F60" s="7" t="inlineStr">
        <is>
          <t>Official FAQ: 'You are allowed to manually copy your own trades across your own FundingTraders accounts.' 'Using copy trading software between FT Instant Accounts is not allowed.' Copying to/from another trader's account prohibited; reverse trading across accounts prohibited. MT5 'Full EA support'.</t>
        </is>
      </c>
      <c r="G60" s="7" t="inlineStr">
        <is>
          <t>unlimited within per-program caps</t>
        </is>
      </c>
      <c r="H60" s="9" t="n">
        <v>400000</v>
      </c>
      <c r="I60" s="9" t="n">
        <v>500000</v>
      </c>
      <c r="J60" s="10" t="n">
        <v>500000</v>
      </c>
      <c r="K60" s="10" t="n">
        <v>2057</v>
      </c>
      <c r="L60" s="7" t="inlineStr">
        <is>
          <t>2 x 799 (two_step_pro6 200k) + 1 x 459 (two_step_pro6 100k) = 2057 (if Pro cap 300k applies: 1 x 799 + 1 x 459 = 1258)</t>
        </is>
      </c>
      <c r="M60" s="7" t="inlineStr">
        <is>
          <t>2 Step_pro6</t>
        </is>
      </c>
      <c r="N60" s="7" t="inlineStr">
        <is>
          <t>Instant-Direct:2349 (400k);1 Step_pro:999 (200k);2 Step_pro10:999 (200k);2 Step_pro6:799 (200k) [official homepage]</t>
        </is>
      </c>
      <c r="O60" s="7">
        <f> Next-Gen cap 500000 (copy software banned only between Instant accounts; Pro accounts capped at 300000)</f>
        <v/>
      </c>
      <c r="P60" s="7" t="inlineStr">
        <is>
          <t>official stated (help center: Next-Gen 'Total funded balance cannot exceed $500,000'; Instant capped at $400,000; Pro/University max $300,000; no cap on evaluations) - supersedes TTP 400000</t>
        </is>
      </c>
      <c r="Q60" s="9" t="n">
        <v>2000000</v>
      </c>
      <c r="R60" s="7" t="inlineStr">
        <is>
          <t>MT5;TradeLocker (AlphaTicks per TTP)</t>
        </is>
      </c>
      <c r="S60" s="7" t="inlineStr">
        <is>
          <t>https://fundingtraders.com/faq ; https://fundingtraders.com/help/en/articles/8050973-what-is-the-maximum-number-of-accounts-allowed</t>
        </is>
      </c>
    </row>
    <row r="61">
      <c r="A61" s="11" t="n">
        <v>60</v>
      </c>
      <c r="B61" s="11" t="inlineStr">
        <is>
          <t>IC Funded</t>
        </is>
      </c>
      <c r="C61" s="11" t="inlineStr">
        <is>
          <t>CFD</t>
        </is>
      </c>
      <c r="D61" s="8" t="inlineStr">
        <is>
          <t>OUI</t>
        </is>
      </c>
      <c r="E61" s="15" t="inlineStr">
        <is>
          <t>NON (un seul compte par stratégie)</t>
        </is>
      </c>
      <c r="F61" s="11" t="inlineStr">
        <is>
          <t>Official Evaluation Rules PDF (prior read; now 403): EAs permitted 'provided they do not incorporate copy trading functionalities'; TTP: 'copy trading across multiple accounts are prohibited'; fundedtrading: prohibited 'Copying between IC Funded accounts, mirroring, signal-sharing, coordinated execution'.</t>
        </is>
      </c>
      <c r="G61" s="11" t="inlineStr"/>
      <c r="H61" s="12" t="n">
        <v>500000</v>
      </c>
      <c r="I61" s="12" t="n">
        <v>500000</v>
      </c>
      <c r="J61" s="10" t="n">
        <v>500000</v>
      </c>
      <c r="K61" s="10" t="n">
        <v>2999</v>
      </c>
      <c r="L61" s="11" t="inlineStr">
        <is>
          <t>1 x 2999 (two_step 500k) = 2999</t>
        </is>
      </c>
      <c r="M61" s="11" t="inlineStr">
        <is>
          <t>2 Step</t>
        </is>
      </c>
      <c r="N61" s="11" t="inlineStr">
        <is>
          <t>2 Step:2999 (500k);1 Step:809 (100k);Instant-Direct:coming soon [fundedtrading]</t>
        </is>
      </c>
      <c r="O61" s="11" t="inlineStr">
        <is>
          <t>NO -&gt; max single account 500000 (2-step Professional 500k)</t>
        </is>
      </c>
      <c r="P61" s="11" t="inlineStr">
        <is>
          <t>review site (TTP: scale up to max allocation $500,000; largest account 500k)</t>
        </is>
      </c>
      <c r="Q61" s="11" t="inlineStr"/>
      <c r="R61" s="11" t="inlineStr">
        <is>
          <t>unknown (not stated)</t>
        </is>
      </c>
      <c r="S61" s="11" t="inlineStr">
        <is>
          <t>https://icfunded.com/wp-content/uploads/2024/11/Evaluation-Rules-ICF.pdf ; https://thetrustedprop.com/prop-firms/ic-funded ; https://fundedtrading.com/propfirm/ic-funded/</t>
        </is>
      </c>
    </row>
    <row r="62">
      <c r="A62" s="7" t="n">
        <v>61</v>
      </c>
      <c r="B62" s="7" t="inlineStr">
        <is>
          <t>Ifunds</t>
        </is>
      </c>
      <c r="C62" s="7" t="inlineStr">
        <is>
          <t>CFD</t>
        </is>
      </c>
      <c r="D62" s="8" t="inlineStr">
        <is>
          <t>OUI</t>
        </is>
      </c>
      <c r="E62" s="8" t="inlineStr">
        <is>
          <t>OUI</t>
        </is>
      </c>
      <c r="F62" s="7" t="inlineStr">
        <is>
          <t>Official homepage FAQ: 'Can I use a trade copier? Yes, we don't have any restriction on copy-trading as long as the trades are not deemed of market manipulative techniques.' 'you can use your own AutoTrading Robot (EA) or any third-party AutoTrading Software... as long as it doesn't use... latency arbitrage HFT'.</t>
        </is>
      </c>
      <c r="G62" s="7" t="inlineStr"/>
      <c r="H62" s="9" t="n">
        <v>500000</v>
      </c>
      <c r="I62" s="9" t="n">
        <v>500000</v>
      </c>
      <c r="J62" s="10" t="n">
        <v>500000</v>
      </c>
      <c r="K62" s="10" t="n">
        <v>30000</v>
      </c>
      <c r="L62" s="7" t="inlineStr">
        <is>
          <t>1 x 30000 (instant 500k) = 30000</t>
        </is>
      </c>
      <c r="M62" s="7" t="inlineStr">
        <is>
          <t>Instant-Direct</t>
        </is>
      </c>
      <c r="N62" s="7" t="inlineStr">
        <is>
          <t>Instant-Direct:30000 (500k 'New York') [TTP]</t>
        </is>
      </c>
      <c r="O62" s="7">
        <f> max_cumulative 500000 (single 500k instant account; no cap on copying stated)</f>
        <v/>
      </c>
      <c r="P62" s="7" t="inlineStr">
        <is>
          <t>official homepage 'Instant Funding up to $500k' (single account max); TTP 500000</t>
        </is>
      </c>
      <c r="Q62" s="9" t="n">
        <v>500000</v>
      </c>
      <c r="R62" s="7" t="inlineStr">
        <is>
          <t>MT5</t>
        </is>
      </c>
      <c r="S62" s="7" t="inlineStr">
        <is>
          <t>https://ifunds.io/ ; https://thetrustedprop.com/prop-firms/ifunds</t>
        </is>
      </c>
    </row>
    <row r="63">
      <c r="A63" s="11" t="n">
        <v>62</v>
      </c>
      <c r="B63" s="11" t="inlineStr">
        <is>
          <t>Quantum Funding</t>
        </is>
      </c>
      <c r="C63" s="11" t="inlineStr">
        <is>
          <t>CFD</t>
        </is>
      </c>
      <c r="D63" s="8" t="inlineStr">
        <is>
          <t>OUI</t>
        </is>
      </c>
      <c r="E63" s="8" t="inlineStr">
        <is>
          <t>OUI</t>
        </is>
      </c>
      <c r="F63" s="11" t="inlineStr">
        <is>
          <t>Official FAQ: 'It is permissible to copy trades between Quantum Funding trading accounts ... provided that all the accounts involved are owned by the same individual'; 'Trade Copiers are permitted only for copying your own trading ideas'; third-party EAs only as trade/risk manager.</t>
        </is>
      </c>
      <c r="G63" s="11" t="inlineStr"/>
      <c r="H63" s="12" t="n">
        <v>500000</v>
      </c>
      <c r="I63" s="12" t="n">
        <v>500000</v>
      </c>
      <c r="J63" s="10" t="n">
        <v>500000</v>
      </c>
      <c r="K63" s="10" t="n">
        <v>2399</v>
      </c>
      <c r="L63" s="11" t="inlineStr">
        <is>
          <t>1 x 2399 (one_step_prime 500k) = 2399</t>
        </is>
      </c>
      <c r="M63" s="11" t="inlineStr">
        <is>
          <t>1 Step_prime</t>
        </is>
      </c>
      <c r="N63" s="11" t="inlineStr">
        <is>
          <t>Instant-Direct(50k):1899;1 Step(200k):999;1 Step_prime(500k):2399;2 Step(200k):999 (official)</t>
        </is>
      </c>
      <c r="O63" s="11" t="inlineStr">
        <is>
          <t>official YES x official cap 500000 = 500000</t>
        </is>
      </c>
      <c r="P63" s="11" t="inlineStr">
        <is>
          <t>official stated: 'the active maximum allocation of a trading account is limited to $500,000' (merge caps: 1-Step &amp; 2-Step $400K, 1-Step Prime $500K)</t>
        </is>
      </c>
      <c r="Q63" s="11" t="inlineStr"/>
      <c r="R63" s="11" t="inlineStr">
        <is>
          <t>MT5, cTrader</t>
        </is>
      </c>
      <c r="S63" s="11" t="inlineStr">
        <is>
          <t>https://quantumfunding.io/faq/ ; https://quantumfunding.io/</t>
        </is>
      </c>
    </row>
    <row r="64">
      <c r="A64" s="7" t="n">
        <v>63</v>
      </c>
      <c r="B64" s="7" t="inlineStr">
        <is>
          <t>SFX Funded</t>
        </is>
      </c>
      <c r="C64" s="7" t="inlineStr">
        <is>
          <t>CFD</t>
        </is>
      </c>
      <c r="D64" s="8" t="inlineStr">
        <is>
          <t>OUI</t>
        </is>
      </c>
      <c r="E64" s="15" t="inlineStr">
        <is>
          <t>NON (un seul compte par stratégie)</t>
        </is>
      </c>
      <c r="F64" s="7" t="inlineStr">
        <is>
          <t>Official help center: 'No, the use of Copy Trading Software is not permitted'; 'you can't copy trades (EA or Manual) from a master account to an evaluation account or from one evaluation account to another evaluation account to pass them simultaneously with the same trades &amp; trade ideas'.</t>
        </is>
      </c>
      <c r="G64" s="7" t="inlineStr">
        <is>
          <t>unlimited</t>
        </is>
      </c>
      <c r="H64" s="9" t="n">
        <v>500000</v>
      </c>
      <c r="I64" s="9" t="n">
        <v>500000</v>
      </c>
      <c r="J64" s="10" t="n">
        <v>500000</v>
      </c>
      <c r="K64" s="14" t="inlineStr">
        <is>
          <t>inconnu</t>
        </is>
      </c>
      <c r="L64" s="7" t="inlineStr">
        <is>
          <t>1 x 500k account (price unknown)</t>
        </is>
      </c>
      <c r="M64" s="7" t="inlineStr">
        <is>
          <t>unknown</t>
        </is>
      </c>
      <c r="N64" s="7" t="inlineStr">
        <is>
          <t>unknown (500k prices not retrievable; TTP: 1-step from 59, 2-step from 39)</t>
        </is>
      </c>
      <c r="O64" s="7" t="inlineStr">
        <is>
          <t>NO -&gt; max single account 500000</t>
        </is>
      </c>
      <c r="P64" s="7" t="inlineStr">
        <is>
          <t>official stated: 'you can trade with a maximum capital of $500,000 across any number of funded accounts'</t>
        </is>
      </c>
      <c r="Q64" s="9" t="n">
        <v>3200000</v>
      </c>
      <c r="R64" s="7" t="inlineStr">
        <is>
          <t>Match-Trader; Platform 5 (MT5-type, EA capable)</t>
        </is>
      </c>
      <c r="S64" s="7" t="inlineStr">
        <is>
          <t>https://intercom.help/sfx-15a6836318fd/en/articles/9265073-is-copy-trading-allowed ; https://intercom.help/sfx-15a6836318fd/en/articles/9265036-what-is-the-maximum-funded-capital-i-can-trade-with-at-sfx-funded ; https://intercom.help/sfx-15a6836318fd/en/articles/9265035-how-many-evaluation-accounts-can-i-purchase</t>
        </is>
      </c>
    </row>
    <row r="65">
      <c r="A65" s="11" t="n">
        <v>64</v>
      </c>
      <c r="B65" s="11" t="inlineStr">
        <is>
          <t>The5ers</t>
        </is>
      </c>
      <c r="C65" s="11" t="inlineStr">
        <is>
          <t>CFD + Futures</t>
        </is>
      </c>
      <c r="D65" s="8" t="inlineStr">
        <is>
          <t>OUI</t>
        </is>
      </c>
      <c r="E65" s="13" t="inlineStr">
        <is>
          <t>OUI sous conditions</t>
        </is>
      </c>
      <c r="F65" s="11" t="inlineStr">
        <is>
          <t>Official FAQ: 'you can copy your own trades across all of your accounts without a violation. If you have multiple Bootcamp accounts, they will need to be traded with different strategies'; Bootcamp: 'Each account must have a different trading method'; futures: copy only up to $75K total; EA source code must be owned.</t>
        </is>
      </c>
      <c r="G65" s="11" t="inlineStr">
        <is>
          <t>19</t>
        </is>
      </c>
      <c r="H65" s="12" t="n">
        <v>250000</v>
      </c>
      <c r="I65" s="12" t="n">
        <v>607500</v>
      </c>
      <c r="J65" s="10" t="n">
        <v>467500</v>
      </c>
      <c r="K65" s="14" t="inlineStr">
        <is>
          <t>inconnu</t>
        </is>
      </c>
      <c r="L65" s="11" t="inlineStr">
        <is>
          <t>unknown</t>
        </is>
      </c>
      <c r="M65" s="11" t="inlineStr">
        <is>
          <t>unknown</t>
        </is>
      </c>
      <c r="N65" s="11" t="inlineStr">
        <is>
          <t>high_stakes(100k):unknown (site shows $19 step-1 for all sizes, unverified);bootcamp(250k):50 (pro-trader step, entry 22 at 5k);hyper_growth(20k):unknown</t>
        </is>
      </c>
      <c r="O65" s="11" t="inlineStr">
        <is>
          <t>one Bootcamp account 250000 + High Stakes 177500 + Hyper Growth 40000 = 467500</t>
        </is>
      </c>
      <c r="P65" s="11" t="inlineStr">
        <is>
          <t>official computed: Bootcamp max 4 (1x250K+1x100K+2x20K=390K) + High Stakes new structure (3x2.5K+3x5K+3x10K+1x25K+1x100K=177.5K) + Hyper Growth max $40K starting capital = 607,500</t>
        </is>
      </c>
      <c r="Q65" s="12" t="n">
        <v>4000000</v>
      </c>
      <c r="R65" s="11" t="inlineStr">
        <is>
          <t>MT5 (Hedge); cTrader</t>
        </is>
      </c>
      <c r="S65" s="11" t="inlineStr">
        <is>
          <t>https://the5ers.com/faqs/can-i-copy-my-own-trades/ ; https://the5ers.com/faqs/how-many-bootcamp-accounts-can-i-have/ ; https://help.the5ers.com/how-many-high-stakes-accounts-can-i-have/ ; https://the5ers.com/hyper-growth/</t>
        </is>
      </c>
    </row>
    <row r="66">
      <c r="A66" s="7" t="n">
        <v>65</v>
      </c>
      <c r="B66" s="7" t="inlineStr">
        <is>
          <t>Blueberry Futures</t>
        </is>
      </c>
      <c r="C66" s="7" t="inlineStr">
        <is>
          <t>Futures</t>
        </is>
      </c>
      <c r="D66" s="8" t="inlineStr">
        <is>
          <t>OUI</t>
        </is>
      </c>
      <c r="E66" s="8" t="inlineStr">
        <is>
          <t>OUI</t>
        </is>
      </c>
      <c r="F66" s="7" t="inlineStr">
        <is>
          <t>Help: 'Personal trade copiers are allowed for copying your own trades across your own accounts'; EA only if proprietary, own strategy, disclosed before first trade; no sub-second scalping/HFT</t>
        </is>
      </c>
      <c r="G66" s="7" t="inlineStr">
        <is>
          <t>3</t>
        </is>
      </c>
      <c r="H66" s="9" t="n">
        <v>150000</v>
      </c>
      <c r="I66" s="9" t="n">
        <v>450000</v>
      </c>
      <c r="J66" s="10" t="n">
        <v>450000</v>
      </c>
      <c r="K66" s="10" t="n">
        <v>1362</v>
      </c>
      <c r="L66" s="7" t="inlineStr">
        <is>
          <t>3 x 454 (Accelerated 150k, monthly) = 1362 per month</t>
        </is>
      </c>
      <c r="M66" s="7" t="inlineStr">
        <is>
          <t>1 Step</t>
        </is>
      </c>
      <c r="N66" s="7" t="inlineStr">
        <is>
          <t>1 Step_ascent:607/month (150k list);1 Step_accelerated:454/month (150k list) [propfirmmatch fallback]</t>
        </is>
      </c>
      <c r="O66" s="7" t="inlineStr">
        <is>
          <t>3 x 150000 = 450000 (official)</t>
        </is>
      </c>
      <c r="P66" s="7" t="inlineStr">
        <is>
          <t>official stated: 'You can have up to $450k in total funding across a maximum of 3 active accounts.'</t>
        </is>
      </c>
      <c r="Q66" s="7" t="inlineStr"/>
      <c r="R66" s="7" t="inlineStr">
        <is>
          <t>Blackarrow</t>
        </is>
      </c>
      <c r="S66" s="7" t="inlineStr">
        <is>
          <t>http://help.blueberryfutures.com/en/articles/12942861-what-is-the-maximum-capital-allocation | https://help.blueberryfutures.com/en/</t>
        </is>
      </c>
    </row>
    <row r="67">
      <c r="A67" s="11" t="n">
        <v>66</v>
      </c>
      <c r="B67" s="11" t="inlineStr">
        <is>
          <t>FTMO Futures</t>
        </is>
      </c>
      <c r="C67" s="11" t="inlineStr">
        <is>
          <t>Futures</t>
        </is>
      </c>
      <c r="D67" s="8" t="inlineStr">
        <is>
          <t>OUI</t>
        </is>
      </c>
      <c r="E67" s="13" t="inlineStr">
        <is>
          <t>OUI sous conditions</t>
        </is>
      </c>
      <c r="F67" s="11" t="inlineStr">
        <is>
          <t>Futures FAQ: 'no copy trading across registrations is allowed and FTMO requires you to use a unique strategy'; third-party EAs discouraged (same strategy as other users); own 3 Sim-Funded accounts under one registration</t>
        </is>
      </c>
      <c r="G67" s="11" t="inlineStr">
        <is>
          <t>3</t>
        </is>
      </c>
      <c r="H67" s="12" t="n">
        <v>150000</v>
      </c>
      <c r="I67" s="12" t="n">
        <v>450000</v>
      </c>
      <c r="J67" s="10" t="n">
        <v>450000</v>
      </c>
      <c r="K67" s="10" t="n">
        <v>687</v>
      </c>
      <c r="L67" s="11" t="inlineStr">
        <is>
          <t>3 x 229 (150k, monthly) = 687 per month</t>
        </is>
      </c>
      <c r="M67" s="11" t="inlineStr">
        <is>
          <t>1 Step</t>
        </is>
      </c>
      <c r="N67" s="11" t="inlineStr">
        <is>
          <t>1 Step:229/month (Growth 150k)</t>
        </is>
      </c>
      <c r="O67" s="11" t="inlineStr">
        <is>
          <t>3 x 150000 = 450000 (official)</t>
        </is>
      </c>
      <c r="P67" s="11" t="inlineStr">
        <is>
          <t>official stated: 'Trade with up to 3 Sim-Funded accounts' / 'Up to $450,000 in simulated capital'</t>
        </is>
      </c>
      <c r="Q67" s="11" t="inlineStr"/>
      <c r="R67" s="11" t="inlineStr">
        <is>
          <t>Tradovate;NinjaTrader;TradingView</t>
        </is>
      </c>
      <c r="S67" s="11" t="inlineStr">
        <is>
          <t>https://ftmo.com/en/futures/faq/ftr-which-instruments-can-i-trade-and-what-strategies-am-i-allowed-to-use/ | https://ftmo.com/en/futures/</t>
        </is>
      </c>
    </row>
    <row r="68">
      <c r="A68" s="7" t="n">
        <v>67</v>
      </c>
      <c r="B68" s="7" t="inlineStr">
        <is>
          <t>Halcyon Trader Funding</t>
        </is>
      </c>
      <c r="C68" s="7" t="inlineStr">
        <is>
          <t>CFD + Futures</t>
        </is>
      </c>
      <c r="D68" s="8" t="inlineStr">
        <is>
          <t>OUI</t>
        </is>
      </c>
      <c r="E68" s="8" t="inlineStr">
        <is>
          <t>OUI</t>
        </is>
      </c>
      <c r="F68" s="7" t="inlineStr">
        <is>
          <t>Review sites only (official site 429): TTP 'Copy Trading | Allowed | Permitted across accounts, but misuse or manipulation is prohibited'; 'Algorithmic/Bot Trading | Allowed | Allowed if trader-owned and not used across multiple firms; HFT is banned.' propfirmmap: copy trading and EAs allowed, HFT prohibited.</t>
        </is>
      </c>
      <c r="G68" s="7" t="inlineStr">
        <is>
          <t>3 reward accounts (review)</t>
        </is>
      </c>
      <c r="H68" s="9" t="n">
        <v>150000</v>
      </c>
      <c r="I68" s="9" t="n">
        <v>450000</v>
      </c>
      <c r="J68" s="10" t="n">
        <v>450000</v>
      </c>
      <c r="K68" s="10" t="n">
        <v>471</v>
      </c>
      <c r="L68" s="7" t="inlineStr">
        <is>
          <t>3 x 157 (lite 150k) = 471</t>
        </is>
      </c>
      <c r="M68" s="7" t="inlineStr">
        <is>
          <t>lite (1 Step)</t>
        </is>
      </c>
      <c r="N68" s="7" t="inlineStr">
        <is>
          <t>prime_1 Step:177 (150k);lite_1 Step:157 (150k) [TTP; propfirmmap: 83 eval + 163 activation]</t>
        </is>
      </c>
      <c r="O68" s="7">
        <f> max_cumulative: 3 x 150000 (review site)</f>
        <v/>
      </c>
      <c r="P68" s="7" t="inlineStr">
        <is>
          <t>review site (TTP: 'maximum allocation of 3 reward accounts' x 150000)</t>
        </is>
      </c>
      <c r="Q68" s="7" t="inlineStr"/>
      <c r="R68" s="7" t="inlineStr">
        <is>
          <t>Volumetrica (DeepCharts);Onyx;TradeSea;TradingView (Ironbeam);Rithmic;WealthCharts</t>
        </is>
      </c>
      <c r="S68" s="7" t="inlineStr">
        <is>
          <t>https://thetrustedprop.com/prop-firms/halcyon-trader-funding ; https://propfirmmap.com/firms/halcyontraderfunding</t>
        </is>
      </c>
    </row>
    <row r="69">
      <c r="A69" s="11" t="n">
        <v>68</v>
      </c>
      <c r="B69" s="11" t="inlineStr">
        <is>
          <t>My Funded Futures</t>
        </is>
      </c>
      <c r="C69" s="11" t="inlineStr">
        <is>
          <t>Futures</t>
        </is>
      </c>
      <c r="D69" s="8" t="inlineStr">
        <is>
          <t>OUI</t>
        </is>
      </c>
      <c r="E69" s="8" t="inlineStr">
        <is>
          <t>OUI</t>
        </is>
      </c>
      <c r="F69" s="11" t="inlineStr">
        <is>
          <t>Official help 'Copy Trading at MyFundedFutures': 'MyFunded Futures allows copy trading across all account types' (user assumes all responsibility, no support). TTP: 'Trade copiers are allowed, but only between your own MFFU accounts' (needs to be a master account). Fair Play: own automated strategies allowed, HFT not allowed, no cross-account hedging of same instrument.</t>
        </is>
      </c>
      <c r="G69" s="11" t="inlineStr">
        <is>
          <t>3 (5 if only 25k/50k)</t>
        </is>
      </c>
      <c r="H69" s="12" t="n">
        <v>150000</v>
      </c>
      <c r="I69" s="12" t="n">
        <v>450000</v>
      </c>
      <c r="J69" s="10" t="n">
        <v>450000</v>
      </c>
      <c r="K69" s="10" t="n">
        <v>459</v>
      </c>
      <c r="L69" s="11" t="inlineStr">
        <is>
          <t>3 x 153 (builder 150k) = 459</t>
        </is>
      </c>
      <c r="M69" s="11" t="inlineStr">
        <is>
          <t>builder</t>
        </is>
      </c>
      <c r="N69" s="11" t="inlineStr">
        <is>
          <t>builder:153 (150k);pro:265 (150k);rapid:209 (50k);rapid_eod:209 (50k) [official homepage 'based on current promotions'; fundedtrading lists rapid 150k ~347/mo, pro 150k ~477/mo]</t>
        </is>
      </c>
      <c r="O69" s="11">
        <f> max_cumulative: 3 x 150000</f>
        <v/>
      </c>
      <c r="P69" s="11" t="inlineStr">
        <is>
          <t>official computed (help: max 3 active sim-funded accounts if any 100K/150K held, 5 if only 25K/50K -&gt; 3 x 150000; Rapid: max 3 per tier)</t>
        </is>
      </c>
      <c r="Q69" s="11" t="inlineStr"/>
      <c r="R69" s="11" t="inlineStr">
        <is>
          <t>Quantower, DeepCharts, Tradovate, TradingView, NinjaTrader, Hyperprop</t>
        </is>
      </c>
      <c r="S69" s="11" t="inlineStr">
        <is>
          <t>https://myfundedfutures.com/en/articles/10771500-copy-trading-at-myfundedfutures ; https://help.myfundedfutures.com/en/articles/8444599-fair-play-and-prohibited-trading-practices ; https://intercom.help/myfundedfutures/en/articles/16498635-moving-from-evaluation-to-sim-funded-account</t>
        </is>
      </c>
    </row>
    <row r="70">
      <c r="A70" s="7" t="n">
        <v>69</v>
      </c>
      <c r="B70" s="7" t="inlineStr">
        <is>
          <t>YRM Prop</t>
        </is>
      </c>
      <c r="C70" s="7" t="inlineStr">
        <is>
          <t>CFD + Futures</t>
        </is>
      </c>
      <c r="D70" s="8" t="inlineStr">
        <is>
          <t>OUI</t>
        </is>
      </c>
      <c r="E70" s="13" t="inlineStr">
        <is>
          <t>OUI sous conditions</t>
        </is>
      </c>
      <c r="F70" s="7" t="inlineStr">
        <is>
          <t>Review (proptradingvibes/TTP): 'YRM Prop permits its internal copier and external tools used to replicate one trader's strategy across that trader's own accounts' (up to 3 funded); official Funded Trader Agreement: automated trading software requires prior written approval from YRM.</t>
        </is>
      </c>
      <c r="G70" s="7" t="inlineStr">
        <is>
          <t>3</t>
        </is>
      </c>
      <c r="H70" s="9" t="n">
        <v>150000</v>
      </c>
      <c r="I70" s="9" t="n">
        <v>450000</v>
      </c>
      <c r="J70" s="10" t="n">
        <v>450000</v>
      </c>
      <c r="K70" s="10" t="n">
        <v>2697</v>
      </c>
      <c r="L70" s="7" t="inlineStr">
        <is>
          <t>3 x 899 (instant_prime 150k) = 2697</t>
        </is>
      </c>
      <c r="M70" s="7" t="inlineStr">
        <is>
          <t>Instant-Direct_prime</t>
        </is>
      </c>
      <c r="N70" s="7" t="inlineStr">
        <is>
          <t>Instant-Direct_prime(150k):899 one-time;1 Step(150k):349 per month (TTP review)</t>
        </is>
      </c>
      <c r="O70" s="7" t="inlineStr">
        <is>
          <t>review YES x 3 x 150000 = 450000</t>
        </is>
      </c>
      <c r="P70" s="7" t="inlineStr">
        <is>
          <t>official computed: homepage 'Hold up to 3 funded accounts' x 150000 (TTP: 'combined allocation up to $450,000'). NOTE: site says funding currently unavailable.</t>
        </is>
      </c>
      <c r="Q70" s="7" t="inlineStr"/>
      <c r="R70" s="7" t="inlineStr">
        <is>
          <t>DeepCharts; Quantower (8 platforms per site)</t>
        </is>
      </c>
      <c r="S70" s="7" t="inlineStr">
        <is>
          <t>https://yrmprop.com/ ; https://yrmprop.com/funded-trader-agreement/ ; https://www.proptradingvibes.com/blog/yrm-prop-copy-trading-rules ; https://thetrustedprop.com/prop-firms/yrm-prop</t>
        </is>
      </c>
    </row>
    <row r="71">
      <c r="A71" s="11" t="n">
        <v>70</v>
      </c>
      <c r="B71" s="11" t="inlineStr">
        <is>
          <t>Tradexprop</t>
        </is>
      </c>
      <c r="C71" s="11" t="inlineStr">
        <is>
          <t>CFD</t>
        </is>
      </c>
      <c r="D71" s="8" t="inlineStr">
        <is>
          <t>OUI</t>
        </is>
      </c>
      <c r="E71" s="15" t="inlineStr">
        <is>
          <t>NON (un seul compte par stratégie)</t>
        </is>
      </c>
      <c r="F71" s="11" t="inlineStr">
        <is>
          <t>Official FAQ: 'Using automated trading systems (EAs) or third-party trading strategies that facilitate copy trading is strictly prohibited'; mirrored trades across multiple accounts prohibited; TTP: 'Copy Trading Not Allowed'.</t>
        </is>
      </c>
      <c r="G71" s="11" t="inlineStr"/>
      <c r="H71" s="12" t="n">
        <v>400000</v>
      </c>
      <c r="I71" s="12" t="n">
        <v>1000000</v>
      </c>
      <c r="J71" s="10" t="n">
        <v>400000</v>
      </c>
      <c r="K71" s="10" t="n">
        <v>2465</v>
      </c>
      <c r="L71" s="11" t="inlineStr">
        <is>
          <t>1 x 2465 (two_step 400k) = 2465</t>
        </is>
      </c>
      <c r="M71" s="11" t="inlineStr">
        <is>
          <t>2 Step</t>
        </is>
      </c>
      <c r="N71" s="11" t="inlineStr">
        <is>
          <t>Instant-Direct(100k):5000;1 Step(400k):3755;2 Step(400k):2465 (official)</t>
        </is>
      </c>
      <c r="O71" s="11" t="inlineStr">
        <is>
          <t>NO -&gt; max single account 400000</t>
        </is>
      </c>
      <c r="P71" s="11" t="inlineStr">
        <is>
          <t>official stated: 'A maximum of $1 million in active evaluation plans per person'; only one evaluation per size &amp; plan type at a time</t>
        </is>
      </c>
      <c r="Q71" s="11" t="inlineStr"/>
      <c r="R71" s="11" t="inlineStr">
        <is>
          <t>cTrader; Match-Trader; DXtrade (no EAs)</t>
        </is>
      </c>
      <c r="S71" s="11" t="inlineStr">
        <is>
          <t>https://tradexprop.com/forex-faq/ ; https://tradexprop.com/</t>
        </is>
      </c>
    </row>
    <row r="72">
      <c r="A72" s="7" t="n">
        <v>71</v>
      </c>
      <c r="B72" s="7" t="inlineStr">
        <is>
          <t>Lion Heart Funding</t>
        </is>
      </c>
      <c r="C72" s="7" t="inlineStr">
        <is>
          <t>CFD</t>
        </is>
      </c>
      <c r="D72" s="13" t="inlineStr">
        <is>
          <t>OUI sur certains comptes</t>
        </is>
      </c>
      <c r="E72" s="15" t="inlineStr">
        <is>
          <t>NON (un seul compte par stratégie)</t>
        </is>
      </c>
      <c r="F72" s="7" t="inlineStr">
        <is>
          <t>Review sites only (official 503; firm listed as inactive): tradingfinder rules: 'Only original trading approaches are permitted; Replicated trades lead to disqualification'; 'Each account must remain standalone'; EA/algo trading only during ROAR challenge phases (not on Alpha/Pride/Guardian). TTP: Copy Trading Not Allowed.</t>
        </is>
      </c>
      <c r="G72" s="7" t="inlineStr"/>
      <c r="H72" s="9" t="n">
        <v>400000</v>
      </c>
      <c r="I72" s="9" t="n">
        <v>600000</v>
      </c>
      <c r="J72" s="10" t="n">
        <v>400000</v>
      </c>
      <c r="K72" s="10" t="n">
        <v>1959</v>
      </c>
      <c r="L72" s="7" t="inlineStr">
        <is>
          <t>1 x 1959 (roar 400k) = 1959</t>
        </is>
      </c>
      <c r="M72" s="7" t="inlineStr">
        <is>
          <t>roar (2 Step)</t>
        </is>
      </c>
      <c r="N72" s="7" t="inlineStr">
        <is>
          <t>alpha_2 Step:1959 (400k);roar_2 Step:1959 (400k);pride_1 Step:1959 (400k);guardian_3 Step:1959 (400k) [tradingfinder; firm inactive]</t>
        </is>
      </c>
      <c r="O72" s="7" t="inlineStr">
        <is>
          <t>NO -&gt; max single account 400000</t>
        </is>
      </c>
      <c r="P72" s="7" t="inlineStr">
        <is>
          <t>ATTENTION plafond via scaling. review site (TTP max allocation 600k; tradingfinder: 'Maximum fund size $2,500,000' scaling); official site down</t>
        </is>
      </c>
      <c r="Q72" s="9" t="n">
        <v>2500000</v>
      </c>
      <c r="R72" s="7" t="inlineStr">
        <is>
          <t>DXtrade, TradeLocker (no native EAs)</t>
        </is>
      </c>
      <c r="S72" s="7" t="inlineStr">
        <is>
          <t>https://tradingfinder.com/props/lionheart-funding-program/rules/ ; https://thetrustedprop.com/prop-firms/lion-heart-funding</t>
        </is>
      </c>
    </row>
    <row r="73">
      <c r="A73" s="11" t="n">
        <v>72</v>
      </c>
      <c r="B73" s="11" t="inlineStr">
        <is>
          <t>Alpine Funded</t>
        </is>
      </c>
      <c r="C73" s="11" t="inlineStr">
        <is>
          <t>CFD</t>
        </is>
      </c>
      <c r="D73" s="8" t="inlineStr">
        <is>
          <t>OUI</t>
        </is>
      </c>
      <c r="E73" s="8" t="inlineStr">
        <is>
          <t>OUI</t>
        </is>
      </c>
      <c r="F73" s="11" t="inlineStr">
        <is>
          <t>Help center: 'Yes, you can utilize a trade copier. It is allowed to copy trades from your personal account to Alpine Funded accounts or copy from Alpine Funded accounts to your personal accounts.' EA restrictions: no grid/martingale/tick scalping/arbitrage/identical strategy as other traders</t>
        </is>
      </c>
      <c r="G73" s="11" t="inlineStr">
        <is>
          <t>unknown (e.g. 2 x 200000)</t>
        </is>
      </c>
      <c r="H73" s="12" t="n">
        <v>200000</v>
      </c>
      <c r="I73" s="12" t="n">
        <v>400000</v>
      </c>
      <c r="J73" s="10" t="n">
        <v>400000</v>
      </c>
      <c r="K73" s="10" t="n">
        <v>2178</v>
      </c>
      <c r="L73" s="11" t="inlineStr">
        <is>
          <t>2 x 1089 (two_step 200k, EUR999) = 2178</t>
        </is>
      </c>
      <c r="M73" s="11" t="inlineStr">
        <is>
          <t>2 Step</t>
        </is>
      </c>
      <c r="N73" s="11" t="inlineStr">
        <is>
          <t>Instant-Direct:1198 (EUR1099 list, 200k);2 Step:1089 (EUR999 list, 200k)</t>
        </is>
      </c>
      <c r="O73" s="11">
        <f> cumulative 400000 (2 x 200000)</f>
        <v/>
      </c>
      <c r="P73" s="11" t="inlineStr">
        <is>
          <t>official stated: 'The maximum allocation for all accounts is 400'000$' ... 'the total amount of active funded accounts must not surpass 400k' (CORRECTS 200000)</t>
        </is>
      </c>
      <c r="Q73" s="12" t="n">
        <v>2000000</v>
      </c>
      <c r="R73" s="11" t="inlineStr">
        <is>
          <t>cTrader; MT5; DXtrade (DXtrade has no EA support)</t>
        </is>
      </c>
      <c r="S73" s="11" t="inlineStr">
        <is>
          <t>https://help.alpinefunded.com/en/articles/9691390-maximum-allocation | https://help.alpinefunded.com/en/articles/9691488-are-trade-copiers-allowed</t>
        </is>
      </c>
    </row>
    <row r="74">
      <c r="A74" s="7" t="n">
        <v>73</v>
      </c>
      <c r="B74" s="7" t="inlineStr">
        <is>
          <t>AquaFunded</t>
        </is>
      </c>
      <c r="C74" s="7" t="inlineStr">
        <is>
          <t>CFD</t>
        </is>
      </c>
      <c r="D74" s="8" t="inlineStr">
        <is>
          <t>OUI</t>
        </is>
      </c>
      <c r="E74" s="8" t="inlineStr">
        <is>
          <t>OUI</t>
        </is>
      </c>
      <c r="F74" s="7" t="inlineStr">
        <is>
          <t>Help center: 'Trade copiers are also permitted if you are using them to manage your own AquaFunded accounts.' EAs allowed 'as part of your own personal trading strategy'; all rules (consistency, min days) apply</t>
        </is>
      </c>
      <c r="G74" s="7" t="inlineStr"/>
      <c r="H74" s="9" t="n">
        <v>400000</v>
      </c>
      <c r="I74" s="9" t="n">
        <v>400000</v>
      </c>
      <c r="J74" s="10" t="n">
        <v>400000</v>
      </c>
      <c r="K74" s="10" t="n">
        <v>2500</v>
      </c>
      <c r="L74" s="7" t="inlineStr">
        <is>
          <t>2 x 1250 (one_step 200k) = 2500</t>
        </is>
      </c>
      <c r="M74" s="7" t="inlineStr">
        <is>
          <t>1 Step</t>
        </is>
      </c>
      <c r="N74" s="7" t="inlineStr">
        <is>
          <t>Instant-Direct:2699 (400k);1 Step:1250 (200k);2 Step:1560 (200k);3 Step:unknown [review site fundedtrading.com]</t>
        </is>
      </c>
      <c r="O74" s="7">
        <f> 400000 (2 x 200000 or 1 x 400000 instant)</f>
        <v/>
      </c>
      <c r="P74" s="7" t="inlineStr">
        <is>
          <t>official stated: 'maximum active funded allocation of $400,000' (help 9251037/9251075)</t>
        </is>
      </c>
      <c r="Q74" s="9" t="n">
        <v>2000000</v>
      </c>
      <c r="R74" s="7" t="inlineStr">
        <is>
          <t>Match-Trader; TradeLocker; MT5; cTrader</t>
        </is>
      </c>
      <c r="S74" s="7" t="inlineStr">
        <is>
          <t>https://help.aquafunded.com/en/articles/11831659-are-eas-trade-copiers-allowed | https://help.aquafunded.com/en/articles/9251037-how-many-accounts-can-i-trade</t>
        </is>
      </c>
    </row>
    <row r="75">
      <c r="A75" s="11" t="n">
        <v>74</v>
      </c>
      <c r="B75" s="11" t="inlineStr">
        <is>
          <t>Astrofund</t>
        </is>
      </c>
      <c r="C75" s="11" t="inlineStr">
        <is>
          <t>Futures</t>
        </is>
      </c>
      <c r="D75" s="8" t="inlineStr">
        <is>
          <t>OUI</t>
        </is>
      </c>
      <c r="E75" s="8" t="inlineStr">
        <is>
          <t>OUI</t>
        </is>
      </c>
      <c r="F75" s="11" t="inlineStr">
        <is>
          <t>review site (propfirmmap): 'expert advisors and trade copiers are all permitted', copy trading permitted on all accounts; official pages silent; HFT/micro-scalping/cross-account hedging banned</t>
        </is>
      </c>
      <c r="G75" s="11" t="inlineStr">
        <is>
          <t>4 (official cap 5)</t>
        </is>
      </c>
      <c r="H75" s="12" t="n">
        <v>100000</v>
      </c>
      <c r="I75" s="12" t="n">
        <v>400000</v>
      </c>
      <c r="J75" s="10" t="n">
        <v>400000</v>
      </c>
      <c r="K75" s="10" t="n">
        <v>1376</v>
      </c>
      <c r="L75" s="11" t="inlineStr">
        <is>
          <t>2 x 239 (one_step 100k) + 2 x 449 (instant 100k) = 1376</t>
        </is>
      </c>
      <c r="M75" s="11" t="inlineStr">
        <is>
          <t>1 Step+Instant-Direct</t>
        </is>
      </c>
      <c r="N75" s="11" t="inlineStr">
        <is>
          <t>1 Step:239 (100k list);Instant-Direct:449 (direct 100k, range 187-449)</t>
        </is>
      </c>
      <c r="O75" s="11">
        <f> cumulative 400000 (review-site basis)</f>
        <v/>
      </c>
      <c r="P75" s="11" t="inlineStr">
        <is>
          <t>review site computed (propfirmmap: 'Up to two active accounts per flight path' x 2 paths (eval + direct) x 100000); official Trader Agreement: 'Users may maintain a maximum of 5 active accounts.'</t>
        </is>
      </c>
      <c r="Q75" s="11" t="inlineStr"/>
      <c r="R75" s="11" t="inlineStr">
        <is>
          <t>Quantower; Volumetrica; DeepCharts</t>
        </is>
      </c>
      <c r="S75" s="11" t="inlineStr">
        <is>
          <t>https://astrofund.io/trader-agreement/ | https://propfirmmap.com/firms/astrofund (fallback)</t>
        </is>
      </c>
    </row>
    <row r="76">
      <c r="A76" s="7" t="n">
        <v>75</v>
      </c>
      <c r="B76" s="7" t="inlineStr">
        <is>
          <t>Atlas Funded</t>
        </is>
      </c>
      <c r="C76" s="7" t="inlineStr">
        <is>
          <t>CFD</t>
        </is>
      </c>
      <c r="D76" s="8" t="inlineStr">
        <is>
          <t>OUI</t>
        </is>
      </c>
      <c r="E76" s="8" t="inlineStr">
        <is>
          <t>OUI</t>
        </is>
      </c>
      <c r="F76" s="7" t="inlineStr">
        <is>
          <t>Help center: 'Copy trading is allowed only between your own personal Atlas Funded accounts.' Prohibited: copying other traders, external accounts; 'if your trade activity matches another trader's ... breach'</t>
        </is>
      </c>
      <c r="G76" s="7" t="inlineStr"/>
      <c r="H76" s="9" t="n">
        <v>400000</v>
      </c>
      <c r="I76" s="9" t="n">
        <v>400000</v>
      </c>
      <c r="J76" s="10" t="n">
        <v>400000</v>
      </c>
      <c r="K76" s="10" t="n">
        <v>1182</v>
      </c>
      <c r="L76" s="7" t="inlineStr">
        <is>
          <t>2 x 591 (three_step 200k) = 1182</t>
        </is>
      </c>
      <c r="M76" s="7" t="inlineStr">
        <is>
          <t>3 Step</t>
        </is>
      </c>
      <c r="N76" s="7" t="inlineStr">
        <is>
          <t>Instant-Direct:1598 (300k);1 Step:867 (200k);2 Step:816 (200k);3 Step:591 (200k) [review site propfirmbridge; official checkout not readable]</t>
        </is>
      </c>
      <c r="O76" s="7">
        <f> 400000 (2 x 200000 or 1 x 400000 Access)</f>
        <v/>
      </c>
      <c r="P76" s="7" t="inlineStr">
        <is>
          <t>official stated: 'the maximum funded allocation per trader is $400,000' (e.g. 4 x 100k or 2 x 200k)</t>
        </is>
      </c>
      <c r="Q76" s="7" t="inlineStr"/>
      <c r="R76" s="7" t="inlineStr">
        <is>
          <t>TradeLocker; MT5; Match-Trader</t>
        </is>
      </c>
      <c r="S76" s="7" t="inlineStr">
        <is>
          <t>https://help.atlasfunded.com/en/articles/9903300-what-is-the-maximum-funded-allocation-for-a-trader | https://help.atlasfunded.com/en/articles/9904237-what-are-the-prohibited-trading-activities-at-atlas-funded</t>
        </is>
      </c>
    </row>
    <row r="77">
      <c r="A77" s="11" t="n">
        <v>76</v>
      </c>
      <c r="B77" s="11" t="inlineStr">
        <is>
          <t>Atmos Funded</t>
        </is>
      </c>
      <c r="C77" s="11" t="inlineStr">
        <is>
          <t>CFD</t>
        </is>
      </c>
      <c r="D77" s="8" t="inlineStr">
        <is>
          <t>OUI</t>
        </is>
      </c>
      <c r="E77" s="13" t="inlineStr">
        <is>
          <t>OUI sous conditions</t>
        </is>
      </c>
      <c r="F77" s="11" t="inlineStr">
        <is>
          <t>review site (TTP): 'Copy trading on personal accounts in certain plans' allowed, 'Copy trading or account sharing' otherwise prohibited; official rules: 'Commercial EAs are strictly prohibited. Other EAs may only be used if they accurately reflect the trader's own strategies'; hedging across accounts prohibited</t>
        </is>
      </c>
      <c r="G77" s="11" t="inlineStr"/>
      <c r="H77" s="12" t="n">
        <v>200000</v>
      </c>
      <c r="I77" s="12" t="n">
        <v>400000</v>
      </c>
      <c r="J77" s="10" t="n">
        <v>400000</v>
      </c>
      <c r="K77" s="10" t="n">
        <v>1978</v>
      </c>
      <c r="L77" s="11" t="inlineStr">
        <is>
          <t>2 x 989 (two_step 200k) = 1978</t>
        </is>
      </c>
      <c r="M77" s="11" t="inlineStr">
        <is>
          <t>2 Step</t>
        </is>
      </c>
      <c r="N77" s="11" t="inlineStr">
        <is>
          <t>Instant-Direct:649 (100k);1 Step:1020 (200k);2 Step:989 (200k) [review site TTP]</t>
        </is>
      </c>
      <c r="O77" s="11">
        <f> 400000 (review-site basis; 2 x 200000)</f>
        <v/>
      </c>
      <c r="P77" s="11" t="inlineStr">
        <is>
          <t>review site (TheTrustedProp max allocation 400000); official rules page silent</t>
        </is>
      </c>
      <c r="Q77" s="11" t="inlineStr"/>
      <c r="R77" s="11" t="inlineStr">
        <is>
          <t>MT5 (Taurex)</t>
        </is>
      </c>
      <c r="S77" s="11" t="inlineStr">
        <is>
          <t>https://atmosfunded.com/rules/ | https://thetrustedprop.com/prop-firms/atmos-funded (fallback)</t>
        </is>
      </c>
    </row>
    <row r="78">
      <c r="A78" s="7" t="n">
        <v>77</v>
      </c>
      <c r="B78" s="7" t="inlineStr">
        <is>
          <t>Blue Guardian</t>
        </is>
      </c>
      <c r="C78" s="7" t="inlineStr">
        <is>
          <t>CFD + Futures</t>
        </is>
      </c>
      <c r="D78" s="8" t="inlineStr">
        <is>
          <t>OUI</t>
        </is>
      </c>
      <c r="E78" s="8" t="inlineStr">
        <is>
          <t>OUI</t>
        </is>
      </c>
      <c r="F78" s="7" t="inlineStr">
        <is>
          <t>Help 9661408: third-party trade copiers allowed 'between accounts legally bound to the same user, including Evaluation and Funded accounts'; copying other traders prohibited; VPN/VPS misuse prohibited</t>
        </is>
      </c>
      <c r="G78" s="7" t="inlineStr"/>
      <c r="H78" s="9" t="n">
        <v>400000</v>
      </c>
      <c r="I78" s="9" t="n">
        <v>400000</v>
      </c>
      <c r="J78" s="10" t="n">
        <v>400000</v>
      </c>
      <c r="K78" s="10" t="n">
        <v>2200</v>
      </c>
      <c r="L78" s="7" t="inlineStr">
        <is>
          <t>1 x 2200 (one_step 400k) = 2200</t>
        </is>
      </c>
      <c r="M78" s="7" t="inlineStr">
        <is>
          <t>1 Step</t>
        </is>
      </c>
      <c r="N78" s="7" t="inlineStr">
        <is>
          <t>Instant-Direct:2200 (400k);1 Step:2200 (400k);2 Step:2200 (400k)</t>
        </is>
      </c>
      <c r="O78" s="7">
        <f> 400000 (1 x 400000)</f>
        <v/>
      </c>
      <c r="P78" s="7" t="inlineStr">
        <is>
          <t>official stated: 'Your total active funded allocation cannot exceed $400,000 at any given time.' (challenge accounts unlimited)</t>
        </is>
      </c>
      <c r="Q78" s="9" t="n">
        <v>2000000</v>
      </c>
      <c r="R78" s="7" t="inlineStr">
        <is>
          <t>MT5; TradeLocker; Match-Trader (CFD); NinjaTrader; Tradovate; DeepCharts; TradingView (futures)</t>
        </is>
      </c>
      <c r="S78" s="7" t="inlineStr">
        <is>
          <t>https://help.blueguardian.com/en/articles/15846933-can-i-purchase-more-accounts-than-the-maximum-allocation-limit | https://help.blueguardian.com/en/articles/9661408-is-copy-trading-allowed</t>
        </is>
      </c>
    </row>
    <row r="79">
      <c r="A79" s="11" t="n">
        <v>78</v>
      </c>
      <c r="B79" s="11" t="inlineStr">
        <is>
          <t>Blueberry Funded</t>
        </is>
      </c>
      <c r="C79" s="11" t="inlineStr">
        <is>
          <t>CFD</t>
        </is>
      </c>
      <c r="D79" s="8" t="inlineStr">
        <is>
          <t>OUI</t>
        </is>
      </c>
      <c r="E79" s="8" t="inlineStr">
        <is>
          <t>OUI</t>
        </is>
      </c>
      <c r="F79" s="11" t="inlineStr">
        <is>
          <t>Help 9550602: 'You can copy trades between your own accounts, including across different platforms.' EA must be self-built proprietary code, own strategy, disclosed with prior written consent; not on Synthetic accounts</t>
        </is>
      </c>
      <c r="G79" s="11" t="inlineStr"/>
      <c r="H79" s="12" t="n">
        <v>200000</v>
      </c>
      <c r="I79" s="12" t="n">
        <v>400000</v>
      </c>
      <c r="J79" s="10" t="n">
        <v>400000</v>
      </c>
      <c r="K79" s="10" t="n">
        <v>1100</v>
      </c>
      <c r="L79" s="11" t="inlineStr">
        <is>
          <t>1 x 1100 (one_step 200k) = 1100 per 200k; cap unknown</t>
        </is>
      </c>
      <c r="M79" s="11" t="inlineStr">
        <is>
          <t>1 Step</t>
        </is>
      </c>
      <c r="N79" s="11" t="inlineStr">
        <is>
          <t>Instant-Direct:850 (Instant Lite 100k)/1500 (Instant Elite 50k);1 Step:1100 (200k);2 Step:1180 (Standard 200k)/1170 (Prime 200k) [review site TTP]</t>
        </is>
      </c>
      <c r="O79" s="11" t="inlineStr">
        <is>
          <t>cumulative cap unknown (per account 200000)</t>
        </is>
      </c>
      <c r="P79" s="11" t="inlineStr">
        <is>
          <t>unknown (no official cumulative cap found; TTP: 'maximum allocation is $200,000 per account'; review: up to 10 accounts)</t>
        </is>
      </c>
      <c r="Q79" s="12" t="n">
        <v>2000000</v>
      </c>
      <c r="R79" s="11" t="inlineStr">
        <is>
          <t>MT5; TradeLocker; cTrader</t>
        </is>
      </c>
      <c r="S79" s="11" t="inlineStr">
        <is>
          <t>https://help.blueberryfunded.com/en/articles/9550602-am-i-allowed-to-copy-trade | https://help.blueberryfunded.com/en/articles/9550892-do-you-allow-bots-and-ea-expert-advisor-trading</t>
        </is>
      </c>
    </row>
    <row r="80">
      <c r="A80" s="7" t="n">
        <v>79</v>
      </c>
      <c r="B80" s="7" t="inlineStr">
        <is>
          <t>BrightFunded</t>
        </is>
      </c>
      <c r="C80" s="7" t="inlineStr">
        <is>
          <t>CFD</t>
        </is>
      </c>
      <c r="D80" s="8" t="inlineStr">
        <is>
          <t>OUI</t>
        </is>
      </c>
      <c r="E80" s="8" t="inlineStr">
        <is>
          <t>OUI</t>
        </is>
      </c>
      <c r="F80" s="7" t="inlineStr">
        <is>
          <t>Help 9241709: copy-trading 'allowed only between accounts owned by the same person'; detection system flags high-similarity patterns with other traders; DXtrade no automation</t>
        </is>
      </c>
      <c r="G80" s="7" t="inlineStr"/>
      <c r="H80" s="9" t="n">
        <v>200000</v>
      </c>
      <c r="I80" s="9" t="n">
        <v>400000</v>
      </c>
      <c r="J80" s="10" t="n">
        <v>400000</v>
      </c>
      <c r="K80" s="10" t="n">
        <v>2064</v>
      </c>
      <c r="L80" s="7" t="inlineStr">
        <is>
          <t>2 x 1032 (two_step 200k, EUR947) = 2064</t>
        </is>
      </c>
      <c r="M80" s="7" t="inlineStr">
        <is>
          <t>2 Step</t>
        </is>
      </c>
      <c r="N80" s="7" t="inlineStr">
        <is>
          <t>1 Step:1032 (EUR947 list, 200k);2 Step:1032 (EUR947 list, 200k)</t>
        </is>
      </c>
      <c r="O80" s="7" t="inlineStr">
        <is>
          <t>2 x 200000 = 400000 (official)</t>
        </is>
      </c>
      <c r="P80" s="7" t="inlineStr">
        <is>
          <t>official stated: 'we permit a maximum capital allocation of $400,000 per trader in the funded phase' (2 x 200k or 4 x 100k); Challenge phase unlimited (CORRECTS 200000)</t>
        </is>
      </c>
      <c r="Q80" s="9" t="n">
        <v>400000</v>
      </c>
      <c r="R80" s="7" t="inlineStr">
        <is>
          <t>MT5; cTrader; DXtrade (no automation)</t>
        </is>
      </c>
      <c r="S80" s="7" t="inlineStr">
        <is>
          <t>https://help.brightfunded.com/en/articles/9241621-what-capital-will-i-trade-at-brightfunded | https://help.brightfunded.com/en/articles/9241709-is-copy-trading-allowed</t>
        </is>
      </c>
    </row>
    <row r="81">
      <c r="A81" s="11" t="n">
        <v>80</v>
      </c>
      <c r="B81" s="11" t="inlineStr">
        <is>
          <t>Direct Funded Trader</t>
        </is>
      </c>
      <c r="C81" s="11" t="inlineStr">
        <is>
          <t>CFD</t>
        </is>
      </c>
      <c r="D81" s="8" t="inlineStr">
        <is>
          <t>OUI</t>
        </is>
      </c>
      <c r="E81" s="8" t="inlineStr">
        <is>
          <t>OUI</t>
        </is>
      </c>
      <c r="F81" s="11" t="inlineStr">
        <is>
          <t>FAQ/Rules: 'Copy trading from your account is allowed, but you are not allowed to copy from others'; 'EA and Indicators are allowed. This includes Trade copiers, Tools for managing risk, and Auto Trading bots.'</t>
        </is>
      </c>
      <c r="G81" s="11" t="inlineStr"/>
      <c r="H81" s="12" t="n">
        <v>200000</v>
      </c>
      <c r="I81" s="12" t="n">
        <v>400000</v>
      </c>
      <c r="J81" s="10" t="n">
        <v>400000</v>
      </c>
      <c r="K81" s="10" t="n">
        <v>1958</v>
      </c>
      <c r="L81" s="11" t="inlineStr">
        <is>
          <t>2 x 979 (two_step 200k) = 1958</t>
        </is>
      </c>
      <c r="M81" s="11" t="inlineStr">
        <is>
          <t>2 Step</t>
        </is>
      </c>
      <c r="N81" s="11" t="inlineStr">
        <is>
          <t>2 Step:979 (Evaluation 200k, TTP list);1 Step:590 (Fast Funding 100k);Instant-Direct:unknown</t>
        </is>
      </c>
      <c r="O81" s="11" t="inlineStr">
        <is>
          <t>2 x 200000 = 400000 (official)</t>
        </is>
      </c>
      <c r="P81" s="11" t="inlineStr">
        <is>
          <t>official stated: 'The maximum allocation is $400K'</t>
        </is>
      </c>
      <c r="Q81" s="12" t="n">
        <v>1000000</v>
      </c>
      <c r="R81" s="11" t="inlineStr">
        <is>
          <t>MT5 (Platform 5); IOTrades coming</t>
        </is>
      </c>
      <c r="S81" s="11" t="inlineStr">
        <is>
          <t>https://directfundedtrader.com/faq-rules</t>
        </is>
      </c>
    </row>
    <row r="82">
      <c r="A82" s="7" t="n">
        <v>81</v>
      </c>
      <c r="B82" s="7" t="inlineStr">
        <is>
          <t>FTMO</t>
        </is>
      </c>
      <c r="C82" s="7" t="inlineStr">
        <is>
          <t>CFD + Futures</t>
        </is>
      </c>
      <c r="D82" s="8" t="inlineStr">
        <is>
          <t>OUI</t>
        </is>
      </c>
      <c r="E82" s="13" t="inlineStr">
        <is>
          <t>OUI sous conditions</t>
        </is>
      </c>
      <c r="F82" s="7" t="inlineStr">
        <is>
          <t>FAQ: same strategy across own accounts allowed up to the cap: 'If identically traded strategies are detected across multiple FTMO accounts and the total fictitious capital exceeds the maximum capital allocation limit, FTMO reserves the right to suspend the affected accounts'; strategy must be replicable live; no multiple registrations</t>
        </is>
      </c>
      <c r="G82" s="7" t="inlineStr">
        <is>
          <t>unlimited (capital cap)</t>
        </is>
      </c>
      <c r="H82" s="9" t="n">
        <v>200000</v>
      </c>
      <c r="I82" s="9" t="n">
        <v>400000</v>
      </c>
      <c r="J82" s="10" t="n">
        <v>400000</v>
      </c>
      <c r="K82" s="10" t="n">
        <v>2354</v>
      </c>
      <c r="L82" s="7" t="inlineStr">
        <is>
          <t>2 x 1177 (two_step 200k, EUR1080) = 2354</t>
        </is>
      </c>
      <c r="M82" s="7" t="inlineStr">
        <is>
          <t>2 Step</t>
        </is>
      </c>
      <c r="N82" s="7" t="inlineStr">
        <is>
          <t>1 Step:1177 (EUR1080, 200k);2 Step:1177 (EUR1080, 200k)</t>
        </is>
      </c>
      <c r="O82" s="7" t="inlineStr">
        <is>
          <t>2 x 200000 = 400000 (official; 400k per trader OR strategy)</t>
        </is>
      </c>
      <c r="P82" s="7" t="inlineStr">
        <is>
          <t>ATTENTION plafond via scaling. official stated: 'the total capital allocation across all accounts is limited to $400,000 per trader or strategy (prior to any scaling)'; 'There is no limit to the number of accounts'</t>
        </is>
      </c>
      <c r="Q82" s="9" t="n">
        <v>2000000</v>
      </c>
      <c r="R82" s="7" t="inlineStr">
        <is>
          <t>MT4;MT5;cTrader;TradingView</t>
        </is>
      </c>
      <c r="S82" s="7" t="inlineStr">
        <is>
          <t>https://ftmo.com/en/faq/how-many-accounts-can-i-have/ | https://ftmo.com/en/faq/which-instruments-can-i-trade-and-what-strategies-am-i-allowed-to-use/</t>
        </is>
      </c>
    </row>
    <row r="83">
      <c r="A83" s="11" t="n">
        <v>82</v>
      </c>
      <c r="B83" s="11" t="inlineStr">
        <is>
          <t>FTMO Crypto</t>
        </is>
      </c>
      <c r="C83" s="11" t="inlineStr">
        <is>
          <t>CFD</t>
        </is>
      </c>
      <c r="D83" s="8" t="inlineStr">
        <is>
          <t>OUI</t>
        </is>
      </c>
      <c r="E83" s="13" t="inlineStr">
        <is>
          <t>OUI sous conditions</t>
        </is>
      </c>
      <c r="F83" s="11" t="inlineStr">
        <is>
          <t>Same FTMO FAQ rule: identical strategy allowed up to $400,000 total across all FTMO accounts (shared with FTMO CFD accounts)</t>
        </is>
      </c>
      <c r="G83" s="11" t="inlineStr">
        <is>
          <t>unlimited (capital cap)</t>
        </is>
      </c>
      <c r="H83" s="12" t="n">
        <v>200000</v>
      </c>
      <c r="I83" s="12" t="n">
        <v>400000</v>
      </c>
      <c r="J83" s="10" t="n">
        <v>400000</v>
      </c>
      <c r="K83" s="10" t="n">
        <v>2354</v>
      </c>
      <c r="L83" s="11" t="inlineStr">
        <is>
          <t>2 x 1177 (two_step 200k, EUR1080) = 2354 (shares FTMO cap)</t>
        </is>
      </c>
      <c r="M83" s="11" t="inlineStr">
        <is>
          <t>2 Step</t>
        </is>
      </c>
      <c r="N83" s="11" t="inlineStr">
        <is>
          <t>1 Step:1177 (EUR1080, 200k);2 Step:1177 (EUR1080, 200k)</t>
        </is>
      </c>
      <c r="O83" s="11" t="inlineStr">
        <is>
          <t>2 x 200000 = 400000 (official; shared cap with FTMO)</t>
        </is>
      </c>
      <c r="P83" s="11" t="inlineStr">
        <is>
          <t>official (shared $400,000 per trader/strategy cap across all FTMO CFD/crypto accounts)</t>
        </is>
      </c>
      <c r="Q83" s="12" t="n">
        <v>2000000</v>
      </c>
      <c r="R83" s="11" t="inlineStr">
        <is>
          <t>MT4;MT5;cTrader;TradingView</t>
        </is>
      </c>
      <c r="S83" s="11" t="inlineStr">
        <is>
          <t>https://ftmo.com/en/faq/how-many-accounts-can-i-have/</t>
        </is>
      </c>
    </row>
    <row r="84">
      <c r="A84" s="7" t="n">
        <v>83</v>
      </c>
      <c r="B84" s="7" t="inlineStr">
        <is>
          <t>Funded X</t>
        </is>
      </c>
      <c r="C84" s="7" t="inlineStr">
        <is>
          <t>CFD</t>
        </is>
      </c>
      <c r="D84" s="13" t="inlineStr">
        <is>
          <t>OUI sur certains comptes</t>
        </is>
      </c>
      <c r="E84" s="13" t="inlineStr">
        <is>
          <t>OUI sous conditions</t>
        </is>
      </c>
      <c r="F84" s="7" t="inlineStr">
        <is>
          <t>Review of official FAQ: 'Copy Trading: Allowed on the Turbo Challenge. NOT allowed on Instant Funding accounts'; EAs 'Allowed on the 1 Phase and 2 Phase Standard Challenges'; own-account copying restricted outside specific programs. Official pages unreachable - review-site only.</t>
        </is>
      </c>
      <c r="G84" s="7" t="inlineStr">
        <is>
          <t>2</t>
        </is>
      </c>
      <c r="H84" s="9" t="n">
        <v>200000</v>
      </c>
      <c r="I84" s="9" t="n">
        <v>400000</v>
      </c>
      <c r="J84" s="10" t="n">
        <v>400000</v>
      </c>
      <c r="K84" s="10" t="n">
        <v>1978</v>
      </c>
      <c r="L84" s="7" t="inlineStr">
        <is>
          <t>2 x 989 (one_step 200k) = 1978</t>
        </is>
      </c>
      <c r="M84" s="7" t="inlineStr">
        <is>
          <t>1 Step</t>
        </is>
      </c>
      <c r="N84" s="7" t="inlineStr">
        <is>
          <t>1 Step:989 (200k);2 Step:989 (200k);Instant-Direct:unknown [review site TTP]</t>
        </is>
      </c>
      <c r="O84" s="7" t="inlineStr">
        <is>
          <t>review site: 2 x 200000 funded accounts (copy allowed on Turbo challenge only)</t>
        </is>
      </c>
      <c r="P84" s="7" t="inlineStr">
        <is>
          <t>review site (fundedtrading.com: official FAQ said max $400,000 'described as 2x $200,000 funded accounts'; official sites fundedx.co/.com dead)</t>
        </is>
      </c>
      <c r="Q84" s="7" t="inlineStr"/>
      <c r="R84" s="7" t="inlineStr">
        <is>
          <t>TradeLocker (MT5, cTrader per review)</t>
        </is>
      </c>
      <c r="S84" s="7" t="inlineStr">
        <is>
          <t>https://fundedtrading.com/propfirm/fundedx/ ; https://thetrustedprop.com/prop-firms/fundedx</t>
        </is>
      </c>
    </row>
    <row r="85">
      <c r="A85" s="11" t="n">
        <v>84</v>
      </c>
      <c r="B85" s="11" t="inlineStr">
        <is>
          <t>FundedElite</t>
        </is>
      </c>
      <c r="C85" s="11" t="inlineStr">
        <is>
          <t>CFD</t>
        </is>
      </c>
      <c r="D85" s="8" t="inlineStr">
        <is>
          <t>OUI</t>
        </is>
      </c>
      <c r="E85" s="13" t="inlineStr">
        <is>
          <t>OUI sous conditions</t>
        </is>
      </c>
      <c r="F85" s="11" t="inlineStr">
        <is>
          <t>Official FAQ 'Copy Trading': 'you can copy trade, but it's important to ensure that you're only copying from accounts that are owned by you, even if they're across different platforms.' 'If you want to use a trade copier, you will have to ask our team to enable EAs on your account!' (EAs must be enabled by support; third-party signal copying = violation). Live accounts can also be merged up to $400,000.</t>
        </is>
      </c>
      <c r="G85" s="11" t="inlineStr">
        <is>
          <t>50 active challenges (funded capped by $400k)</t>
        </is>
      </c>
      <c r="H85" s="12" t="n">
        <v>300000</v>
      </c>
      <c r="I85" s="12" t="n">
        <v>400000</v>
      </c>
      <c r="J85" s="10" t="n">
        <v>400000</v>
      </c>
      <c r="K85" s="10" t="n">
        <v>899</v>
      </c>
      <c r="L85" s="11" t="inlineStr">
        <is>
          <t>1 x 899 (lite_two_step 300k) + 1 x lite_two_step 100k (price not retrieved) = 899 + unknown</t>
        </is>
      </c>
      <c r="M85" s="11" t="inlineStr">
        <is>
          <t>lite_2 Step</t>
        </is>
      </c>
      <c r="N85" s="11" t="inlineStr">
        <is>
          <t>Instant-Direct:1489 (100k);1 Step:1599 (300k);2 Step:1499 (300k);lite_2 Step:899 (300k);lite_1 Step:1099 (300k) [TTP review; official site shows no price table]</t>
        </is>
      </c>
      <c r="O85" s="11">
        <f> max_cumulative 400000 (own-account copying allowed, EA must be enabled by support)</f>
        <v/>
      </c>
      <c r="P85" s="11" t="inlineStr">
        <is>
          <t>official stated (FAQ 'How many accounts can I have': 'the total allocation for live funded accounts is capped at $400,000'; up to 50 active challenges)</t>
        </is>
      </c>
      <c r="Q85" s="11" t="inlineStr"/>
      <c r="R85" s="11" t="inlineStr">
        <is>
          <t>MT5;Match-Trader (official); TradeLocker;cTrader;Edge by Axe (review)</t>
        </is>
      </c>
      <c r="S85" s="11" t="inlineStr">
        <is>
          <t>https://faq.fundedelite.com/en/articles/12681744-copy-trading ; https://faq.fundedelite.com/en/articles/12659756-how-many-accounts-can-i-have-with-fundedelite</t>
        </is>
      </c>
    </row>
    <row r="86">
      <c r="A86" s="7" t="n">
        <v>85</v>
      </c>
      <c r="B86" s="7" t="inlineStr">
        <is>
          <t>Funding Pips</t>
        </is>
      </c>
      <c r="C86" s="7" t="inlineStr">
        <is>
          <t>CFD</t>
        </is>
      </c>
      <c r="D86" s="8" t="inlineStr">
        <is>
          <t>OUI</t>
        </is>
      </c>
      <c r="E86" s="8" t="inlineStr">
        <is>
          <t>OUI</t>
        </is>
      </c>
      <c r="F86" s="7" t="inlineStr">
        <is>
          <t>Official Trading Conduct standards: 'Copying trades between your own FundingPips accounts registered under the same individual' is permitted (also FundingPips account as master to external slave); copying between different users or from external sources prohibited; identical directional strategies across own accounts fine, coordinated cross-account hedging banned. Own EA may run fully automated (proof of ownership); third-party EAs only as trade/risk managers.</t>
        </is>
      </c>
      <c r="G86" s="7" t="inlineStr">
        <is>
          <t>unlimited within $400k</t>
        </is>
      </c>
      <c r="H86" s="9" t="n">
        <v>200000</v>
      </c>
      <c r="I86" s="9" t="n">
        <v>400000</v>
      </c>
      <c r="J86" s="10" t="n">
        <v>400000</v>
      </c>
      <c r="K86" s="10" t="n">
        <v>1688</v>
      </c>
      <c r="L86" s="7" t="inlineStr">
        <is>
          <t>2 x 844 (two_step_pro 200k) = 1688</t>
        </is>
      </c>
      <c r="M86" s="7" t="inlineStr">
        <is>
          <t>2 Step_pro</t>
        </is>
      </c>
      <c r="N86" s="7" t="inlineStr">
        <is>
          <t>1 Step_flex:569 (100k);2 Step_standard:544 (100k);2 Step_flex:555 (100k);2 Step_pro:844 (200k);zero_Instant-Direct:888 (200k) [fundedtrading review]</t>
        </is>
      </c>
      <c r="O86" s="7">
        <f> max_cumulative 400000</f>
        <v/>
      </c>
      <c r="P86" s="7" t="inlineStr">
        <is>
          <t>official stated (help center/blog: single $400K Max Allocation shared across every Evaluation, Master and Prime account, all models)</t>
        </is>
      </c>
      <c r="Q86" s="9" t="n">
        <v>2000000</v>
      </c>
      <c r="R86" s="7" t="inlineStr">
        <is>
          <t>cTrader;Match-Trader;MT5;TradeLocker</t>
        </is>
      </c>
      <c r="S86" s="7" t="inlineStr">
        <is>
          <t>https://help.fundingpips.com/hc/en-us/articles/34505029138449-Trading-Conduct-and-Security-Standards ; https://fundingpips.com/blog/fundingpips-maximum-allocation</t>
        </is>
      </c>
    </row>
    <row r="87">
      <c r="A87" s="11" t="n">
        <v>86</v>
      </c>
      <c r="B87" s="11" t="inlineStr">
        <is>
          <t>Fundora</t>
        </is>
      </c>
      <c r="C87" s="11" t="inlineStr">
        <is>
          <t>CFD</t>
        </is>
      </c>
      <c r="D87" s="8" t="inlineStr">
        <is>
          <t>OUI</t>
        </is>
      </c>
      <c r="E87" s="15" t="inlineStr">
        <is>
          <t>NON (un seul compte par stratégie)</t>
        </is>
      </c>
      <c r="F87" s="11" t="inlineStr">
        <is>
          <t>Official FAQ: multiple simultaneous plans not allowed -&gt; no second account to run the same strategy on. Copy trading allowed only from own accounts (e.g. external) with proof; EAs limited to those created by the trader.</t>
        </is>
      </c>
      <c r="G87" s="11" t="inlineStr">
        <is>
          <t>1</t>
        </is>
      </c>
      <c r="H87" s="12" t="n">
        <v>400000</v>
      </c>
      <c r="I87" s="12" t="n">
        <v>400000</v>
      </c>
      <c r="J87" s="10" t="n">
        <v>400000</v>
      </c>
      <c r="K87" s="10" t="n">
        <v>2133</v>
      </c>
      <c r="L87" s="11" t="inlineStr">
        <is>
          <t>1 x 2133 (two_step 400k) = 2133</t>
        </is>
      </c>
      <c r="M87" s="11" t="inlineStr">
        <is>
          <t>2 Step</t>
        </is>
      </c>
      <c r="N87" s="11" t="inlineStr">
        <is>
          <t>2 Step:2133 (400k Master) [official]</t>
        </is>
      </c>
      <c r="O87" s="11" t="inlineStr">
        <is>
          <t>NO (single plan) -&gt; max single account 400000 (Master plan)</t>
        </is>
      </c>
      <c r="P87" s="11" t="inlineStr">
        <is>
          <t>official stated (single plan: 'we do not allow the simultaneous purchase or operation of multiple plans by the same customer')</t>
        </is>
      </c>
      <c r="Q87" s="11" t="inlineStr"/>
      <c r="R87" s="11" t="inlineStr">
        <is>
          <t>cTrader</t>
        </is>
      </c>
      <c r="S87" s="11" t="inlineStr">
        <is>
          <t>https://international.fundora-trading.com/pages/faq ; https://international.fundora-trading.com/</t>
        </is>
      </c>
    </row>
    <row r="88">
      <c r="A88" s="7" t="n">
        <v>87</v>
      </c>
      <c r="B88" s="7" t="inlineStr">
        <is>
          <t>Get Crypto Funded</t>
        </is>
      </c>
      <c r="C88" s="7" t="inlineStr">
        <is>
          <t>CFD</t>
        </is>
      </c>
      <c r="D88" s="8" t="inlineStr">
        <is>
          <t>OUI</t>
        </is>
      </c>
      <c r="E88" s="8" t="inlineStr">
        <is>
          <t>OUI</t>
        </is>
      </c>
      <c r="F88" s="7" t="inlineStr">
        <is>
          <t>Review site only (official site 422/503): TTP: 'copy trading and EAs accepted', may 'replay your trades across your accounts'; external signal copying/PAMM prohibited; EAs permitted if ethical and non-arbitrage.</t>
        </is>
      </c>
      <c r="G88" s="7" t="inlineStr"/>
      <c r="H88" s="9" t="n">
        <v>200000</v>
      </c>
      <c r="I88" s="9" t="n">
        <v>400000</v>
      </c>
      <c r="J88" s="10" t="n">
        <v>400000</v>
      </c>
      <c r="K88" s="10" t="n">
        <v>1798</v>
      </c>
      <c r="L88" s="7" t="inlineStr">
        <is>
          <t>2 x 899 (three_step 200k) = 1798</t>
        </is>
      </c>
      <c r="M88" s="7" t="inlineStr">
        <is>
          <t>3 Step</t>
        </is>
      </c>
      <c r="N88" s="7" t="inlineStr">
        <is>
          <t>1 Step:1119 (200k);2 Step:1019 (200k);3 Step:899 (200k) [TTP]</t>
        </is>
      </c>
      <c r="O88" s="7">
        <f> max_cumulative 400000 (review site)</f>
        <v/>
      </c>
      <c r="P88" s="7" t="inlineStr">
        <is>
          <t>review site (TTP)</t>
        </is>
      </c>
      <c r="Q88" s="7" t="inlineStr"/>
      <c r="R88" s="7" t="inlineStr">
        <is>
          <t>MT5</t>
        </is>
      </c>
      <c r="S88" s="7" t="inlineStr">
        <is>
          <t>https://thetrustedprop.com/prop-firms/get-crypto-funded ; https://getcryptofunded.com/</t>
        </is>
      </c>
    </row>
    <row r="89">
      <c r="A89" s="11" t="n">
        <v>88</v>
      </c>
      <c r="B89" s="11" t="inlineStr">
        <is>
          <t>Get Funded Now</t>
        </is>
      </c>
      <c r="C89" s="11" t="inlineStr">
        <is>
          <t>CFD</t>
        </is>
      </c>
      <c r="D89" s="8" t="inlineStr">
        <is>
          <t>OUI</t>
        </is>
      </c>
      <c r="E89" s="13" t="inlineStr">
        <is>
          <t>OUI sous conditions</t>
        </is>
      </c>
      <c r="F89" s="11" t="inlineStr">
        <is>
          <t>Review of official T&amp;C (help center 503/422 at fetch): 'Copying between accounts you personally own may be permitted under clause 9.4, while copying another trader's positions, group trading and account management services are prohibited.' EAs permitted where the strategy represents your own trading; off-the-shelf challenge-passing tools restricted.</t>
        </is>
      </c>
      <c r="G89" s="11" t="inlineStr">
        <is>
          <t>any mix within $400k (e.g. 2 x 200k)</t>
        </is>
      </c>
      <c r="H89" s="12" t="n">
        <v>200000</v>
      </c>
      <c r="I89" s="12" t="n">
        <v>400000</v>
      </c>
      <c r="J89" s="10" t="n">
        <v>400000</v>
      </c>
      <c r="K89" s="10" t="n">
        <v>2690</v>
      </c>
      <c r="L89" s="11" t="inlineStr">
        <is>
          <t>2 x 1345 (one_step 200k) = 2690</t>
        </is>
      </c>
      <c r="M89" s="11" t="inlineStr">
        <is>
          <t>1 Step</t>
        </is>
      </c>
      <c r="N89" s="11" t="inlineStr">
        <is>
          <t>1 Step:1345 (200k regular, official homepage);2 Step:unknown;Instant-Direct:unknown</t>
        </is>
      </c>
      <c r="O89" s="11">
        <f> max_cumulative 400000 (own-account copying permitted per clause 9.4, review of official T&amp;C)</f>
        <v/>
      </c>
      <c r="P89" s="11" t="inlineStr">
        <is>
          <t>official stated (homepage '$400,000 max total allocation'; review: 'total allocation cap across every account one trader holds')</t>
        </is>
      </c>
      <c r="Q89" s="11" t="inlineStr"/>
      <c r="R89" s="11" t="inlineStr">
        <is>
          <t>MT5</t>
        </is>
      </c>
      <c r="S89" s="11" t="inlineStr">
        <is>
          <t>https://getfundednow.com/ ; https://fundedtrading.com/propfirm/get-funded-now/ ; https://help.getfundednow.com/en/articles/8575846-do-you-allow-expert-advisors-eas</t>
        </is>
      </c>
    </row>
    <row r="90">
      <c r="A90" s="7" t="n">
        <v>89</v>
      </c>
      <c r="B90" s="7" t="inlineStr">
        <is>
          <t>Global Forex Funds</t>
        </is>
      </c>
      <c r="C90" s="7" t="inlineStr">
        <is>
          <t>CFD</t>
        </is>
      </c>
      <c r="D90" s="13" t="inlineStr">
        <is>
          <t>OUI sur certains comptes</t>
        </is>
      </c>
      <c r="E90" s="15" t="inlineStr">
        <is>
          <t>NON (un seul compte par stratégie)</t>
        </is>
      </c>
      <c r="F90" s="7" t="inlineStr">
        <is>
          <t>Official FAQ: copy trading 'Not allowed on any challenge type. If we detect copy trading the account is permanently banned.' (no own-account exception). EAs: HFT+ challenge unrestricted; Standard/GFF+/Instant EA OK if no HFT/grid/martingale/arbitrage. Proprietary TradingView-powered platform only.</t>
        </is>
      </c>
      <c r="G90" s="7" t="inlineStr"/>
      <c r="H90" s="9" t="n">
        <v>400000</v>
      </c>
      <c r="I90" s="9" t="n">
        <v>400000</v>
      </c>
      <c r="J90" s="10" t="n">
        <v>400000</v>
      </c>
      <c r="K90" s="10" t="n">
        <v>1499</v>
      </c>
      <c r="L90" s="7" t="inlineStr">
        <is>
          <t>1 x 1499 (standard 400k) = 1499</t>
        </is>
      </c>
      <c r="M90" s="7" t="inlineStr">
        <is>
          <t>standard (one_phase)</t>
        </is>
      </c>
      <c r="N90" s="7" t="inlineStr">
        <is>
          <t>standard_one_phase:1499 (400k, TTP; fundedtrading lists 979);two_phase:1350.60 (400k, TTP);gff_plus:2999 (200k);hft_plus:1799 (100k);Instant-Direct:2999 (100k) [review sites; official shows standard 50k = 279]</t>
        </is>
      </c>
      <c r="O90" s="7" t="inlineStr">
        <is>
          <t>NO -&gt; max single account 400000 (Standard/one-phase 400k)</t>
        </is>
      </c>
      <c r="P90" s="7" t="inlineStr">
        <is>
          <t>review site (TTP); official FAQ gives lot caps not allocation</t>
        </is>
      </c>
      <c r="Q90" s="9" t="n">
        <v>2000000</v>
      </c>
      <c r="R90" s="7" t="inlineStr">
        <is>
          <t>in-house TradingView-powered web platform</t>
        </is>
      </c>
      <c r="S90" s="7" t="inlineStr">
        <is>
          <t>https://globalforexfunds.com/faq</t>
        </is>
      </c>
    </row>
    <row r="91">
      <c r="A91" s="11" t="n">
        <v>90</v>
      </c>
      <c r="B91" s="11" t="inlineStr">
        <is>
          <t>Goat Funded Trader</t>
        </is>
      </c>
      <c r="C91" s="11" t="inlineStr">
        <is>
          <t>CFD</t>
        </is>
      </c>
      <c r="D91" s="8" t="inlineStr">
        <is>
          <t>OUI</t>
        </is>
      </c>
      <c r="E91" s="13" t="inlineStr">
        <is>
          <t>OUI sous conditions</t>
        </is>
      </c>
      <c r="F91" s="11" t="inlineStr">
        <is>
          <t>Official 'Using Signals': 'Signal services and copy trading are not permitted'; copying 'from one evaluation account to another, or from an evaluation account to a funded account' prohibited, but 'Copy trading between funded accounts is allowed'. EAs allowed if compliant (no HFT / Gold Arbitrage EA); VPS restrictions for accounts bought from 12 Aug 2026.</t>
        </is>
      </c>
      <c r="G91" s="11" t="inlineStr"/>
      <c r="H91" s="12" t="n">
        <v>400000</v>
      </c>
      <c r="I91" s="12" t="n">
        <v>400000</v>
      </c>
      <c r="J91" s="10" t="n">
        <v>400000</v>
      </c>
      <c r="K91" s="10" t="n">
        <v>1330</v>
      </c>
      <c r="L91" s="11" t="inlineStr">
        <is>
          <t>2 x 665 (three_step 200k) = 1330</t>
        </is>
      </c>
      <c r="M91" s="11" t="inlineStr">
        <is>
          <t>3 Step</t>
        </is>
      </c>
      <c r="N91" s="11" t="inlineStr">
        <is>
          <t>1 Step:1098 (200k);2 Step_standard:1174 (200k);2 Step_pro:1098 (200k);3 Step:665 (200k);Instant-Direct_goat:2398 (300k);Instant-Direct_pro:858 (100k);blitz:617 (100k) [TTP; official sizes go to 400k but prices not shown]</t>
        </is>
      </c>
      <c r="O91" s="11">
        <f> max_cumulative 400000 (copying allowed between FUNDED accounts only; evaluations must be passed independently)</f>
        <v/>
      </c>
      <c r="P91" s="11" t="inlineStr">
        <is>
          <t>official stated (help center: 'The maximum capital you can collect is $400,000 on simulated funded accounts')</t>
        </is>
      </c>
      <c r="Q91" s="12" t="n">
        <v>2000000</v>
      </c>
      <c r="R91" s="11" t="inlineStr">
        <is>
          <t>MT5;cTrader;TradeLocker;Match-Trader;Volumetrica;MT4 (MAM/PAMM)</t>
        </is>
      </c>
      <c r="S91" s="11" t="inlineStr">
        <is>
          <t>https://help.goatfundedtrader.com/en/articles/15945071-using-signals ; https://help.goatfundedtrader.com/en/articles/10742191-what-is-the-maximum-simulated-capital-you-can-have-with-goat</t>
        </is>
      </c>
    </row>
    <row r="92">
      <c r="A92" s="7" t="n">
        <v>91</v>
      </c>
      <c r="B92" s="7" t="inlineStr">
        <is>
          <t>Hantec Trader</t>
        </is>
      </c>
      <c r="C92" s="7" t="inlineStr">
        <is>
          <t>CFD</t>
        </is>
      </c>
      <c r="D92" s="13" t="inlineStr">
        <is>
          <t>OUI sur certains comptes</t>
        </is>
      </c>
      <c r="E92" s="13" t="inlineStr">
        <is>
          <t>OUI sous conditions</t>
        </is>
      </c>
      <c r="F92" s="7" t="inlineStr">
        <is>
          <t>Official help 'Does Hantec Trader allow copy trading?': 'You may copy trade between your own Hantec Trader Challenge Accounts' (combined &lt;= $400,000, all owned by you); between different individuals strictly prohibited. EAs allowed on challenge accounts (Express, Enhanced, EnhancedX, Endurance) but 'EAs are not allowed in Instant Funding accounts'.</t>
        </is>
      </c>
      <c r="G92" s="7" t="inlineStr">
        <is>
          <t>unlimited challenges within $400k; 1 Instant; 3 Instant24</t>
        </is>
      </c>
      <c r="H92" s="9" t="n">
        <v>200000</v>
      </c>
      <c r="I92" s="9" t="n">
        <v>400000</v>
      </c>
      <c r="J92" s="10" t="n">
        <v>400000</v>
      </c>
      <c r="K92" s="10" t="n">
        <v>998</v>
      </c>
      <c r="L92" s="7" t="inlineStr">
        <is>
          <t>2 x 499 (endurance three_step 200k) = 998</t>
        </is>
      </c>
      <c r="M92" s="7" t="inlineStr">
        <is>
          <t>endurance (3 Step)</t>
        </is>
      </c>
      <c r="N92" s="7" t="inlineStr">
        <is>
          <t>express_1 Step:999 (200k);enhanced_2 Step:1169 (200k);enhancedx:1169 (200k);endurance_3 Step:499 (200k);Instant-Direct:2139 (50k);Instant-Direct_lite:699 (100k);Instant-Direct24:299 (100k) [fundedtrading review; official htrader.hmarkets.com shows only Instant-Direct tiers]</t>
        </is>
      </c>
      <c r="O92" s="7">
        <f> max_cumulative 400000 (challenge-type accounts only, e.g. 2 x 200k)</f>
        <v/>
      </c>
      <c r="P92" s="7" t="inlineStr">
        <is>
          <t>official stated (help: 'Traders may hold a maximum combined allocation of $400,000 across all accounts'; 1 Instant at a time; up to 3 Instant24)</t>
        </is>
      </c>
      <c r="Q92" s="7" t="inlineStr"/>
      <c r="R92" s="7" t="inlineStr">
        <is>
          <t>MT4;MT5</t>
        </is>
      </c>
      <c r="S92" s="7" t="inlineStr">
        <is>
          <t>https://help.htrader.hmarkets.com/en/support/solutions/articles/158000444272-does-hantec-trader-allow-copy-trading- ; https://help.htrader.hmarkets.com/en/support/solutions/articles/158000446692-what-is-hantec-s-max-allocation-</t>
        </is>
      </c>
    </row>
    <row r="93">
      <c r="A93" s="11" t="n">
        <v>92</v>
      </c>
      <c r="B93" s="11" t="inlineStr">
        <is>
          <t>NEOM Funded</t>
        </is>
      </c>
      <c r="C93" s="11" t="inlineStr">
        <is>
          <t>CFD</t>
        </is>
      </c>
      <c r="D93" s="8" t="inlineStr">
        <is>
          <t>OUI</t>
        </is>
      </c>
      <c r="E93" s="13" t="inlineStr">
        <is>
          <t>OUI sous conditions</t>
        </is>
      </c>
      <c r="F93" s="11" t="inlineStr">
        <is>
          <t>Official FAQ: 'Expert Advisors and copy trading are permitted'; rules ban 'coordinated trading across accounts held by different Participants' and cross-account hedging; 'Commercial high-frequency bots require prior approval'. Official FAQ: 'you can hold multiple active challenges at the same time' - no $ cap published.</t>
        </is>
      </c>
      <c r="G93" s="11" t="inlineStr"/>
      <c r="H93" s="12" t="n">
        <v>150000</v>
      </c>
      <c r="I93" s="12" t="n">
        <v>400000</v>
      </c>
      <c r="J93" s="10" t="n">
        <v>400000</v>
      </c>
      <c r="K93" s="10" t="n">
        <v>1940</v>
      </c>
      <c r="L93" s="11" t="inlineStr">
        <is>
          <t>4 x 485 (two_step 100k, TTP price) = 1940</t>
        </is>
      </c>
      <c r="M93" s="11" t="inlineStr">
        <is>
          <t>2 Step</t>
        </is>
      </c>
      <c r="N93" s="11" t="inlineStr">
        <is>
          <t>Instant-Direct(45k):1839;1 Step(100k):596;2 Step(100k):485 (TTP review; 150k price not published on official configurator)</t>
        </is>
      </c>
      <c r="O93" s="11" t="inlineStr">
        <is>
          <t>official YES (copy own accounts) x review cap 400000 = 400000</t>
        </is>
      </c>
      <c r="P93" s="11" t="inlineStr">
        <is>
          <t>review site (TTP/TradeLocker hub: max allocation $400K; official FAQ/rules publish no cap; official: multiple active challenges allowed)</t>
        </is>
      </c>
      <c r="Q93" s="12" t="n">
        <v>150000</v>
      </c>
      <c r="R93" s="11" t="inlineStr">
        <is>
          <t>MT5</t>
        </is>
      </c>
      <c r="S93" s="11" t="inlineStr">
        <is>
          <t>https://neomfunded.com/faq ; https://neomfunded.com/rules ; https://thetrustedprop.com/prop-firms/NeomAAA-Funds</t>
        </is>
      </c>
    </row>
    <row r="94">
      <c r="A94" s="7" t="n">
        <v>93</v>
      </c>
      <c r="B94" s="7" t="inlineStr">
        <is>
          <t>NeomAAA Funds</t>
        </is>
      </c>
      <c r="C94" s="7" t="inlineStr">
        <is>
          <t>CFD</t>
        </is>
      </c>
      <c r="D94" s="8" t="inlineStr">
        <is>
          <t>OUI</t>
        </is>
      </c>
      <c r="E94" s="13" t="inlineStr">
        <is>
          <t>OUI sous conditions</t>
        </is>
      </c>
      <c r="F94" s="7" t="inlineStr">
        <is>
          <t>Official FAQ: 'Expert Advisors and copy trading are permitted'; rules ban 'coordinated trading across accounts held by different Participants' and cross-account hedging; 'Commercial high-frequency bots require prior approval'. Official FAQ: 'you can hold multiple active challenges at the same time' - no $ cap published.</t>
        </is>
      </c>
      <c r="G94" s="7" t="inlineStr"/>
      <c r="H94" s="9" t="n">
        <v>150000</v>
      </c>
      <c r="I94" s="9" t="n">
        <v>400000</v>
      </c>
      <c r="J94" s="10" t="n">
        <v>400000</v>
      </c>
      <c r="K94" s="10" t="n">
        <v>1940</v>
      </c>
      <c r="L94" s="7" t="inlineStr">
        <is>
          <t>4 x 485 (two_step 100k, TTP price) = 1940</t>
        </is>
      </c>
      <c r="M94" s="7" t="inlineStr">
        <is>
          <t>2 Step</t>
        </is>
      </c>
      <c r="N94" s="7" t="inlineStr">
        <is>
          <t>Instant-Direct(45k):1839;1 Step(100k):596;2 Step(100k):485 (TTP review)</t>
        </is>
      </c>
      <c r="O94" s="7" t="inlineStr">
        <is>
          <t>official YES (copy own accounts) x review cap 400000 = 400000</t>
        </is>
      </c>
      <c r="P94" s="7" t="inlineStr">
        <is>
          <t>review site (TTP max allocation $400K; same firm as NEOM Funded, neomaaafunds.com redirects; official publishes no cap)</t>
        </is>
      </c>
      <c r="Q94" s="9" t="n">
        <v>150000</v>
      </c>
      <c r="R94" s="7" t="inlineStr">
        <is>
          <t>MT5</t>
        </is>
      </c>
      <c r="S94" s="7" t="inlineStr">
        <is>
          <t>https://neomfunded.com/faq ; https://neomfunded.com/rules ; https://thetrustedprop.com/prop-firms/NeomAAA-Funds</t>
        </is>
      </c>
    </row>
    <row r="95">
      <c r="A95" s="11" t="n">
        <v>94</v>
      </c>
      <c r="B95" s="11" t="inlineStr">
        <is>
          <t>Propxp</t>
        </is>
      </c>
      <c r="C95" s="11" t="inlineStr">
        <is>
          <t>CFD</t>
        </is>
      </c>
      <c r="D95" s="8" t="inlineStr">
        <is>
          <t>OUI</t>
        </is>
      </c>
      <c r="E95" s="8" t="inlineStr">
        <is>
          <t>OUI</t>
        </is>
      </c>
      <c r="F95" s="11" t="inlineStr">
        <is>
          <t>Official FAQ: 'Copying is allowed only when you own and operate everything' - between your own PropXP accounts OK; forbidden: other traders' accounts, shared signals, 'mass-used EAs producing identical behavior'; hedging between accounts prohibited.</t>
        </is>
      </c>
      <c r="G95" s="11" t="inlineStr"/>
      <c r="H95" s="12" t="n">
        <v>200000</v>
      </c>
      <c r="I95" s="12" t="n">
        <v>400000</v>
      </c>
      <c r="J95" s="10" t="n">
        <v>400000</v>
      </c>
      <c r="K95" s="14" t="inlineStr">
        <is>
          <t>inconnu</t>
        </is>
      </c>
      <c r="L95" s="11" t="inlineStr">
        <is>
          <t>2 x 200k account (price unknown)</t>
        </is>
      </c>
      <c r="M95" s="11" t="inlineStr">
        <is>
          <t>unknown</t>
        </is>
      </c>
      <c r="N95" s="11" t="inlineStr">
        <is>
          <t>unknown (checkout JS-only)</t>
        </is>
      </c>
      <c r="O95" s="11" t="inlineStr">
        <is>
          <t>official YES x official cap 400000 = 400000</t>
        </is>
      </c>
      <c r="P95" s="11" t="inlineStr">
        <is>
          <t>official stated: 'Max allocation is $400,000 in active Challenges, and $400,000 combined across Instant Funding + Funded Accounts'</t>
        </is>
      </c>
      <c r="Q95" s="11" t="inlineStr"/>
      <c r="R95" s="11" t="inlineStr">
        <is>
          <t>MT5</t>
        </is>
      </c>
      <c r="S95" s="11" t="inlineStr">
        <is>
          <t>https://propxp.com/faq/what-is-the-max-allocation-in-propxp/ ; https://propxp.com/faq/trade-copying-whats-allowed-vs-forbidden ; https://propxp.com/faq/multiple-accounts-can-i-have-more-than-one/</t>
        </is>
      </c>
    </row>
    <row r="96">
      <c r="A96" s="7" t="n">
        <v>95</v>
      </c>
      <c r="B96" s="7" t="inlineStr">
        <is>
          <t>The Trading Pit</t>
        </is>
      </c>
      <c r="C96" s="7" t="inlineStr">
        <is>
          <t>CFD + Futures</t>
        </is>
      </c>
      <c r="D96" s="8" t="inlineStr">
        <is>
          <t>OUI</t>
        </is>
      </c>
      <c r="E96" s="8" t="inlineStr">
        <is>
          <t>OUI</t>
        </is>
      </c>
      <c r="F96" s="7" t="inlineStr">
        <is>
          <t>Official support: copy trading 'permitted only between accounts owned by the same user'; 'copy trades across any number of your own CFD Challenge accounts, whether you use manual or automated strategies'; own EA allowed; 'Copy signals that are not yours' banned.</t>
        </is>
      </c>
      <c r="G96" s="7" t="inlineStr">
        <is>
          <t>8</t>
        </is>
      </c>
      <c r="H96" s="9" t="n">
        <v>200000</v>
      </c>
      <c r="I96" s="9" t="n">
        <v>400000</v>
      </c>
      <c r="J96" s="10" t="n">
        <v>400000</v>
      </c>
      <c r="K96" s="10" t="n">
        <v>2278</v>
      </c>
      <c r="L96" s="7" t="inlineStr">
        <is>
          <t>2 x 1139 (one_step 200k) = 2278</t>
        </is>
      </c>
      <c r="M96" s="7" t="inlineStr">
        <is>
          <t>1 Step</t>
        </is>
      </c>
      <c r="N96" s="7" t="inlineStr">
        <is>
          <t>1 Step(200k):1139;2 Step(200k):1139 (TTP review); official: 1 Step(50k):349</t>
        </is>
      </c>
      <c r="O96" s="7" t="inlineStr">
        <is>
          <t>official YES x official cap 400000 = 400000</t>
        </is>
      </c>
      <c r="P96" s="7" t="inlineStr">
        <is>
          <t>official stated: 'maximum of eight active Earning Accounts at the same time, and their combined initial balance must not exceed $400,000'</t>
        </is>
      </c>
      <c r="Q96" s="9" t="n">
        <v>5000000</v>
      </c>
      <c r="R96" s="7" t="inlineStr">
        <is>
          <t>not named on fetched pages (client portal); verify EA-capable platform</t>
        </is>
      </c>
      <c r="S96" s="7" t="inlineStr">
        <is>
          <t>https://support.thetradingpit.com/is-copy-trading-allowed-0 ; https://support.thetradingpit.com/what-is-your-maximum-allocation-0 ; https://support.thetradingpit.com/can-i-use-an-expert-advisor-0</t>
        </is>
      </c>
    </row>
    <row r="97">
      <c r="A97" s="11" t="n">
        <v>96</v>
      </c>
      <c r="B97" s="11" t="inlineStr">
        <is>
          <t>thePropTrade</t>
        </is>
      </c>
      <c r="C97" s="11" t="inlineStr">
        <is>
          <t>CFD</t>
        </is>
      </c>
      <c r="D97" s="8" t="inlineStr">
        <is>
          <t>OUI</t>
        </is>
      </c>
      <c r="E97" s="8" t="inlineStr">
        <is>
          <t>OUI</t>
        </is>
      </c>
      <c r="F97" s="11" t="inlineStr">
        <is>
          <t>Official KB: copy trades between your own accounts inside thePropTrade allowed; copying from any external source/other traders prohibited; EAs must be own code.</t>
        </is>
      </c>
      <c r="G97" s="11" t="inlineStr"/>
      <c r="H97" s="12" t="n">
        <v>100000</v>
      </c>
      <c r="I97" s="12" t="n">
        <v>400000</v>
      </c>
      <c r="J97" s="10" t="n">
        <v>400000</v>
      </c>
      <c r="K97" s="10" t="n">
        <v>1777</v>
      </c>
      <c r="L97" s="11" t="inlineStr">
        <is>
          <t>649 + 599 + 529 (one 100k in instant, one_step, two_step) + payflex 100k (unknown) = 1777 + unknown</t>
        </is>
      </c>
      <c r="M97" s="11" t="inlineStr">
        <is>
          <t>all four programs (100k each)</t>
        </is>
      </c>
      <c r="N97" s="11" t="inlineStr">
        <is>
          <t>Instant-Direct(100k):649;1 Step(100k):599;2 Step(100k):529;payflex(100k):unknown (TTP review)</t>
        </is>
      </c>
      <c r="O97" s="11" t="inlineStr">
        <is>
          <t>official YES x official cap 400000 = 400000</t>
        </is>
      </c>
      <c r="P97" s="11" t="inlineStr">
        <is>
          <t>official stated: 'maximum total funded allocation per client ... is $400,000' (Instant 100K + 2-Step 100K + PayFlex 100K + 1-Step 100K, independent caps)</t>
        </is>
      </c>
      <c r="Q97" s="12" t="n">
        <v>2000000</v>
      </c>
      <c r="R97" s="11" t="inlineStr">
        <is>
          <t>MT5; cTrader; TradeLocker</t>
        </is>
      </c>
      <c r="S97" s="11" t="inlineStr">
        <is>
          <t>https://theproptrade.com/trading-rules-guidelines-faqs/max-allocation-rule/ ; https://theproptrade.com/trading-rules-guidelines-faqs/copy-rules/</t>
        </is>
      </c>
    </row>
    <row r="98">
      <c r="A98" s="7" t="n">
        <v>97</v>
      </c>
      <c r="B98" s="7" t="inlineStr">
        <is>
          <t>QT Funded</t>
        </is>
      </c>
      <c r="C98" s="7" t="inlineStr">
        <is>
          <t>CFD</t>
        </is>
      </c>
      <c r="D98" s="8" t="inlineStr">
        <is>
          <t>OUI</t>
        </is>
      </c>
      <c r="E98" s="13" t="inlineStr">
        <is>
          <t>OUI sous conditions</t>
        </is>
      </c>
      <c r="F98" s="7" t="inlineStr">
        <is>
          <t>Official: 'Under $400,000 total allocation: copy trading and using the same strategy across accounts is allowed'; at $400,000 or above copy trading / same strategy NOT allowed (each account different strategy &amp; instruments); QT Instant $99K allocation cannot be copy-traded; EAs and trade copiers require prior approval (passes@qtfunded.com).</t>
        </is>
      </c>
      <c r="G98" s="7" t="inlineStr"/>
      <c r="H98" s="9" t="n">
        <v>200000</v>
      </c>
      <c r="I98" s="9" t="n">
        <v>400000</v>
      </c>
      <c r="J98" s="10" t="n">
        <v>390000</v>
      </c>
      <c r="K98" s="14" t="inlineStr">
        <is>
          <t>inconnu</t>
        </is>
      </c>
      <c r="L98" s="7" t="inlineStr">
        <is>
          <t>unknown</t>
        </is>
      </c>
      <c r="M98" s="7" t="inlineStr">
        <is>
          <t>unknown</t>
        </is>
      </c>
      <c r="N98" s="7" t="inlineStr">
        <is>
          <t>unknown (pricing JS-only)</t>
        </is>
      </c>
      <c r="O98" s="7" t="inlineStr">
        <is>
          <t>must stay below 400000: e.g. 200000+100000+50000+25000+10000+5000 = 390000</t>
        </is>
      </c>
      <c r="P98" s="7" t="inlineStr">
        <is>
          <t>official stated (qtfunded.kb.help 'Maximum Allocation &amp; Copy Trading': max allocation across all accounts $400,000; QT Instant max $99K)</t>
        </is>
      </c>
      <c r="Q98" s="7" t="inlineStr"/>
      <c r="R98" s="7" t="inlineStr">
        <is>
          <t>MT5, TradeLocker (TTP also lists cTrader)</t>
        </is>
      </c>
      <c r="S98" s="7" t="inlineStr">
        <is>
          <t>https://qtfunded.kb.help/maximum-allocation-copy-trading/ ; https://support.quanttekel.com/support/solutions/articles/202000072607-maximum-allocation-copy-trading</t>
        </is>
      </c>
    </row>
    <row r="99">
      <c r="A99" s="11" t="n">
        <v>98</v>
      </c>
      <c r="B99" s="11" t="inlineStr">
        <is>
          <t>Spiceprop</t>
        </is>
      </c>
      <c r="C99" s="11" t="inlineStr">
        <is>
          <t>CFD</t>
        </is>
      </c>
      <c r="D99" s="8" t="inlineStr">
        <is>
          <t>OUI</t>
        </is>
      </c>
      <c r="E99" s="15" t="inlineStr">
        <is>
          <t>NON (un seul compte par stratégie)</t>
        </is>
      </c>
      <c r="F99" s="11" t="inlineStr">
        <is>
          <t>Official T&amp;C: 'Copying transactions between multiple Funded (Master) accounts is prohibited'; 'The only authorized form of copy-trading is from your own SpiceProp Funded (Master) account to your own SpiceProp Challenge (Slave) account'; one client dashboard only.</t>
        </is>
      </c>
      <c r="G99" s="11" t="inlineStr">
        <is>
          <t>11</t>
        </is>
      </c>
      <c r="H99" s="12" t="n">
        <v>300000</v>
      </c>
      <c r="I99" s="12" t="n">
        <v>1295000</v>
      </c>
      <c r="J99" s="10" t="n">
        <v>300000</v>
      </c>
      <c r="K99" s="10" t="n">
        <v>1573</v>
      </c>
      <c r="L99" s="11" t="inlineStr">
        <is>
          <t>1 x 1573 EUR (two_step_pro 300k) = 1573 EUR</t>
        </is>
      </c>
      <c r="M99" s="11" t="inlineStr">
        <is>
          <t>2 Step_pro</t>
        </is>
      </c>
      <c r="N99" s="11" t="inlineStr">
        <is>
          <t>Instant-Direct(40k):780EUR;1 Step(75k):586EUR;2 Step(150k):715EUR;2 Step_pro(300k):1573EUR;3 Step(120k):295EUR (official, EUR)</t>
        </is>
      </c>
      <c r="O99" s="11" t="inlineStr">
        <is>
          <t>NO -&gt; max single funded account 300000 (2-Step Pro)</t>
        </is>
      </c>
      <c r="P99" s="11" t="inlineStr">
        <is>
          <t>official computed: per-program max accounts on pricing page (Instant 2x40K + 1-Step 3x75K + 2-Step 3x150K + 2-Step Pro 1x300K + 3-Step 2x120K = 1,295,000); firm-wide cap only for VN/KR (EUR 75K)</t>
        </is>
      </c>
      <c r="Q99" s="11" t="inlineStr"/>
      <c r="R99" s="11" t="inlineStr">
        <is>
          <t>MT5; web terminal</t>
        </is>
      </c>
      <c r="S99" s="11" t="inlineStr">
        <is>
          <t>https://spiceprop.com/terms-conditions ; https://spiceprop.com/</t>
        </is>
      </c>
    </row>
    <row r="100">
      <c r="A100" s="7" t="n">
        <v>99</v>
      </c>
      <c r="B100" s="7" t="inlineStr">
        <is>
          <t>Clarity Traders</t>
        </is>
      </c>
      <c r="C100" s="7" t="inlineStr">
        <is>
          <t>CFD</t>
        </is>
      </c>
      <c r="D100" s="8" t="inlineStr">
        <is>
          <t>OUI</t>
        </is>
      </c>
      <c r="E100" s="15" t="inlineStr">
        <is>
          <t>NON (un seul compte par stratégie)</t>
        </is>
      </c>
      <c r="F100" s="7" t="inlineStr">
        <is>
          <t>review site (TTP): copy trading 'Not allowed on any challenge type'; official FAQ: 'Automated trading is only allowed if you have purchased the EA's Allowed add-on'; 60s min hold</t>
        </is>
      </c>
      <c r="G100" s="7" t="inlineStr"/>
      <c r="H100" s="9" t="n">
        <v>300000</v>
      </c>
      <c r="I100" s="9" t="n">
        <v>300000</v>
      </c>
      <c r="J100" s="10" t="n">
        <v>300000</v>
      </c>
      <c r="K100" s="10" t="n">
        <v>1399</v>
      </c>
      <c r="L100" s="7" t="inlineStr">
        <is>
          <t>1 x 1399 (two_step 300k) + EA add-on = 1399+</t>
        </is>
      </c>
      <c r="M100" s="7" t="inlineStr">
        <is>
          <t>2 Step</t>
        </is>
      </c>
      <c r="N100" s="7" t="inlineStr">
        <is>
          <t>1 Step:1429 (300k);2 Step:1399 (300k);3 Step:1782 (300k); EA add-on price unknown [review site TTP]</t>
        </is>
      </c>
      <c r="O100" s="7" t="inlineStr">
        <is>
          <t>NO -&gt; max single account 300000 (review-site basis)</t>
        </is>
      </c>
      <c r="P100" s="7" t="inlineStr">
        <is>
          <t>review site (TTP max allocation)</t>
        </is>
      </c>
      <c r="Q100" s="7" t="inlineStr"/>
      <c r="R100" s="7" t="inlineStr">
        <is>
          <t>TradeLocker; MT5</t>
        </is>
      </c>
      <c r="S100" s="7" t="inlineStr">
        <is>
          <t>https://claritytraders.com/faq | https://thetrustedprop.com/prop-firms/clarity-traders (fallback)</t>
        </is>
      </c>
    </row>
    <row r="101">
      <c r="A101" s="11" t="n">
        <v>100</v>
      </c>
      <c r="B101" s="11" t="inlineStr">
        <is>
          <t>FundedVerse</t>
        </is>
      </c>
      <c r="C101" s="11" t="inlineStr">
        <is>
          <t>CFD</t>
        </is>
      </c>
      <c r="D101" s="8" t="inlineStr">
        <is>
          <t>OUI</t>
        </is>
      </c>
      <c r="E101" s="8" t="inlineStr">
        <is>
          <t>OUI</t>
        </is>
      </c>
      <c r="F101" s="11" t="inlineStr">
        <is>
          <t>Official help center: 'Copy trading is allowed from your own personal accounts belonging on the same person'; 'Copying from other FundedVerse users or third-party pass services is strictly prohibited'. EAs permitted only if the EA add-on was selected at purchase (review of rules); min hold 180s.</t>
        </is>
      </c>
      <c r="G101" s="11" t="inlineStr">
        <is>
          <t>unlimited challenges; funded capped by $300k</t>
        </is>
      </c>
      <c r="H101" s="12" t="n">
        <v>300000</v>
      </c>
      <c r="I101" s="12" t="n">
        <v>300000</v>
      </c>
      <c r="J101" s="10" t="n">
        <v>300000</v>
      </c>
      <c r="K101" s="10" t="n">
        <v>1581</v>
      </c>
      <c r="L101" s="11" t="inlineStr">
        <is>
          <t>3 x 527 (two_step_trailing 100k) = 1581 (vs 1 x 1989 ultra 300k)</t>
        </is>
      </c>
      <c r="M101" s="11" t="inlineStr">
        <is>
          <t>2 Step_trailing</t>
        </is>
      </c>
      <c r="N101" s="11" t="inlineStr">
        <is>
          <t>Instant-Direct:699 (50k);1 Step:537 (100k);sniper_1 Step:577 (100k);ultra_2 Step:1989 (300k);2 Step_trailing:527 (100k);2 Step_static:537 (100k) [official homepage]</t>
        </is>
      </c>
      <c r="O101" s="11">
        <f> max_cumulative 300000</f>
        <v/>
      </c>
      <c r="P101" s="11" t="inlineStr">
        <is>
          <t>official stated (help center: 'maximum total funded capital you can hold across all your funded (simulated live) accounts is $300,000'; no limit on simultaneous challenges)</t>
        </is>
      </c>
      <c r="Q101" s="11" t="inlineStr"/>
      <c r="R101" s="11" t="inlineStr">
        <is>
          <t>MT5;Match-Trader</t>
        </is>
      </c>
      <c r="S101" s="11" t="inlineStr">
        <is>
          <t>https://help.fundedverse.com/en/articles/14580791-is-copy-trading-allowed ; https://help.fundedverse.com/en/articles/14580991-how-many-accounts-can-i-have-with-fundedverse</t>
        </is>
      </c>
    </row>
    <row r="102">
      <c r="A102" s="7" t="n">
        <v>101</v>
      </c>
      <c r="B102" s="7" t="inlineStr">
        <is>
          <t>FX2 Funding</t>
        </is>
      </c>
      <c r="C102" s="7" t="inlineStr">
        <is>
          <t>CFD + Futures</t>
        </is>
      </c>
      <c r="D102" s="8" t="inlineStr">
        <is>
          <t>OUI</t>
        </is>
      </c>
      <c r="E102" s="8" t="inlineStr">
        <is>
          <t>OUI</t>
        </is>
      </c>
      <c r="F102" s="7" t="inlineStr">
        <is>
          <t>Official FAQ: 'You may use your own trade copier, if you have multiple FX2 accounts.' Cross-account hedging prohibited. 'If you are trading with MT5 or cTrader, then you may use expert advisors, as long as they aren't high-frequency-trading, arbitrage or other malicious, cheating EAs' (DXtrade: no EAs).</t>
        </is>
      </c>
      <c r="G102" s="7" t="inlineStr">
        <is>
          <t>one evaluation per size/tier; total $300k</t>
        </is>
      </c>
      <c r="H102" s="9" t="n">
        <v>200000</v>
      </c>
      <c r="I102" s="9" t="n">
        <v>300000</v>
      </c>
      <c r="J102" s="10" t="n">
        <v>300000</v>
      </c>
      <c r="K102" s="10" t="n">
        <v>1400</v>
      </c>
      <c r="L102" s="7" t="inlineStr">
        <is>
          <t>1 x 925 (one_step 200k) + 1 x 475 (one_step 100k) = 1400</t>
        </is>
      </c>
      <c r="M102" s="7" t="inlineStr">
        <is>
          <t>1 Step</t>
        </is>
      </c>
      <c r="N102" s="7" t="inlineStr">
        <is>
          <t>1 Step:925 (200k);1 Step_pro:600 (100k);2 Step:550 (100k);Instant-Direct:unknown (100k) [TTP; official configurator shows 2-step 50k = 465]</t>
        </is>
      </c>
      <c r="O102" s="7">
        <f> max_cumulative 300000</f>
        <v/>
      </c>
      <c r="P102" s="7" t="inlineStr">
        <is>
          <t>official stated (FAQ: 'The maximum capital allocation is currently $300,000'; Instant plans max $190,000, one of each size)</t>
        </is>
      </c>
      <c r="Q102" s="9" t="n">
        <v>1000000</v>
      </c>
      <c r="R102" s="7" t="inlineStr">
        <is>
          <t>cTrader;DXtrade (no EAs);Match-Trader;GooeyPro (MT5 referenced in FAQ)</t>
        </is>
      </c>
      <c r="S102" s="7" t="inlineStr">
        <is>
          <t>https://fx2funding.com/faqs/</t>
        </is>
      </c>
    </row>
    <row r="103">
      <c r="A103" s="11" t="n">
        <v>102</v>
      </c>
      <c r="B103" s="11" t="inlineStr">
        <is>
          <t>Lark Funding</t>
        </is>
      </c>
      <c r="C103" s="11" t="inlineStr">
        <is>
          <t>CFD</t>
        </is>
      </c>
      <c r="D103" s="8" t="inlineStr">
        <is>
          <t>OUI</t>
        </is>
      </c>
      <c r="E103" s="13" t="inlineStr">
        <is>
          <t>OUI sous conditions</t>
        </is>
      </c>
      <c r="F103" s="11" t="inlineStr">
        <is>
          <t>Official help: 'we do allow trade copying between your Simulated Funded Accounts so you can more easily manage multiple accounts'; 'Copy trading is only permitted if the trader owns and controls all accounts involved'; external copying only into a single evaluation account, but 'Once you are Funded or on Instant Program, you can copy trades across multiple accounts'. EAs not prohibited (no HFT/arbitrage EAs; DXtrade no EA).</t>
        </is>
      </c>
      <c r="G103" s="11" t="inlineStr">
        <is>
          <t>unlimited purchases; active funded capped</t>
        </is>
      </c>
      <c r="H103" s="12" t="n">
        <v>200000</v>
      </c>
      <c r="I103" s="12" t="n">
        <v>300000</v>
      </c>
      <c r="J103" s="10" t="n">
        <v>300000</v>
      </c>
      <c r="K103" s="10" t="n">
        <v>700</v>
      </c>
      <c r="L103" s="11" t="inlineStr">
        <is>
          <t>1 x 700 (three_step 200k) [+ 1 x 4500 instant 100k to reach 300k] = 700 (5200 for full 300k)</t>
        </is>
      </c>
      <c r="M103" s="11" t="inlineStr">
        <is>
          <t>3 Step</t>
        </is>
      </c>
      <c r="N103" s="11" t="inlineStr">
        <is>
          <t>1 Step:1000 (200k);3 Step:700 (200k);Instant-Direct:4500 (100k) [TTP; fundedtrading lists Instant-Direct 200k 4500]</t>
        </is>
      </c>
      <c r="O103" s="11">
        <f> 200000 funded evaluation cap + 100000 instant cap (copying allowed once funded/instant)</f>
        <v/>
      </c>
      <c r="P103" s="11" t="inlineStr">
        <is>
          <t>official computed (help: 'Maximum Capital Allocation is 200,000 for evaluation accounts and 100,000 for instant accounts'; 'you may only actively trade up to $200,000 in funded accounts at any given time') - TTP says 400k</t>
        </is>
      </c>
      <c r="Q103" s="11" t="inlineStr"/>
      <c r="R103" s="11" t="inlineStr">
        <is>
          <t>DXtrade (no EAs), cTrader, Match-Trader</t>
        </is>
      </c>
      <c r="S103" s="11" t="inlineStr">
        <is>
          <t>https://helpdesk.larkfunding.com/en/articles/13899816-maximum-capital-allocation ; https://helpdesk.larkfunding.com/en/articles/7176391-can-i-combine-my-accounts ; https://helpdesk.larkfunding.com/en/articles/13941115-can-i-copy-trades-from-my-other-prop-firm-accounts</t>
        </is>
      </c>
    </row>
    <row r="104">
      <c r="A104" s="7" t="n">
        <v>103</v>
      </c>
      <c r="B104" s="7" t="inlineStr">
        <is>
          <t>Mockapital</t>
        </is>
      </c>
      <c r="C104" s="7" t="inlineStr">
        <is>
          <t>CFD</t>
        </is>
      </c>
      <c r="D104" s="8" t="inlineStr">
        <is>
          <t>OUI</t>
        </is>
      </c>
      <c r="E104" s="8" t="inlineStr">
        <is>
          <t>OUI</t>
        </is>
      </c>
      <c r="F104" s="7" t="inlineStr">
        <is>
          <t>Official FAQ: 'Copy trading is allowed only between your own accounts at Mockapital. This means you may mirror trades from one of your accounts to another as part of your personal strategy.' Third-party copy/management prohibited. EAs allowed (paid EA add-on from dashboard; third-party EAs only for trade/risk management).</t>
        </is>
      </c>
      <c r="G104" s="7" t="inlineStr">
        <is>
          <t>single profile; number unknown</t>
        </is>
      </c>
      <c r="H104" s="9" t="n">
        <v>200000</v>
      </c>
      <c r="I104" s="9" t="n">
        <v>300000</v>
      </c>
      <c r="J104" s="10" t="n">
        <v>300000</v>
      </c>
      <c r="K104" s="10" t="n">
        <v>1450</v>
      </c>
      <c r="L104" s="7" t="inlineStr">
        <is>
          <t>1 x 950 (mockrace 200k) + 1 x 500 (mockrace 100k) = 1450</t>
        </is>
      </c>
      <c r="M104" s="7" t="inlineStr">
        <is>
          <t>mockrace (2 Step)</t>
        </is>
      </c>
      <c r="N104" s="7" t="inlineStr">
        <is>
          <t>Instant-Direct:2250 (50k);mocksprint_1 Step:1050 (200k);mockrace_2 Step:950 (200k);mockexpress_2 Step:800 (100k) [official]</t>
        </is>
      </c>
      <c r="O104" s="7">
        <f> max_cumulative 300000 (review-based cap; official FAQ confirms own-account copying)</f>
        <v/>
      </c>
      <c r="P104" s="7" t="inlineStr">
        <is>
          <t>review site / search snippet ('maximum allocation increased to $300,000 per trader', unverified); official FAQ states only Instant cap: 'The highest funding allocation you can have through Instant Funding is $50,000'</t>
        </is>
      </c>
      <c r="Q104" s="7" t="inlineStr"/>
      <c r="R104" s="7" t="inlineStr">
        <is>
          <t>cTrader, Match-Trader, DXtrade (no EAs)</t>
        </is>
      </c>
      <c r="S104" s="7" t="inlineStr">
        <is>
          <t>https://mockapital.com/faq ; https://mockapital.com/funding-programs/</t>
        </is>
      </c>
    </row>
    <row r="105">
      <c r="A105" s="11" t="n">
        <v>104</v>
      </c>
      <c r="B105" s="11" t="inlineStr">
        <is>
          <t>Myfundedcapital</t>
        </is>
      </c>
      <c r="C105" s="11" t="inlineStr">
        <is>
          <t>CFD</t>
        </is>
      </c>
      <c r="D105" s="8" t="inlineStr">
        <is>
          <t>OUI</t>
        </is>
      </c>
      <c r="E105" s="13" t="inlineStr">
        <is>
          <t>OUI sous conditions</t>
        </is>
      </c>
      <c r="F105" s="11" t="inlineStr">
        <is>
          <t>Official trading rules: 'EAs, automated strategies, copy traders and trade copiers are allowed when you own or are authorised to use the tool and retain exclusive control of every MFC account involved.' Opposite/correlated positions across own accounts to bypass risk rules forbidden. DXtrade has no EA support.</t>
        </is>
      </c>
      <c r="G105" s="11" t="inlineStr">
        <is>
          <t>one active eval per size &amp; type; $300k total</t>
        </is>
      </c>
      <c r="H105" s="12" t="n">
        <v>100000</v>
      </c>
      <c r="I105" s="12" t="n">
        <v>300000</v>
      </c>
      <c r="J105" s="10" t="n">
        <v>300000</v>
      </c>
      <c r="K105" s="10" t="n">
        <v>1626</v>
      </c>
      <c r="L105" s="11" t="inlineStr">
        <is>
          <t>429 + 599 + 299 + 299 (two_step 100k + one_step 100k + two_step 50k + one_step 50k) = 1626</t>
        </is>
      </c>
      <c r="M105" s="11" t="inlineStr">
        <is>
          <t>2 Step + 1 Step mix</t>
        </is>
      </c>
      <c r="N105" s="11" t="inlineStr">
        <is>
          <t>1 Step:599 (100k);2 Step:429 (100k);Instant-Direct:3470 (80k) [TTP; official homepage shows promo flat prices]</t>
        </is>
      </c>
      <c r="O105" s="11">
        <f> max_cumulative 300000 (one account per size&amp;type: e.g. 100k two_step + 100k one_step + 50k two_step + 50k one_step)</f>
        <v/>
      </c>
      <c r="P105" s="11" t="inlineStr">
        <is>
          <t>official stated (trading rules: 'Total cap: USD 300,000 combined notional value across all active evaluation accounts per person'; one active evaluation per plan size &amp; type)</t>
        </is>
      </c>
      <c r="Q105" s="12" t="n">
        <v>500000</v>
      </c>
      <c r="R105" s="11" t="inlineStr">
        <is>
          <t>DXtrade (no EAs), cTrader, GooeyPro (MT5 announced)</t>
        </is>
      </c>
      <c r="S105" s="11" t="inlineStr">
        <is>
          <t>https://myfundedcapital.com/faq/trading-rules/</t>
        </is>
      </c>
    </row>
    <row r="106">
      <c r="A106" s="7" t="n">
        <v>105</v>
      </c>
      <c r="B106" s="7" t="inlineStr">
        <is>
          <t>PipFarm</t>
        </is>
      </c>
      <c r="C106" s="7" t="inlineStr">
        <is>
          <t>CFD</t>
        </is>
      </c>
      <c r="D106" s="8" t="inlineStr">
        <is>
          <t>OUI</t>
        </is>
      </c>
      <c r="E106" s="13" t="inlineStr">
        <is>
          <t>OUI sous conditions</t>
        </is>
      </c>
      <c r="F106" s="7" t="inlineStr">
        <is>
          <t>Review (quantvps/tradetanto): 'copy trading is allowed only between your own accounts (broker, other prop firms, or PipFarm)'; official FAQ: bot allowed if 'the same bot was used to pass the challenge'; signal copying &amp; group trading prohibited; TTP: 'behaving in a very similar pattern to other accounts will lead to violations'.</t>
        </is>
      </c>
      <c r="G106" s="7" t="inlineStr">
        <is>
          <t>5</t>
        </is>
      </c>
      <c r="H106" s="9" t="n">
        <v>150000</v>
      </c>
      <c r="I106" s="9" t="n">
        <v>300000</v>
      </c>
      <c r="J106" s="10" t="n">
        <v>300000</v>
      </c>
      <c r="K106" s="10" t="n">
        <v>300</v>
      </c>
      <c r="L106" s="7" t="inlineStr">
        <is>
          <t>2 x 150 (one_step 150k, TTP price) = 300</t>
        </is>
      </c>
      <c r="M106" s="7" t="inlineStr">
        <is>
          <t>1 Step</t>
        </is>
      </c>
      <c r="N106" s="7" t="inlineStr">
        <is>
          <t>1 Step(150k):150;2 Step(150k):150;Instant-Direct(50k):150 (TTP review, unverified)</t>
        </is>
      </c>
      <c r="O106" s="7" t="inlineStr">
        <is>
          <t>review YES x cap 300000 (5 accounts) = 300000</t>
        </is>
      </c>
      <c r="P106" s="7" t="inlineStr">
        <is>
          <t>review site (quantvps/tradetanto: up to 5 challenge-funded accounts combined $300K; instant up to 3 accounts/$300K; TTP 300K)</t>
        </is>
      </c>
      <c r="Q106" s="9" t="n">
        <v>1500000</v>
      </c>
      <c r="R106" s="7" t="inlineStr">
        <is>
          <t>cTrader</t>
        </is>
      </c>
      <c r="S106" s="7" t="inlineStr">
        <is>
          <t>https://pipfarm.com/faq/ ; https://www.quantvps.com/prop-firms/pipfarm ; https://thetrustedprop.com/prop-firms/pipfarm</t>
        </is>
      </c>
    </row>
    <row r="107">
      <c r="A107" s="11" t="n">
        <v>106</v>
      </c>
      <c r="B107" s="11" t="inlineStr">
        <is>
          <t>Propr</t>
        </is>
      </c>
      <c r="C107" s="11" t="inlineStr">
        <is>
          <t>crypto</t>
        </is>
      </c>
      <c r="D107" s="8" t="inlineStr">
        <is>
          <t>OUI</t>
        </is>
      </c>
      <c r="E107" s="8" t="inlineStr">
        <is>
          <t>OUI</t>
        </is>
      </c>
      <c r="F107" s="11" t="inlineStr">
        <is>
          <t>Official rules: 'Copy trading is permitted, including between your own Propr accounts.' FAQ: algos/agents 'Yes, with no restrictions'.</t>
        </is>
      </c>
      <c r="G107" s="11" t="inlineStr"/>
      <c r="H107" s="12" t="n">
        <v>200000</v>
      </c>
      <c r="I107" s="12" t="n">
        <v>300000</v>
      </c>
      <c r="J107" s="10" t="n">
        <v>300000</v>
      </c>
      <c r="K107" s="10" t="n">
        <v>1399</v>
      </c>
      <c r="L107" s="11" t="inlineStr">
        <is>
          <t>1399 (one_step_pro 200k) + 1 x 100k account (price unknown) = 1399+unknown</t>
        </is>
      </c>
      <c r="M107" s="11" t="inlineStr">
        <is>
          <t>1 Step</t>
        </is>
      </c>
      <c r="N107" s="11" t="inlineStr">
        <is>
          <t>1 Step_pro(200k):1399;1 Step_classic(200k):1499;2 Step:unknown (review roya-trading/fortunly; official site JS error)</t>
        </is>
      </c>
      <c r="O107" s="11" t="inlineStr">
        <is>
          <t>official YES x official cap 300000 = 300000</t>
        </is>
      </c>
      <c r="P107" s="11" t="inlineStr">
        <is>
          <t>official stated: rules 'A trader may hold multiple active accounts, up to an aggregate funded balance of $300,000'</t>
        </is>
      </c>
      <c r="Q107" s="11" t="inlineStr"/>
      <c r="R107" s="11" t="inlineStr">
        <is>
          <t>Hyperliquid, Polymarket, Lighter via Propr REST API / SDKs</t>
        </is>
      </c>
      <c r="S107" s="11" t="inlineStr">
        <is>
          <t>https://www.propr.xyz/rules ; https://propr.xyz/faq</t>
        </is>
      </c>
    </row>
    <row r="108">
      <c r="A108" s="7" t="n">
        <v>107</v>
      </c>
      <c r="B108" s="7" t="inlineStr">
        <is>
          <t>The Futures Desk</t>
        </is>
      </c>
      <c r="C108" s="7" t="inlineStr">
        <is>
          <t>Futures</t>
        </is>
      </c>
      <c r="D108" s="8" t="inlineStr">
        <is>
          <t>OUI</t>
        </is>
      </c>
      <c r="E108" s="13" t="inlineStr">
        <is>
          <t>OUI sous conditions</t>
        </is>
      </c>
      <c r="F108" s="7" t="inlineStr">
        <is>
          <t>Review (TTP/saveonpropfirms): copy trading permitted; official site 'Microscalping + Algos Allowed' via ProjectX API; official knowledge base has no copy rule text retrievable.</t>
        </is>
      </c>
      <c r="G108" s="7" t="inlineStr">
        <is>
          <t>2</t>
        </is>
      </c>
      <c r="H108" s="9" t="n">
        <v>150000</v>
      </c>
      <c r="I108" s="9" t="n">
        <v>300000</v>
      </c>
      <c r="J108" s="10" t="n">
        <v>300000</v>
      </c>
      <c r="K108" s="10" t="n">
        <v>1678</v>
      </c>
      <c r="L108" s="7" t="inlineStr">
        <is>
          <t>2 x 839 (one_step_eod 150k) = 1678</t>
        </is>
      </c>
      <c r="M108" s="7" t="inlineStr">
        <is>
          <t>1 Step_eod</t>
        </is>
      </c>
      <c r="N108" s="7" t="inlineStr">
        <is>
          <t>1 Step_eod(150k):839;1 Step_static(150k):1419 (saveonpropfirms review)</t>
        </is>
      </c>
      <c r="O108" s="7" t="inlineStr">
        <is>
          <t>review YES x 2 x 150000 = 300000</t>
        </is>
      </c>
      <c r="P108" s="7" t="inlineStr">
        <is>
          <t>official computed: homepage 'You can have a max of 2 accounts per trader' x 150000 (saveonpropfirms: max allocation $300,000)</t>
        </is>
      </c>
      <c r="Q108" s="7" t="inlineStr"/>
      <c r="R108" s="7" t="inlineStr">
        <is>
          <t>TFD-X (ProjectX web + API); Rithmic (Sierra, Quantower, ATAS, Jigsaw, Bookmap)</t>
        </is>
      </c>
      <c r="S108" s="7" t="inlineStr">
        <is>
          <t>https://thefuturesdesk.com/ ; https://saveonpropfirms.com/prop-firms/the-futures-desk</t>
        </is>
      </c>
    </row>
    <row r="109">
      <c r="A109" s="11" t="n">
        <v>108</v>
      </c>
      <c r="B109" s="11" t="inlineStr">
        <is>
          <t>Tradeify 247</t>
        </is>
      </c>
      <c r="C109" s="11" t="inlineStr">
        <is>
          <t>CFD</t>
        </is>
      </c>
      <c r="D109" s="8" t="inlineStr">
        <is>
          <t>OUI</t>
        </is>
      </c>
      <c r="E109" s="8" t="inlineStr">
        <is>
          <t>OUI</t>
        </is>
      </c>
      <c r="F109" s="11" t="inlineStr">
        <is>
          <t>Official FAQ: 'Yes, copy trading is allowed on Tradeify 247' ('Own the service yourself'); bots allowed if you own the bot; shared bots/signal services banned.</t>
        </is>
      </c>
      <c r="G109" s="11" t="inlineStr">
        <is>
          <t>unlimited (eval)</t>
        </is>
      </c>
      <c r="H109" s="12" t="n">
        <v>100000</v>
      </c>
      <c r="I109" s="12" t="n">
        <v>300000</v>
      </c>
      <c r="J109" s="10" t="n">
        <v>300000</v>
      </c>
      <c r="K109" s="10" t="n">
        <v>2514</v>
      </c>
      <c r="L109" s="11" t="inlineStr">
        <is>
          <t>3 x 838 (one_step 100k) = 2514</t>
        </is>
      </c>
      <c r="M109" s="11" t="inlineStr">
        <is>
          <t>1 Step</t>
        </is>
      </c>
      <c r="N109" s="11" t="inlineStr">
        <is>
          <t>1 Step(100k):838;Instant-Direct(100k):838 (official regular)</t>
        </is>
      </c>
      <c r="O109" s="11" t="inlineStr">
        <is>
          <t>official YES x official cap 300000 = 300000</t>
        </is>
      </c>
      <c r="P109" s="11" t="inlineStr">
        <is>
          <t>official stated: 'Funded accounts are capped at $300,000 in combined account size'; unlimited evaluations</t>
        </is>
      </c>
      <c r="Q109" s="11" t="inlineStr"/>
      <c r="R109" s="11" t="inlineStr">
        <is>
          <t>DXtrade; MT5 (not US); TradingView</t>
        </is>
      </c>
      <c r="S109" s="11" t="inlineStr">
        <is>
          <t>https://help.tradeify247.co/en/articles/13393249-tradeify-247-faq ; https://tradeify247.co/</t>
        </is>
      </c>
    </row>
    <row r="110">
      <c r="A110" s="7" t="n">
        <v>109</v>
      </c>
      <c r="B110" s="7" t="inlineStr">
        <is>
          <t>Tradeify Crypto</t>
        </is>
      </c>
      <c r="C110" s="7" t="inlineStr">
        <is>
          <t>CFD</t>
        </is>
      </c>
      <c r="D110" s="8" t="inlineStr">
        <is>
          <t>OUI</t>
        </is>
      </c>
      <c r="E110" s="8" t="inlineStr">
        <is>
          <t>OUI</t>
        </is>
      </c>
      <c r="F110" s="7" t="inlineStr">
        <is>
          <t>Same product/policy as Tradeify 247: 'Yes, copy trading is allowed'; own bots allowed.</t>
        </is>
      </c>
      <c r="G110" s="7" t="inlineStr">
        <is>
          <t>unlimited (eval)</t>
        </is>
      </c>
      <c r="H110" s="9" t="n">
        <v>100000</v>
      </c>
      <c r="I110" s="9" t="n">
        <v>300000</v>
      </c>
      <c r="J110" s="10" t="n">
        <v>300000</v>
      </c>
      <c r="K110" s="10" t="n">
        <v>2514</v>
      </c>
      <c r="L110" s="7" t="inlineStr">
        <is>
          <t>3 x 838 (one_step 100k) = 2514</t>
        </is>
      </c>
      <c r="M110" s="7" t="inlineStr">
        <is>
          <t>1 Step</t>
        </is>
      </c>
      <c r="N110" s="7" t="inlineStr">
        <is>
          <t>1 Step(100k):838;Instant-Direct(100k):838 (official regular)</t>
        </is>
      </c>
      <c r="O110" s="7" t="inlineStr">
        <is>
          <t>official YES x official cap 300000 = 300000</t>
        </is>
      </c>
      <c r="P110" s="7" t="inlineStr">
        <is>
          <t>official stated (redirects to Tradeify 247): funded accounts capped at $300,000 combined</t>
        </is>
      </c>
      <c r="Q110" s="7" t="inlineStr"/>
      <c r="R110" s="7" t="inlineStr">
        <is>
          <t>DXtrade; MT5 (not US)</t>
        </is>
      </c>
      <c r="S110" s="7" t="inlineStr">
        <is>
          <t>https://help.tradeify247.co/en/articles/13393249-tradeify-247-faq ; https://tradeify247.co/</t>
        </is>
      </c>
    </row>
    <row r="111">
      <c r="A111" s="11" t="n">
        <v>110</v>
      </c>
      <c r="B111" s="11" t="inlineStr">
        <is>
          <t>FOREXIVE</t>
        </is>
      </c>
      <c r="C111" s="11" t="inlineStr">
        <is>
          <t>CFD</t>
        </is>
      </c>
      <c r="D111" s="8" t="inlineStr">
        <is>
          <t>OUI</t>
        </is>
      </c>
      <c r="E111" s="8" t="inlineStr">
        <is>
          <t>OUI</t>
        </is>
      </c>
      <c r="F111" s="11" t="inlineStr">
        <is>
          <t>review site (TTP): 'Allows Copy Trading: Yes' (external copy trading services prohibited; third-party account management, grid, tick scalping restricted); official help center has no EA/copy article</t>
        </is>
      </c>
      <c r="G111" s="11" t="inlineStr"/>
      <c r="H111" s="12" t="n">
        <v>200000</v>
      </c>
      <c r="I111" s="12" t="n">
        <v>250000</v>
      </c>
      <c r="J111" s="10" t="n">
        <v>250000</v>
      </c>
      <c r="K111" s="10" t="n">
        <v>999</v>
      </c>
      <c r="L111" s="11" t="inlineStr">
        <is>
          <t>1 x 999 (two_step 200k) + 1 x two_step 50k (price unknown) = 999+</t>
        </is>
      </c>
      <c r="M111" s="11" t="inlineStr">
        <is>
          <t>2 Step</t>
        </is>
      </c>
      <c r="N111" s="11" t="inlineStr">
        <is>
          <t>1 Step:1099 (200k);2 Step:999 (200k);Instant-Direct:unknown (max 10k) [review site TTP]</t>
        </is>
      </c>
      <c r="O111" s="11">
        <f> 250000 (review-site basis; 200000 + 50000)</f>
        <v/>
      </c>
      <c r="P111" s="11" t="inlineStr">
        <is>
          <t>review site (TTP max capital allocation $250,000)</t>
        </is>
      </c>
      <c r="Q111" s="12" t="n">
        <v>2000000</v>
      </c>
      <c r="R111" s="11" t="inlineStr">
        <is>
          <t>MT5 (official help center); MT4 (TTP); Match-Trader/cTrader 'coming soon'</t>
        </is>
      </c>
      <c r="S111" s="11" t="inlineStr">
        <is>
          <t>https://thetrustedprop.com/prop-firms/forexive (fallback) | https://forexive.com/</t>
        </is>
      </c>
    </row>
    <row r="112">
      <c r="A112" s="7" t="n">
        <v>111</v>
      </c>
      <c r="B112" s="7" t="inlineStr">
        <is>
          <t>Noctorial</t>
        </is>
      </c>
      <c r="C112" s="7" t="inlineStr">
        <is>
          <t>CFD</t>
        </is>
      </c>
      <c r="D112" s="8" t="inlineStr">
        <is>
          <t>OUI</t>
        </is>
      </c>
      <c r="E112" s="15" t="inlineStr">
        <is>
          <t>NON (un seul compte par stratégie)</t>
        </is>
      </c>
      <c r="F112" s="7" t="inlineStr">
        <is>
          <t>Official trading conditions: 'Las herramientas de análisis están permitidas. Las de ejecución no. Cada operación debe ser abierta y cerrada por ti.' -&gt; execution automation (bots/EAs/copiers) NOT permitted at all, contradicting homepage 'Asesores expertos: Permitidos'; 'Account sharing' prohibited.</t>
        </is>
      </c>
      <c r="G112" s="7" t="inlineStr"/>
      <c r="H112" s="9" t="n">
        <v>250000</v>
      </c>
      <c r="I112" s="7" t="inlineStr">
        <is>
          <t>inconnu</t>
        </is>
      </c>
      <c r="J112" s="10" t="n">
        <v>250000</v>
      </c>
      <c r="K112" s="14" t="inlineStr">
        <is>
          <t>inconnu</t>
        </is>
      </c>
      <c r="L112" s="7" t="inlineStr">
        <is>
          <t>unknown</t>
        </is>
      </c>
      <c r="M112" s="7" t="inlineStr">
        <is>
          <t>unknown</t>
        </is>
      </c>
      <c r="N112" s="7" t="inlineStr">
        <is>
          <t>unknown (only 10k 1-step 55.30 EUR visible; 250k price behind payment portal)</t>
        </is>
      </c>
      <c r="O112" s="7" t="inlineStr">
        <is>
          <t>NO -&gt; max single account 250000 (note: a fully automated bot is itself disallowed by official docs)</t>
        </is>
      </c>
      <c r="P112" s="7" t="inlineStr">
        <is>
          <t>unknown (official docs publish no per-trader cap; only 'correlación con otras cuentas' monitored)</t>
        </is>
      </c>
      <c r="Q112" s="7" t="inlineStr"/>
      <c r="R112" s="7" t="inlineStr">
        <is>
          <t>MT5</t>
        </is>
      </c>
      <c r="S112" s="7" t="inlineStr">
        <is>
          <t>https://noctorial.com/docs/condiciones-de-trading ; https://noctorial.com/docs/estrategias-prohibidas ; https://noctorial.com/</t>
        </is>
      </c>
    </row>
    <row r="113">
      <c r="A113" s="11" t="n">
        <v>112</v>
      </c>
      <c r="B113" s="11" t="inlineStr">
        <is>
          <t>Audacity Instant</t>
        </is>
      </c>
      <c r="C113" s="11" t="inlineStr">
        <is>
          <t>CFD</t>
        </is>
      </c>
      <c r="D113" s="8" t="inlineStr">
        <is>
          <t>OUI</t>
        </is>
      </c>
      <c r="E113" s="13" t="inlineStr">
        <is>
          <t>OUI sous conditions</t>
        </is>
      </c>
      <c r="F113" s="11" t="inlineStr">
        <is>
          <t>Same policy as Audacity Capital: own-coded EAs only; copying from others prohibited; cross-account hedging prohibited</t>
        </is>
      </c>
      <c r="G113" s="11" t="inlineStr">
        <is>
          <t>4</t>
        </is>
      </c>
      <c r="H113" s="12" t="n">
        <v>60000</v>
      </c>
      <c r="I113" s="12" t="n">
        <v>240000</v>
      </c>
      <c r="J113" s="10" t="n">
        <v>240000</v>
      </c>
      <c r="K113" s="10" t="n">
        <v>5196</v>
      </c>
      <c r="L113" s="11" t="inlineStr">
        <is>
          <t>4 x 1299 (instant 50k) = 5196 for 200k (60k price unknown)</t>
        </is>
      </c>
      <c r="M113" s="11" t="inlineStr">
        <is>
          <t>Instant-Direct</t>
        </is>
      </c>
      <c r="N113" s="11" t="inlineStr">
        <is>
          <t>Instant-Direct:1299 (50k, TTP; 60k price unknown)</t>
        </is>
      </c>
      <c r="O113" s="11" t="inlineStr">
        <is>
          <t>4 x 60000 = 240000 (official)</t>
        </is>
      </c>
      <c r="P113" s="11" t="inlineStr">
        <is>
          <t>official stated: FTP '$240K maximum per program' (example: 'four 60K Funded Live accounts')</t>
        </is>
      </c>
      <c r="Q113" s="12" t="n">
        <v>2000000</v>
      </c>
      <c r="R113" s="11" t="inlineStr">
        <is>
          <t>MT5; DXtrade</t>
        </is>
      </c>
      <c r="S113" s="11" t="inlineStr">
        <is>
          <t>https://help.audacity.capital/hc/en-gb/articles/31927772033042-What-is-the-max-account-allocation-I-m-allowed-to-have-with-Audacity-Capital</t>
        </is>
      </c>
    </row>
    <row r="114">
      <c r="A114" s="7" t="n">
        <v>113</v>
      </c>
      <c r="B114" s="7" t="inlineStr">
        <is>
          <t>Dolvero</t>
        </is>
      </c>
      <c r="C114" s="7" t="inlineStr">
        <is>
          <t>CFD</t>
        </is>
      </c>
      <c r="D114" s="8" t="inlineStr">
        <is>
          <t>OUI</t>
        </is>
      </c>
      <c r="E114" s="15" t="inlineStr">
        <is>
          <t>NON (un seul compte par stratégie)</t>
        </is>
      </c>
      <c r="F114" s="7" t="inlineStr">
        <is>
          <t>Rules: 'Coordinating trades between accounts - including mirroring positions, splitting risk, or running the same strategy across multiple accounts - is strictly prohibited.' Detection: identical instrument+direction within +/-120s</t>
        </is>
      </c>
      <c r="G114" s="7" t="inlineStr">
        <is>
          <t>3</t>
        </is>
      </c>
      <c r="H114" s="9" t="n">
        <v>200000</v>
      </c>
      <c r="I114" s="9" t="n">
        <v>600000</v>
      </c>
      <c r="J114" s="10" t="n">
        <v>200000</v>
      </c>
      <c r="K114" s="14" t="inlineStr">
        <is>
          <t>inconnu</t>
        </is>
      </c>
      <c r="L114" s="7" t="inlineStr">
        <is>
          <t>unknown</t>
        </is>
      </c>
      <c r="M114" s="7" t="inlineStr">
        <is>
          <t>unknown</t>
        </is>
      </c>
      <c r="N114" s="7" t="inlineStr">
        <is>
          <t>unknown (configurator only; CFD 3k-200k)</t>
        </is>
      </c>
      <c r="O114" s="7" t="inlineStr">
        <is>
          <t>NO -&gt; max single account 200000</t>
        </is>
      </c>
      <c r="P114" s="7" t="inlineStr">
        <is>
          <t>official computed: 'You may operate up to 3 funded accounts simultaneously' x 200000</t>
        </is>
      </c>
      <c r="Q114" s="7" t="inlineStr"/>
      <c r="R114" s="7" t="inlineStr">
        <is>
          <t>MT5; DolveroTrader (browser); Bybit demo via API (crypto)</t>
        </is>
      </c>
      <c r="S114" s="7" t="inlineStr">
        <is>
          <t>https://dolvero.com/rules</t>
        </is>
      </c>
    </row>
    <row r="115">
      <c r="A115" s="11" t="n">
        <v>114</v>
      </c>
      <c r="B115" s="11" t="inlineStr">
        <is>
          <t>Funding Dynasty</t>
        </is>
      </c>
      <c r="C115" s="11" t="inlineStr">
        <is>
          <t>CFD</t>
        </is>
      </c>
      <c r="D115" s="8" t="inlineStr">
        <is>
          <t>OUI</t>
        </is>
      </c>
      <c r="E115" s="15" t="inlineStr">
        <is>
          <t>NON (un seul compte par stratégie)</t>
        </is>
      </c>
      <c r="F115" s="11" t="inlineStr">
        <is>
          <t>Review sites only (official FAQ/T&amp;C pages 404/redirect): TTP field 'Copy Trading Not Allowed'; TTP text: 'Copy trading from other traders' accounts is generally not allowed, and restrictions may also apply between personal accounts.' Official homepage markets EAs as allowed.</t>
        </is>
      </c>
      <c r="G115" s="11" t="inlineStr"/>
      <c r="H115" s="12" t="n">
        <v>200000</v>
      </c>
      <c r="I115" s="12" t="n">
        <v>600000</v>
      </c>
      <c r="J115" s="10" t="n">
        <v>200000</v>
      </c>
      <c r="K115" s="10" t="n">
        <v>979</v>
      </c>
      <c r="L115" s="11" t="inlineStr">
        <is>
          <t>1 x 979 (legacy_challenge 200k) = 979</t>
        </is>
      </c>
      <c r="M115" s="11" t="inlineStr">
        <is>
          <t>legacy_challenge</t>
        </is>
      </c>
      <c r="N115" s="11" t="inlineStr">
        <is>
          <t>Instant-Direct:1656 (200k);legacy_challenge:979 (200k);pay_after_pass:15 upfront + post-pass fee (unknown) [official homepage]</t>
        </is>
      </c>
      <c r="O115" s="11" t="inlineStr">
        <is>
          <t>NO (review site) -&gt; max single account 200000</t>
        </is>
      </c>
      <c r="P115" s="11" t="inlineStr">
        <is>
          <t>ATTENTION plafond via scaling. review site (TTP max allocation $600,000); official homepage only: 'scale across multiple funded accounts with total allocations up to $1,000,000' (scaling)</t>
        </is>
      </c>
      <c r="Q115" s="12" t="n">
        <v>1000000</v>
      </c>
      <c r="R115" s="11" t="inlineStr">
        <is>
          <t>MT5</t>
        </is>
      </c>
      <c r="S115" s="11" t="inlineStr">
        <is>
          <t>https://fundingdynasty.com/ ; https://thetrustedprop.com/prop-firms/funding-dynasty</t>
        </is>
      </c>
    </row>
    <row r="116">
      <c r="A116" s="7" t="n">
        <v>115</v>
      </c>
      <c r="B116" s="7" t="inlineStr">
        <is>
          <t>FundYourFX</t>
        </is>
      </c>
      <c r="C116" s="7" t="inlineStr">
        <is>
          <t>CFD</t>
        </is>
      </c>
      <c r="D116" s="8" t="inlineStr">
        <is>
          <t>OUI</t>
        </is>
      </c>
      <c r="E116" s="15" t="inlineStr">
        <is>
          <t>NON (un seul compte par stratégie)</t>
        </is>
      </c>
      <c r="F116" s="7" t="inlineStr">
        <is>
          <t>Official trading rules: 'No. Copy trading is not allowed. Copy trading includes copying trades across multiple accounts, copying signals and/or getting somebody else to trade your account.' Hedging across accounts not allowed. EAs 'Yes, with restrictions' (no HFT, arbitrage, grid, martingale, tick scalping, signal copying).</t>
        </is>
      </c>
      <c r="G116" s="7" t="inlineStr">
        <is>
          <t>3</t>
        </is>
      </c>
      <c r="H116" s="9" t="n">
        <v>200000</v>
      </c>
      <c r="I116" s="9" t="n">
        <v>600000</v>
      </c>
      <c r="J116" s="10" t="n">
        <v>200000</v>
      </c>
      <c r="K116" s="10" t="n">
        <v>1599</v>
      </c>
      <c r="L116" s="7" t="inlineStr">
        <is>
          <t>1 x 1599 (one_step 200k) = 1599</t>
        </is>
      </c>
      <c r="M116" s="7" t="inlineStr">
        <is>
          <t>1 Step</t>
        </is>
      </c>
      <c r="N116" s="7" t="inlineStr">
        <is>
          <t>Instant-Direct_classic:1599 (200k);Instant-Direct_pro:2499 (200k);1 Step:1599 (200k);2 Step:2499 (200k);pay_after_pass:250 (50k max) [fundedtrading Sep 2026; official regular 50k Instant-Direct classic = 829]</t>
        </is>
      </c>
      <c r="O116" s="7" t="inlineStr">
        <is>
          <t>NO -&gt; max single account 200000</t>
        </is>
      </c>
      <c r="P116" s="7" t="inlineStr">
        <is>
          <t>official computed ('maximum of three active funded accounts' x 200000 max size)</t>
        </is>
      </c>
      <c r="Q116" s="7" t="inlineStr"/>
      <c r="R116" s="7" t="inlineStr">
        <is>
          <t>Match-Trader;Platform 5 (MT5)</t>
        </is>
      </c>
      <c r="S116" s="7" t="inlineStr">
        <is>
          <t>https://fundyourfx.io/faqs/trading-rules-guide/general-trading-rules/ ; https://fundyourfx.io/</t>
        </is>
      </c>
    </row>
    <row r="117">
      <c r="A117" s="11" t="n">
        <v>116</v>
      </c>
      <c r="B117" s="11" t="inlineStr">
        <is>
          <t>Funding Frontier</t>
        </is>
      </c>
      <c r="C117" s="11" t="inlineStr">
        <is>
          <t>CFD</t>
        </is>
      </c>
      <c r="D117" s="8" t="inlineStr">
        <is>
          <t>OUI</t>
        </is>
      </c>
      <c r="E117" s="15" t="inlineStr">
        <is>
          <t>NON (un seul compte par stratégie)</t>
        </is>
      </c>
      <c r="F117" s="11" t="inlineStr">
        <is>
          <t>Review of official rules (fundedtrading): 'No copying (EA or manual) between accounts; account management not allowed; only named holder may trade.' TTP: 'Personal account copy trading is not allowed'. EAs enabled (no martingale/HFT/tick scalping, avg trade &gt; 2 min).</t>
        </is>
      </c>
      <c r="G117" s="11" t="inlineStr">
        <is>
          <t>unlimited within $400k (review)</t>
        </is>
      </c>
      <c r="H117" s="12" t="n">
        <v>200000</v>
      </c>
      <c r="I117" s="12" t="n">
        <v>400000</v>
      </c>
      <c r="J117" s="10" t="n">
        <v>200000</v>
      </c>
      <c r="K117" s="10" t="n">
        <v>699</v>
      </c>
      <c r="L117" s="11" t="inlineStr">
        <is>
          <t>1 x 699 (two_step 100k, largest currently sold) = 699; 200k tier not offered</t>
        </is>
      </c>
      <c r="M117" s="11" t="inlineStr">
        <is>
          <t>2 Step</t>
        </is>
      </c>
      <c r="N117" s="11" t="inlineStr">
        <is>
          <t>Instant-Direct:749 (50k);1 Step:749 (50k);2 Step:699 (100k);3 Step:unknown [fundedtrading Sep 2026; TTP older table: 2 Step 100k 380]</t>
        </is>
      </c>
      <c r="O117" s="11" t="inlineStr">
        <is>
          <t>NO -&gt; max single account 200000 (note: fundedtrading Sep 2026 price table shows no 200k tier currently sold; largest 100k 2-step)</t>
        </is>
      </c>
      <c r="P117" s="11" t="inlineStr">
        <is>
          <t>review site (fundedtrading/TTP: 'Up to $400,000 total; unlimited accounts if combined &lt;= $400K'; official site unreachable)</t>
        </is>
      </c>
      <c r="Q117" s="11" t="inlineStr"/>
      <c r="R117" s="11" t="inlineStr">
        <is>
          <t>MT5;cTrader;Match-Trader</t>
        </is>
      </c>
      <c r="S117" s="11" t="inlineStr">
        <is>
          <t>https://fundedtrading.com/propfirm/funding-frontier/ ; https://thetrustedprop.com/prop-firms/funding-frontier</t>
        </is>
      </c>
    </row>
    <row r="118">
      <c r="A118" s="7" t="n">
        <v>117</v>
      </c>
      <c r="B118" s="7" t="inlineStr">
        <is>
          <t>Hex Funded</t>
        </is>
      </c>
      <c r="C118" s="7" t="inlineStr">
        <is>
          <t>CFD</t>
        </is>
      </c>
      <c r="D118" s="8" t="inlineStr">
        <is>
          <t>OUI</t>
        </is>
      </c>
      <c r="E118" s="15" t="inlineStr">
        <is>
          <t>NON (un seul compte par stratégie)</t>
        </is>
      </c>
      <c r="F118" s="7" t="inlineStr">
        <is>
          <t>Official help: 'Copy trading between multiple unmerged Hex Funded accounts is strictly prohibited'; 'If you hold more than one active account that has not been merged, each account must be traded using a different trading strategy' - identical entries/exits/sizing/timing = hard breach of all affected accounts. Copy trading allowed only between merged accounts, with external own accounts, or evaluation-&gt;funded. EAs and trade copiers allowed if aligned with personal trading.</t>
        </is>
      </c>
      <c r="G118" s="7" t="inlineStr">
        <is>
          <t>unlimited challenges; funded capped $400k</t>
        </is>
      </c>
      <c r="H118" s="9" t="n">
        <v>200000</v>
      </c>
      <c r="I118" s="9" t="n">
        <v>400000</v>
      </c>
      <c r="J118" s="10" t="n">
        <v>200000</v>
      </c>
      <c r="K118" s="10" t="n">
        <v>921</v>
      </c>
      <c r="L118" s="7" t="inlineStr">
        <is>
          <t>1 x 921 (two_step_rapid 200k) = 921</t>
        </is>
      </c>
      <c r="M118" s="7" t="inlineStr">
        <is>
          <t>2 Step_rapid</t>
        </is>
      </c>
      <c r="N118" s="7" t="inlineStr">
        <is>
          <t>Instant-Direct:954 (200k);Instant-Direct_pro:596 (100k);1 Step_rapid:294 (50k);2 Step_rapid:921 (200k) [official homepage regular prices]</t>
        </is>
      </c>
      <c r="O118" s="7" t="inlineStr">
        <is>
          <t>NO -&gt; max single account 200000 (identical strategy permitted only on MERGED accounts; merging may allow one merged account up to the $400k cap)</t>
        </is>
      </c>
      <c r="P118" s="7" t="inlineStr">
        <is>
          <t>official stated (help: '$400,000 in combined active funded allocation is the most you can hold at any one time'; no cap on challenge accounts)</t>
        </is>
      </c>
      <c r="Q118" s="9" t="n">
        <v>1000000</v>
      </c>
      <c r="R118" s="7" t="inlineStr">
        <is>
          <t>Platform 5</t>
        </is>
      </c>
      <c r="S118" s="7" t="inlineStr">
        <is>
          <t>https://intercom.help/hexfunded/en/articles/12930443-is-copy-trading-allowed ; https://intercom.help/hexfunded/en/articles/12930259-how-many-accounts-can-i-have-at-one-time</t>
        </is>
      </c>
    </row>
    <row r="119">
      <c r="A119" s="11" t="n">
        <v>118</v>
      </c>
      <c r="B119" s="11" t="inlineStr">
        <is>
          <t>Titan Capital</t>
        </is>
      </c>
      <c r="C119" s="11" t="inlineStr">
        <is>
          <t>CFD</t>
        </is>
      </c>
      <c r="D119" s="8" t="inlineStr">
        <is>
          <t>OUI</t>
        </is>
      </c>
      <c r="E119" s="13" t="inlineStr">
        <is>
          <t>OUI sous conditions</t>
        </is>
      </c>
      <c r="F119" s="11" t="inlineStr">
        <is>
          <t>Official support: 'Copy Trading: Allowed up to $200,000 for both challenge and funded allocation'; above $200K a 'completely new strategy' trading 'different instruments' is required; trade copiers 'Require separate approval per account'; EAs need pre-approval, own source code; only one Instant account.</t>
        </is>
      </c>
      <c r="G119" s="11" t="inlineStr"/>
      <c r="H119" s="12" t="n">
        <v>200000</v>
      </c>
      <c r="I119" s="12" t="n">
        <v>400000</v>
      </c>
      <c r="J119" s="10" t="n">
        <v>200000</v>
      </c>
      <c r="K119" s="10" t="n">
        <v>69</v>
      </c>
      <c r="L119" s="11" t="inlineStr">
        <is>
          <t>1 x 69 (three_step 200k, TTP price) = 69</t>
        </is>
      </c>
      <c r="M119" s="11" t="inlineStr">
        <is>
          <t>3 Step</t>
        </is>
      </c>
      <c r="N119" s="11" t="inlineStr">
        <is>
          <t>Instant-Direct(50k):79;1 Step(100k):89;2 Step(200k):89;3 Step(200k):69 (TTP review, unverified promo prices)</t>
        </is>
      </c>
      <c r="O119" s="11" t="inlineStr">
        <is>
          <t>official copy cap 200000 (&lt; max allocation 400000) = 200000</t>
        </is>
      </c>
      <c r="P119" s="11" t="inlineStr">
        <is>
          <t>official stated: 'Max Allocation: $400,000'</t>
        </is>
      </c>
      <c r="Q119" s="11" t="inlineStr"/>
      <c r="R119" s="11" t="inlineStr">
        <is>
          <t>MT5; TradeLocker</t>
        </is>
      </c>
      <c r="S119" s="11" t="inlineStr">
        <is>
          <t>https://support.tgmarkets.com/articles/maximum-allocation/ ; https://support.tgmarkets.com/articles/expert-advisors-eas-trade-copiers-policy</t>
        </is>
      </c>
    </row>
    <row r="120">
      <c r="A120" s="7" t="n">
        <v>119</v>
      </c>
      <c r="B120" s="7" t="inlineStr">
        <is>
          <t>Crypto Fund Trader</t>
        </is>
      </c>
      <c r="C120" s="7" t="inlineStr">
        <is>
          <t>CFD</t>
        </is>
      </c>
      <c r="D120" s="8" t="inlineStr">
        <is>
          <t>OUI</t>
        </is>
      </c>
      <c r="E120" s="15" t="inlineStr">
        <is>
          <t>NON (un seul compte par stratégie)</t>
        </is>
      </c>
      <c r="F120" s="7" t="inlineStr">
        <is>
          <t>FAQ: 'Copy trading between Ascend accounts is prohibited'; Break: copying between own Break accounts allowed in evaluation phase only, prohibited in Final Stage; HFT/tick scalping/arbitrage bots prohibited</t>
        </is>
      </c>
      <c r="G120" s="7" t="inlineStr">
        <is>
          <t>5 (Break final stage)</t>
        </is>
      </c>
      <c r="H120" s="9" t="n">
        <v>200000</v>
      </c>
      <c r="I120" s="9" t="n">
        <v>300000</v>
      </c>
      <c r="J120" s="10" t="n">
        <v>200000</v>
      </c>
      <c r="K120" s="10" t="n">
        <v>1798</v>
      </c>
      <c r="L120" s="7" t="inlineStr">
        <is>
          <t>1 x 1798 (one_step 200k) = 1798</t>
        </is>
      </c>
      <c r="M120" s="7" t="inlineStr">
        <is>
          <t>1 Step</t>
        </is>
      </c>
      <c r="N120" s="7" t="inlineStr">
        <is>
          <t>Instant-Direct:475 (10k);1 Step:1798 (200k);2 Step:199 (100k)</t>
        </is>
      </c>
      <c r="O120" s="7" t="inlineStr">
        <is>
          <t>NO in funded stage -&gt; max single account 200000 (1-Step Ascend)</t>
        </is>
      </c>
      <c r="P120" s="7" t="inlineStr">
        <is>
          <t>official stated: 'The maximum simulated funded allocation per user is $300,000.'</t>
        </is>
      </c>
      <c r="Q120" s="9" t="n">
        <v>1280000</v>
      </c>
      <c r="R120" s="7" t="inlineStr">
        <is>
          <t>Match-Trader; MT5; Bybit</t>
        </is>
      </c>
      <c r="S120" s="7" t="inlineStr">
        <is>
          <t>https://cryptofundtrader.com/faq/</t>
        </is>
      </c>
    </row>
    <row r="121">
      <c r="A121" s="11" t="n">
        <v>120</v>
      </c>
      <c r="B121" s="11" t="inlineStr">
        <is>
          <t>FTUK</t>
        </is>
      </c>
      <c r="C121" s="11" t="inlineStr">
        <is>
          <t>CFD</t>
        </is>
      </c>
      <c r="D121" s="8" t="inlineStr">
        <is>
          <t>OUI</t>
        </is>
      </c>
      <c r="E121" s="15" t="inlineStr">
        <is>
          <t>NON (un seul compte par stratégie)</t>
        </is>
      </c>
      <c r="F121" s="11" t="inlineStr">
        <is>
          <t>Official FTUK help (Instant Sim Funding rules): 'Copying between FTUK accounts is not allowed, even if both accounts belong to you.' (copying from external accounts to FTUK allowed); risk-management EAs allowed, HFT/grid/martingale/arbitrage prohibited</t>
        </is>
      </c>
      <c r="G121" s="11" t="inlineStr">
        <is>
          <t>3</t>
        </is>
      </c>
      <c r="H121" s="12" t="n">
        <v>200000</v>
      </c>
      <c r="I121" s="12" t="n">
        <v>300000</v>
      </c>
      <c r="J121" s="10" t="n">
        <v>200000</v>
      </c>
      <c r="K121" s="10" t="n">
        <v>649</v>
      </c>
      <c r="L121" s="11" t="inlineStr">
        <is>
          <t>1 x unknown (one_step 200k); 100k = 649</t>
        </is>
      </c>
      <c r="M121" s="11" t="inlineStr">
        <is>
          <t>1 Step</t>
        </is>
      </c>
      <c r="N121" s="11" t="inlineStr">
        <is>
          <t>Instant-Direct:1499 (100k);1 Step:649 (100k);2 Step:499 (100k); 200k prices unknown [review site TTP]</t>
        </is>
      </c>
      <c r="O121" s="11" t="inlineStr">
        <is>
          <t>NO -&gt; max single account 200000 (Instant / 1-Step)</t>
        </is>
      </c>
      <c r="P121" s="11" t="inlineStr">
        <is>
          <t>review site (TTP: '$300,000 across three active accounts'); official 'how many accounts' article not retrievable</t>
        </is>
      </c>
      <c r="Q121" s="12" t="n">
        <v>6400000</v>
      </c>
      <c r="R121" s="11" t="inlineStr">
        <is>
          <t>MT5;TradeLocker;Match-Trader (official homepage); DXtrade per TTP</t>
        </is>
      </c>
      <c r="S121" s="11" t="inlineStr">
        <is>
          <t>https://faq.ftuk.com/en/articles/12355700-instant-sim-funding-futures-account-rules-overview | https://faq.ftuk.com/en/articles/14364398-is-it-possible-to-use-an-expert-advisor-ea-or-trading-bots</t>
        </is>
      </c>
    </row>
    <row r="122">
      <c r="A122" s="7" t="n">
        <v>121</v>
      </c>
      <c r="B122" s="7" t="inlineStr">
        <is>
          <t>BEM Funding</t>
        </is>
      </c>
      <c r="C122" s="7" t="inlineStr">
        <is>
          <t>CFD</t>
        </is>
      </c>
      <c r="D122" s="8" t="inlineStr">
        <is>
          <t>OUI</t>
        </is>
      </c>
      <c r="E122" s="15" t="inlineStr">
        <is>
          <t>NON (un seul compte par stratégie)</t>
        </is>
      </c>
      <c r="F122" s="7" t="inlineStr">
        <is>
          <t>Prohibited Trading Practices: 'Coordinating trades between multiple accounts, copying trades from other traders, or using or providing signal services that result in identical or near-identical trade execution'; 'Third-party EAs where the trader does not own the source code or where multiple traders execute identical trades are also prohibited'; EA needs own source code + written approval</t>
        </is>
      </c>
      <c r="G122" s="7" t="inlineStr"/>
      <c r="H122" s="9" t="n">
        <v>200000</v>
      </c>
      <c r="I122" s="9" t="n">
        <v>200000</v>
      </c>
      <c r="J122" s="10" t="n">
        <v>200000</v>
      </c>
      <c r="K122" s="10" t="n">
        <v>520</v>
      </c>
      <c r="L122" s="7" t="inlineStr">
        <is>
          <t>1 x unknown (one_step 200k); 100k = 520</t>
        </is>
      </c>
      <c r="M122" s="7" t="inlineStr">
        <is>
          <t>1 Step</t>
        </is>
      </c>
      <c r="N122" s="7" t="inlineStr">
        <is>
          <t>1 Step:unknown (200k; 100k=520 TTP);2 Step:519 (100k Normal, TTP)</t>
        </is>
      </c>
      <c r="O122" s="7" t="inlineStr">
        <is>
          <t>NO -&gt; max single account 200000 (1-Step)</t>
        </is>
      </c>
      <c r="P122" s="7" t="inlineStr">
        <is>
          <t>review site (TheTrustedProp max allocation; official pages silent)</t>
        </is>
      </c>
      <c r="Q122" s="7" t="inlineStr"/>
      <c r="R122" s="7" t="inlineStr">
        <is>
          <t>MT5; cTrader; DXtrade (no EA)</t>
        </is>
      </c>
      <c r="S122" s="7" t="inlineStr">
        <is>
          <t>https://bemfunding.com/prohibited-trading-practices | https://thetrustedprop.com/prop-firms/bem-funding (fallback)</t>
        </is>
      </c>
    </row>
    <row r="123">
      <c r="A123" s="11" t="n">
        <v>122</v>
      </c>
      <c r="B123" s="11" t="inlineStr">
        <is>
          <t>Breakout</t>
        </is>
      </c>
      <c r="C123" s="11" t="inlineStr">
        <is>
          <t>CFD</t>
        </is>
      </c>
      <c r="D123" s="8" t="inlineStr">
        <is>
          <t>OUI</t>
        </is>
      </c>
      <c r="E123" s="13" t="inlineStr">
        <is>
          <t>OUI sous conditions</t>
        </is>
      </c>
      <c r="F123" s="11" t="inlineStr">
        <is>
          <t>review site (TTP): 'Copy trading between own accounts is allowed... Breakout permits it as long as the accounts share your ownership'; algorithmic trading only via BreakoutProp API; conflicting earlier summaries list 'copy trading' as prohibited -&gt; confirm with support</t>
        </is>
      </c>
      <c r="G123" s="11" t="inlineStr"/>
      <c r="H123" s="12" t="n">
        <v>200000</v>
      </c>
      <c r="I123" s="12" t="n">
        <v>200000</v>
      </c>
      <c r="J123" s="10" t="n">
        <v>200000</v>
      </c>
      <c r="K123" s="10" t="n">
        <v>1090</v>
      </c>
      <c r="L123" s="11" t="inlineStr">
        <is>
          <t>1 x 1090 (one_step 200k) = 1090</t>
        </is>
      </c>
      <c r="M123" s="11" t="inlineStr">
        <is>
          <t>1 Step</t>
        </is>
      </c>
      <c r="N123" s="11" t="inlineStr">
        <is>
          <t>1 Step:1090 (Elite Pro 200k);2 Step:899 (100k) [review site TTP]</t>
        </is>
      </c>
      <c r="O123" s="11">
        <f> 200000 (review-site basis; 1 x 200000 1-Step Elite Pro)</f>
        <v/>
      </c>
      <c r="P123" s="11" t="inlineStr">
        <is>
          <t>review site (TTP): 'Maximum allocation per trader is $200,000'; official program-rules page blocked by CAPTCHA</t>
        </is>
      </c>
      <c r="Q123" s="12" t="n">
        <v>2000000</v>
      </c>
      <c r="R123" s="11" t="inlineStr">
        <is>
          <t>Breakout Terminal (proprietary, DXtrade-based) + BreakoutProp API</t>
        </is>
      </c>
      <c r="S123" s="11" t="inlineStr">
        <is>
          <t>https://thetrustedprop.com/prop-firms/breakout-prop (fallback) | https://www.breakoutprop.com/program-rules/</t>
        </is>
      </c>
    </row>
    <row r="124">
      <c r="A124" s="7" t="n">
        <v>123</v>
      </c>
      <c r="B124" s="7" t="inlineStr">
        <is>
          <t>BullRush</t>
        </is>
      </c>
      <c r="C124" s="7" t="inlineStr">
        <is>
          <t>CFD</t>
        </is>
      </c>
      <c r="D124" s="8" t="inlineStr">
        <is>
          <t>OUI</t>
        </is>
      </c>
      <c r="E124" s="15" t="inlineStr">
        <is>
          <t>NON (un seul compte par stratégie)</t>
        </is>
      </c>
      <c r="F124" s="7" t="inlineStr">
        <is>
          <t>review site (TTP): 'Copy Trading: Not allowed'; 'EA Trading: Allowed'; multiple accounts cannot be traded from the same IP</t>
        </is>
      </c>
      <c r="G124" s="7" t="inlineStr"/>
      <c r="H124" s="9" t="n">
        <v>200000</v>
      </c>
      <c r="I124" s="9" t="n">
        <v>200000</v>
      </c>
      <c r="J124" s="10" t="n">
        <v>200000</v>
      </c>
      <c r="K124" s="10" t="n">
        <v>800</v>
      </c>
      <c r="L124" s="7" t="inlineStr">
        <is>
          <t>1 x 800 (two_step 200k) = 800</t>
        </is>
      </c>
      <c r="M124" s="7" t="inlineStr">
        <is>
          <t>2 Step</t>
        </is>
      </c>
      <c r="N124" s="7" t="inlineStr">
        <is>
          <t>2 Step:800 (200k) [review site TTP]</t>
        </is>
      </c>
      <c r="O124" s="7" t="inlineStr">
        <is>
          <t>NO -&gt; max single account 200000 (review-site basis)</t>
        </is>
      </c>
      <c r="P124" s="7" t="inlineStr">
        <is>
          <t>review site (TTP): 'Max Allocation Per Trader: $200,000'</t>
        </is>
      </c>
      <c r="Q124" s="7" t="inlineStr"/>
      <c r="R124" s="7" t="inlineStr">
        <is>
          <t>cTrader; Match-Trader</t>
        </is>
      </c>
      <c r="S124" s="7" t="inlineStr">
        <is>
          <t>https://thetrustedprop.com/prop-firms/bullrush (fallback) | https://bullrush.com/</t>
        </is>
      </c>
    </row>
    <row r="125">
      <c r="A125" s="11" t="n">
        <v>124</v>
      </c>
      <c r="B125" s="11" t="inlineStr">
        <is>
          <t>City Traders Imperium</t>
        </is>
      </c>
      <c r="C125" s="11" t="inlineStr">
        <is>
          <t>CFD</t>
        </is>
      </c>
      <c r="D125" s="8" t="inlineStr">
        <is>
          <t>OUI</t>
        </is>
      </c>
      <c r="E125" s="13" t="inlineStr">
        <is>
          <t>OUI sous conditions</t>
        </is>
      </c>
      <c r="F125" s="11" t="inlineStr">
        <is>
          <t>review sites: copy trading allowed only from an account you own, proof/statement of source account required; official: 2-Step/Instant/Direct require owning EA source code, 1-Step any EA</t>
        </is>
      </c>
      <c r="G125" s="11" t="inlineStr">
        <is>
          <t>2</t>
        </is>
      </c>
      <c r="H125" s="12" t="n">
        <v>100000</v>
      </c>
      <c r="I125" s="12" t="n">
        <v>200000</v>
      </c>
      <c r="J125" s="10" t="n">
        <v>200000</v>
      </c>
      <c r="K125" s="10" t="n">
        <v>898</v>
      </c>
      <c r="L125" s="11" t="inlineStr">
        <is>
          <t>2 x 449 (one_step 100k) = 898</t>
        </is>
      </c>
      <c r="M125" s="11" t="inlineStr">
        <is>
          <t>1 Step</t>
        </is>
      </c>
      <c r="N125" s="11" t="inlineStr">
        <is>
          <t>1 Step:449 (100k);2 Step:549 (100k);Instant-Direct:1599 (80k);direct:3999 (80k)</t>
        </is>
      </c>
      <c r="O125" s="11" t="inlineStr">
        <is>
          <t>2 x 100000 = 200000 (review-site basis)</t>
        </is>
      </c>
      <c r="P125" s="11" t="inlineStr">
        <is>
          <t>review site computed (max 2 funded accounts x 100000 largest 1-Step/2-Step; official FAQ page 404)</t>
        </is>
      </c>
      <c r="Q125" s="12" t="n">
        <v>4000000</v>
      </c>
      <c r="R125" s="11" t="inlineStr">
        <is>
          <t>MT5; Match-Trader</t>
        </is>
      </c>
      <c r="S125" s="11" t="inlineStr">
        <is>
          <t>https://citytradersimperium.com/ | https://citytradersimperium.com/eas-on-cti-1-step-challenge-whats-allowed/ | https://tradingfunder.com/city-traders-imperium-rules/ (fallback)</t>
        </is>
      </c>
    </row>
    <row r="126">
      <c r="A126" s="7" t="n">
        <v>125</v>
      </c>
      <c r="B126" s="7" t="inlineStr">
        <is>
          <t>Cointracts</t>
        </is>
      </c>
      <c r="C126" s="7" t="inlineStr">
        <is>
          <t>CFD</t>
        </is>
      </c>
      <c r="D126" s="8" t="inlineStr">
        <is>
          <t>OUI</t>
        </is>
      </c>
      <c r="E126" s="8" t="inlineStr">
        <is>
          <t>OUI</t>
        </is>
      </c>
      <c r="F126" s="7" t="inlineStr">
        <is>
          <t>FAQ: 'Yes - EA, algorithmic, and copy trading are allowed. You are responsible for all activity generated by these tools'; one registered identity</t>
        </is>
      </c>
      <c r="G126" s="7" t="inlineStr">
        <is>
          <t>2</t>
        </is>
      </c>
      <c r="H126" s="9" t="n">
        <v>100000</v>
      </c>
      <c r="I126" s="9" t="n">
        <v>200000</v>
      </c>
      <c r="J126" s="10" t="n">
        <v>200000</v>
      </c>
      <c r="K126" s="14" t="inlineStr">
        <is>
          <t>inconnu</t>
        </is>
      </c>
      <c r="L126" s="7" t="inlineStr">
        <is>
          <t>unknown</t>
        </is>
      </c>
      <c r="M126" s="7" t="inlineStr">
        <is>
          <t>unknown</t>
        </is>
      </c>
      <c r="N126" s="7" t="inlineStr">
        <is>
          <t>1 Step:unknown (100k);2 Step:unknown (100k) (prices not displayed)</t>
        </is>
      </c>
      <c r="O126" s="7" t="inlineStr">
        <is>
          <t>2 x 100000 = 200000 (official computed)</t>
        </is>
      </c>
      <c r="P126" s="7" t="inlineStr">
        <is>
          <t>official computed: 'one Funded Account per account type may be active at a time' x 2 types (1-Step, 2-Step) x 100000</t>
        </is>
      </c>
      <c r="Q126" s="7" t="inlineStr"/>
      <c r="R126" s="7" t="inlineStr">
        <is>
          <t>proprietary crypto platform</t>
        </is>
      </c>
      <c r="S126" s="7" t="inlineStr">
        <is>
          <t>https://www.cointracts.com/frequently-asked-questions/</t>
        </is>
      </c>
    </row>
    <row r="127">
      <c r="A127" s="11" t="n">
        <v>126</v>
      </c>
      <c r="B127" s="11" t="inlineStr">
        <is>
          <t>Exclusive Funded Programme</t>
        </is>
      </c>
      <c r="C127" s="11" t="inlineStr">
        <is>
          <t>CFD</t>
        </is>
      </c>
      <c r="D127" s="8" t="inlineStr">
        <is>
          <t>OUI</t>
        </is>
      </c>
      <c r="E127" s="8" t="inlineStr">
        <is>
          <t>OUI</t>
        </is>
      </c>
      <c r="F127" s="11" t="inlineStr">
        <is>
          <t>review site (TTP): 'Copy Trading Is Supported' on personal accounts; 'Copying external signals is prohibited'; EAs allowed but not arbitrage-based; official page blocked by CAPTCHA</t>
        </is>
      </c>
      <c r="G127" s="11" t="inlineStr"/>
      <c r="H127" s="12" t="n">
        <v>200000</v>
      </c>
      <c r="I127" s="12" t="n">
        <v>200000</v>
      </c>
      <c r="J127" s="10" t="n">
        <v>200000</v>
      </c>
      <c r="K127" s="10" t="n">
        <v>999</v>
      </c>
      <c r="L127" s="11" t="inlineStr">
        <is>
          <t>1 x 999 (two_step 200k) = 999</t>
        </is>
      </c>
      <c r="M127" s="11" t="inlineStr">
        <is>
          <t>2 Step</t>
        </is>
      </c>
      <c r="N127" s="11" t="inlineStr">
        <is>
          <t>1 Step:1199 (Elite 200k);2 Step:999 (Pro 200k) [review site TTP]</t>
        </is>
      </c>
      <c r="O127" s="11">
        <f> 200000 (review-site basis; 1 x 200000)</f>
        <v/>
      </c>
      <c r="P127" s="11" t="inlineStr">
        <is>
          <t>review site (TTP): '$200,000 is the limit on the funded account cap'; 'no scaling plan'</t>
        </is>
      </c>
      <c r="Q127" s="11" t="inlineStr"/>
      <c r="R127" s="11" t="inlineStr">
        <is>
          <t>MT5 only</t>
        </is>
      </c>
      <c r="S127" s="11" t="inlineStr">
        <is>
          <t>https://thetrustedprop.com/prop-firms/exclusive-markets (fallback) | https://www.exclusivemarkets.com/funded-programme</t>
        </is>
      </c>
    </row>
    <row r="128">
      <c r="A128" s="7" t="n">
        <v>127</v>
      </c>
      <c r="B128" s="7" t="inlineStr">
        <is>
          <t>Funded Trading Plus</t>
        </is>
      </c>
      <c r="C128" s="7" t="inlineStr">
        <is>
          <t>CFD + Futures</t>
        </is>
      </c>
      <c r="D128" s="8" t="inlineStr">
        <is>
          <t>OUI</t>
        </is>
      </c>
      <c r="E128" s="15" t="inlineStr">
        <is>
          <t>NON (un seul compte par stratégie)</t>
        </is>
      </c>
      <c r="F128" s="7" t="inlineStr">
        <is>
          <t>Help: 'does not permit copy trading of any kind across accounts ... this also includes having the same positions on the same market in the same direction open at the same time across more than one account'; EAs/algos/bots allowed otherwise (not on DXtrade)</t>
        </is>
      </c>
      <c r="G128" s="7" t="inlineStr"/>
      <c r="H128" s="9" t="n">
        <v>200000</v>
      </c>
      <c r="I128" s="9" t="n">
        <v>200000</v>
      </c>
      <c r="J128" s="10" t="n">
        <v>200000</v>
      </c>
      <c r="K128" s="10" t="n">
        <v>999</v>
      </c>
      <c r="L128" s="7" t="inlineStr">
        <is>
          <t>1 x 999 (one_step 200k) = 999</t>
        </is>
      </c>
      <c r="M128" s="7" t="inlineStr">
        <is>
          <t>1 Step</t>
        </is>
      </c>
      <c r="N128" s="7" t="inlineStr">
        <is>
          <t>1 Step:999 (200k);2 Step:549 (100k);Instant-Direct:4499 (100k) [review site TTP]</t>
        </is>
      </c>
      <c r="O128" s="7" t="inlineStr">
        <is>
          <t>NO -&gt; max single account 200000 (1-Step Express)</t>
        </is>
      </c>
      <c r="P128" s="7" t="inlineStr">
        <is>
          <t>official stated: 'Maximum Allocation across all challenge accounts is $200,000 in Simulated Funding'; Instant Program 'no hard limit'</t>
        </is>
      </c>
      <c r="Q128" s="7" t="inlineStr"/>
      <c r="R128" s="7" t="inlineStr">
        <is>
          <t>MT5;cTrader;Match-Trader;DXtrade (no EAs)</t>
        </is>
      </c>
      <c r="S128" s="7" t="inlineStr">
        <is>
          <t>https://help.fundedtradingplus.com/copy-trading-is-prohibited/ | https://help.fundedtradingplus.com/amount-under-managementaumhow-many-accounts-can-i-have/</t>
        </is>
      </c>
    </row>
    <row r="129">
      <c r="A129" s="11" t="n">
        <v>128</v>
      </c>
      <c r="B129" s="11" t="inlineStr">
        <is>
          <t>FunderPro</t>
        </is>
      </c>
      <c r="C129" s="11" t="inlineStr">
        <is>
          <t>CFD</t>
        </is>
      </c>
      <c r="D129" s="8" t="inlineStr">
        <is>
          <t>OUI</t>
        </is>
      </c>
      <c r="E129" s="8" t="inlineStr">
        <is>
          <t>OUI</t>
        </is>
      </c>
      <c r="F129" s="11" t="inlineStr">
        <is>
          <t>Official: 'Is copytrading allowed? Yes, but only between your own accounts'; copying between different users / third-party mirroring prohibited. EAs allowed if trader-owned/transparent (must own source code); rented/black-box EAs banned.</t>
        </is>
      </c>
      <c r="G129" s="11" t="inlineStr">
        <is>
          <t>unlimited within $200k</t>
        </is>
      </c>
      <c r="H129" s="12" t="n">
        <v>200000</v>
      </c>
      <c r="I129" s="12" t="n">
        <v>200000</v>
      </c>
      <c r="J129" s="10" t="n">
        <v>200000</v>
      </c>
      <c r="K129" s="10" t="n">
        <v>989</v>
      </c>
      <c r="L129" s="11" t="inlineStr">
        <is>
          <t>1 x 989 (one_step 200k) = 989</t>
        </is>
      </c>
      <c r="M129" s="11" t="inlineStr">
        <is>
          <t>1 Step</t>
        </is>
      </c>
      <c r="N129" s="11" t="inlineStr">
        <is>
          <t>1 Step:989 (200k);2 Step_classic:989 (200k; official homepage shows 539 'processed with 1st reward');2 Step_pro:1319 (200k);Instant-Direct:unknown (100k, from 79) [TTP/fundedtrading]</t>
        </is>
      </c>
      <c r="O129" s="11">
        <f> max_cumulative 200000</f>
        <v/>
      </c>
      <c r="P129" s="11" t="inlineStr">
        <is>
          <t>official stated ('You can manage up to $200K in combined starting capital'; mix and match freely)</t>
        </is>
      </c>
      <c r="Q129" s="12" t="n">
        <v>5000000</v>
      </c>
      <c r="R129" s="11" t="inlineStr">
        <is>
          <t>MT5;cTrader;TradeLocker</t>
        </is>
      </c>
      <c r="S129" s="11" t="inlineStr">
        <is>
          <t>https://support.funderpro.com/en/articles/378022-is-copy-trading-allowed ; https://support.funderpro.com/en/articles/377857-what-is-the-maximum-trading-capital-i-can-access-with-funderpro</t>
        </is>
      </c>
    </row>
    <row r="130">
      <c r="A130" s="7" t="n">
        <v>129</v>
      </c>
      <c r="B130" s="7" t="inlineStr">
        <is>
          <t>Funding Your Trades</t>
        </is>
      </c>
      <c r="C130" s="7" t="inlineStr">
        <is>
          <t>CFD</t>
        </is>
      </c>
      <c r="D130" s="13" t="inlineStr">
        <is>
          <t>OUI sur certains comptes</t>
        </is>
      </c>
      <c r="E130" s="15" t="inlineStr">
        <is>
          <t>NON (un seul compte par stratégie)</t>
        </is>
      </c>
      <c r="F130" s="7" t="inlineStr">
        <is>
          <t>Official General Guidelines: 'Copy trading or third-party account management without prior written consent' is prohibited. Official Instant Funding rules: 'The use of Expert Advisors (EAs) and trade copiers is not allowed'; 'Copying positions between multiple client accounts under our platform is strictly forbidden'. Homepage: EA/Bot trading 'Allowed (challenge only)'. Written consent could open own-account copying on challenge models.</t>
        </is>
      </c>
      <c r="G130" s="7" t="inlineStr"/>
      <c r="H130" s="9" t="n">
        <v>200000</v>
      </c>
      <c r="I130" s="9" t="n">
        <v>200000</v>
      </c>
      <c r="J130" s="10" t="n">
        <v>200000</v>
      </c>
      <c r="K130" s="10" t="n">
        <v>459</v>
      </c>
      <c r="L130" s="7" t="inlineStr">
        <is>
          <t>1 x two_step 200k (price not retrieved; 100k prime = 459) = unknown</t>
        </is>
      </c>
      <c r="M130" s="7" t="inlineStr">
        <is>
          <t>2 Step</t>
        </is>
      </c>
      <c r="N130" s="7" t="inlineStr">
        <is>
          <t>2 Step_prime:459 (100k, official configurator);Instant-Direct:unknown;1 Step:unknown;200k prices not retrieved</t>
        </is>
      </c>
      <c r="O130" s="7" t="inlineStr">
        <is>
          <t>NO -&gt; max single account 200000 (bots not allowed on funded/instant; copying between own accounts requires prior written consent)</t>
        </is>
      </c>
      <c r="P130" s="7" t="inlineStr">
        <is>
          <t>review site (TTP); official pages silent on total allocation</t>
        </is>
      </c>
      <c r="Q130" s="7" t="inlineStr"/>
      <c r="R130" s="7" t="inlineStr">
        <is>
          <t>Match-Trader;Platform 5</t>
        </is>
      </c>
      <c r="S130" s="7" t="inlineStr">
        <is>
          <t>https://intercom.help/funding-your-trades/en/articles/12941830-general-guidelines-prohibited-usage ; https://intercom.help/funding-your-trades/en/articles/14587361-instant-funding</t>
        </is>
      </c>
    </row>
    <row r="131">
      <c r="A131" s="11" t="n">
        <v>130</v>
      </c>
      <c r="B131" s="11" t="inlineStr">
        <is>
          <t>HyroTrader</t>
        </is>
      </c>
      <c r="C131" s="11" t="inlineStr">
        <is>
          <t>CFD</t>
        </is>
      </c>
      <c r="D131" s="8" t="inlineStr">
        <is>
          <t>OUI</t>
        </is>
      </c>
      <c r="E131" s="13" t="inlineStr">
        <is>
          <t>OUI sous conditions</t>
        </is>
      </c>
      <c r="F131" s="11" t="inlineStr">
        <is>
          <t>Official FAQ: during the challenge 'only custom bots are allowed'; funded via Bybit sub-account. TTP: copy trading 'Only allowed from your own accounts; not from other traders' (official copy-trading article not retrievable; TTP field says 'Copy Trading Not Allowed' - conflicting).</t>
        </is>
      </c>
      <c r="G131" s="11" t="inlineStr">
        <is>
          <t>unlimited within caps</t>
        </is>
      </c>
      <c r="H131" s="12" t="n">
        <v>200000</v>
      </c>
      <c r="I131" s="12" t="n">
        <v>200000</v>
      </c>
      <c r="J131" s="10" t="n">
        <v>200000</v>
      </c>
      <c r="K131" s="10" t="n">
        <v>969</v>
      </c>
      <c r="L131" s="11" t="inlineStr">
        <is>
          <t>1 x 969 (one_step 200k) = 969</t>
        </is>
      </c>
      <c r="M131" s="11" t="inlineStr">
        <is>
          <t>1 Step</t>
        </is>
      </c>
      <c r="N131" s="11" t="inlineStr">
        <is>
          <t>1 Step:969 (200k);2 Step:969 (200k) [official homepage]</t>
        </is>
      </c>
      <c r="O131" s="11">
        <f> funded cap 200000 (own-account copying per review; single 200k account also possible)</f>
        <v/>
      </c>
      <c r="P131" s="11" t="inlineStr">
        <is>
          <t>official stated (FAQ: total allocation across funded accounts may not exceed $200,000; challenge+verification up to $400,000)</t>
        </is>
      </c>
      <c r="Q131" s="11" t="inlineStr"/>
      <c r="R131" s="11" t="inlineStr">
        <is>
          <t>Bybit (API);Tealstreet;Cleo</t>
        </is>
      </c>
      <c r="S131" s="11" t="inlineStr">
        <is>
          <t>https://www.hyrotrader.com/faq/orders-billing-taxes/how-many-accounts-can-i-have/ ; https://thetrustedprop.com/prop-firms/hyrotrader</t>
        </is>
      </c>
    </row>
    <row r="132">
      <c r="A132" s="7" t="n">
        <v>131</v>
      </c>
      <c r="B132" s="7" t="inlineStr">
        <is>
          <t>Mubite</t>
        </is>
      </c>
      <c r="C132" s="7" t="inlineStr">
        <is>
          <t>crypto</t>
        </is>
      </c>
      <c r="D132" s="8" t="inlineStr">
        <is>
          <t>OUI</t>
        </is>
      </c>
      <c r="E132" s="15" t="inlineStr">
        <is>
          <t>NON (un seul compte par stratégie)</t>
        </is>
      </c>
      <c r="F132" s="7" t="inlineStr">
        <is>
          <t>Review sites only (official FAQ answers not retrievable): fundedprophub: 'Copy trading is not allowed on any account type'; 'EAs and custom bots are allowed' (no latency/price-delay exploitation). TTP field: Copy Trading Not Allowed.</t>
        </is>
      </c>
      <c r="G132" s="7" t="inlineStr"/>
      <c r="H132" s="9" t="n">
        <v>200000</v>
      </c>
      <c r="I132" s="9" t="n">
        <v>200000</v>
      </c>
      <c r="J132" s="10" t="n">
        <v>200000</v>
      </c>
      <c r="K132" s="10" t="n">
        <v>1099</v>
      </c>
      <c r="L132" s="7" t="inlineStr">
        <is>
          <t>1 x 1099 (two_step 200k) = 1099</t>
        </is>
      </c>
      <c r="M132" s="7" t="inlineStr">
        <is>
          <t>2 Step</t>
        </is>
      </c>
      <c r="N132" s="7" t="inlineStr">
        <is>
          <t>2 Step:1099 (200k, official challenge-prices);1 Step:1199 (200k, TTP);Instant-Direct:4999 (100k, TTP)</t>
        </is>
      </c>
      <c r="O132" s="7" t="inlineStr">
        <is>
          <t>NO -&gt; max single account 200000</t>
        </is>
      </c>
      <c r="P132" s="7" t="inlineStr">
        <is>
          <t>official homepage 'maximum simulated capital $200K' (single account); TTP max allocation 200k</t>
        </is>
      </c>
      <c r="Q132" s="7" t="inlineStr"/>
      <c r="R132" s="7" t="inlineStr">
        <is>
          <t>Bybit</t>
        </is>
      </c>
      <c r="S132" s="7" t="inlineStr">
        <is>
          <t>https://mubite.com/en/frequently-asked-questions ; https://www.fundedprophub.com/pages/AllPropFirms/crypto/mubite.html ; https://thetrustedprop.com/prop-firms/mubite</t>
        </is>
      </c>
    </row>
    <row r="133">
      <c r="A133" s="11" t="n">
        <v>132</v>
      </c>
      <c r="B133" s="11" t="inlineStr">
        <is>
          <t>NYS Markets</t>
        </is>
      </c>
      <c r="C133" s="11" t="inlineStr">
        <is>
          <t>CFD + Futures</t>
        </is>
      </c>
      <c r="D133" s="8" t="inlineStr">
        <is>
          <t>OUI</t>
        </is>
      </c>
      <c r="E133" s="13" t="inlineStr">
        <is>
          <t>OUI sous conditions</t>
        </is>
      </c>
      <c r="F133" s="11" t="inlineStr">
        <is>
          <t>Review (fundedtrading/propfirmroom): 'copy trading only between own NYS accounts; not allowed with external users'; 'EA &amp; automated allowed'; HFT/hedging/martingale/arbitrage banned. Official terms not retrievable.</t>
        </is>
      </c>
      <c r="G133" s="11" t="inlineStr"/>
      <c r="H133" s="12" t="n">
        <v>200000</v>
      </c>
      <c r="I133" s="12" t="n">
        <v>200000</v>
      </c>
      <c r="J133" s="10" t="n">
        <v>200000</v>
      </c>
      <c r="K133" s="10" t="n">
        <v>998</v>
      </c>
      <c r="L133" s="11" t="inlineStr">
        <is>
          <t>1 x 998 (two_step 200k) = 998</t>
        </is>
      </c>
      <c r="M133" s="11" t="inlineStr">
        <is>
          <t>2 Step</t>
        </is>
      </c>
      <c r="N133" s="11" t="inlineStr">
        <is>
          <t>2 Step(200k):998 (official pricing page); Instant-Direct/1 Step:unknown</t>
        </is>
      </c>
      <c r="O133" s="11" t="inlineStr">
        <is>
          <t>review YES x review cap 200000 = 200000 (= max single)</t>
        </is>
      </c>
      <c r="P133" s="11" t="inlineStr">
        <is>
          <t>review site (propfirmroom/fundedtrading: max total allocation $200K per trader; official pages JS-only)</t>
        </is>
      </c>
      <c r="Q133" s="11" t="inlineStr"/>
      <c r="R133" s="11" t="inlineStr">
        <is>
          <t>Match-Trader, TradingView, MT5 ('Platform 5'), Quantower (futures)</t>
        </is>
      </c>
      <c r="S133" s="11" t="inlineStr">
        <is>
          <t>https://fundedtrading.com/propfirm/nys-markets/ ; https://propfirmroom.com/nys-markets-review/ ; https://nysmarkets.com/pricing</t>
        </is>
      </c>
    </row>
    <row r="134">
      <c r="A134" s="7" t="n">
        <v>133</v>
      </c>
      <c r="B134" s="7" t="inlineStr">
        <is>
          <t>The Prop Game</t>
        </is>
      </c>
      <c r="C134" s="7" t="inlineStr">
        <is>
          <t>CFD</t>
        </is>
      </c>
      <c r="D134" s="8" t="inlineStr">
        <is>
          <t>OUI</t>
        </is>
      </c>
      <c r="E134" s="8" t="inlineStr">
        <is>
          <t>OUI</t>
        </is>
      </c>
      <c r="F134" s="7" t="inlineStr">
        <is>
          <t>TTP review: copy trading permitted across all account types; EAs supported; HFT banned. Official site unreachable.</t>
        </is>
      </c>
      <c r="G134" s="7" t="inlineStr"/>
      <c r="H134" s="9" t="n">
        <v>200000</v>
      </c>
      <c r="I134" s="9" t="n">
        <v>200000</v>
      </c>
      <c r="J134" s="10" t="n">
        <v>200000</v>
      </c>
      <c r="K134" s="10" t="n">
        <v>239</v>
      </c>
      <c r="L134" s="7" t="inlineStr">
        <is>
          <t>1 x 239 (trade_now_pay_later 200k) = 239</t>
        </is>
      </c>
      <c r="M134" s="7" t="inlineStr">
        <is>
          <t>trade_now_pay_later</t>
        </is>
      </c>
      <c r="N134" s="7" t="inlineStr">
        <is>
          <t>Instant-Direct_20split(200k):1371;Instant-Direct_40split(200k):1868;trade_now_pay_later(200k):239;3 Step(100k):373 (TTP review)</t>
        </is>
      </c>
      <c r="O134" s="7" t="inlineStr">
        <is>
          <t>review YES x review cap 200000 = 200000</t>
        </is>
      </c>
      <c r="P134" s="7" t="inlineStr">
        <is>
          <t>review site (TTP: Max Allocation $200K; official site not retrievable)</t>
        </is>
      </c>
      <c r="Q134" s="7" t="inlineStr"/>
      <c r="R134" s="7" t="inlineStr">
        <is>
          <t>MT5</t>
        </is>
      </c>
      <c r="S134" s="7" t="inlineStr">
        <is>
          <t>https://thetrustedprop.com/prop-firms/the-prop-game ; https://www.thepropgame.com/</t>
        </is>
      </c>
    </row>
    <row r="135">
      <c r="A135" s="11" t="n">
        <v>134</v>
      </c>
      <c r="B135" s="11" t="inlineStr">
        <is>
          <t>TradersEdgeFX</t>
        </is>
      </c>
      <c r="C135" s="11" t="inlineStr">
        <is>
          <t>CFD</t>
        </is>
      </c>
      <c r="D135" s="8" t="inlineStr">
        <is>
          <t>OUI</t>
        </is>
      </c>
      <c r="E135" s="13" t="inlineStr">
        <is>
          <t>OUI sous conditions</t>
        </is>
      </c>
      <c r="F135" s="11" t="inlineStr">
        <is>
          <t>Official homepage FAQ on copy trading: 'Only your own accounts, no signals or acct mgmt allowed'; review (firmfunded): copy between accounts under same name allowed, lot size &lt;= 300% of smallest lot.</t>
        </is>
      </c>
      <c r="G135" s="11" t="inlineStr"/>
      <c r="H135" s="12" t="n">
        <v>200000</v>
      </c>
      <c r="I135" s="12" t="n">
        <v>200000</v>
      </c>
      <c r="J135" s="10" t="n">
        <v>200000</v>
      </c>
      <c r="K135" s="10" t="n">
        <v>899</v>
      </c>
      <c r="L135" s="11" t="inlineStr">
        <is>
          <t>1 x 899 (two_step 200k) = 899</t>
        </is>
      </c>
      <c r="M135" s="11" t="inlineStr">
        <is>
          <t>2 Step</t>
        </is>
      </c>
      <c r="N135" s="11" t="inlineStr">
        <is>
          <t>2 Step(200k):899;1 Step(200k):1299;hft(200k):1799;Instant-Direct(100k):1299 (official)</t>
        </is>
      </c>
      <c r="O135" s="11" t="inlineStr">
        <is>
          <t>official YES x cap 200000 = 200000 (= max single)</t>
        </is>
      </c>
      <c r="P135" s="11" t="inlineStr">
        <is>
          <t>review site (TTP) + official homepage 'manage up to $200,000 in simulated trading funds'</t>
        </is>
      </c>
      <c r="Q135" s="12" t="n">
        <v>200000</v>
      </c>
      <c r="R135" s="11" t="inlineStr">
        <is>
          <t>unknown (not stated)</t>
        </is>
      </c>
      <c r="S135" s="11" t="inlineStr">
        <is>
          <t>https://tradersedgefx.com/ ; https://firmfunded.com/prop-trading/tradersedgefx/</t>
        </is>
      </c>
    </row>
    <row r="136">
      <c r="A136" s="7" t="n">
        <v>135</v>
      </c>
      <c r="B136" s="7" t="inlineStr">
        <is>
          <t>Velotrade</t>
        </is>
      </c>
      <c r="C136" s="7" t="inlineStr">
        <is>
          <t>CFD</t>
        </is>
      </c>
      <c r="D136" s="8" t="inlineStr">
        <is>
          <t>OUI</t>
        </is>
      </c>
      <c r="E136" s="13" t="inlineStr">
        <is>
          <t>OUI sous conditions</t>
        </is>
      </c>
      <c r="F136" s="7" t="inlineStr">
        <is>
          <t>Official T&amp;C 8.2(h) prohibits 'Copy trading between accounts: Replicating trades between your accounts or with other users to manipulate outcomes' and cross-account hedging; official blog: 'current rules permit mirroring between a trader's own accounts'; full API/algo allowed on every account.</t>
        </is>
      </c>
      <c r="G136" s="7" t="inlineStr"/>
      <c r="H136" s="9" t="n">
        <v>200000</v>
      </c>
      <c r="I136" s="9" t="n">
        <v>200000</v>
      </c>
      <c r="J136" s="10" t="n">
        <v>200000</v>
      </c>
      <c r="K136" s="10" t="n">
        <v>40</v>
      </c>
      <c r="L136" s="7" t="inlineStr">
        <is>
          <t>1 x 40 (one_step_pro 200k) = 40</t>
        </is>
      </c>
      <c r="M136" s="7" t="inlineStr">
        <is>
          <t>1 Step_pro</t>
        </is>
      </c>
      <c r="N136" s="7" t="inlineStr">
        <is>
          <t>1 Step_pro(200k):40 (official homepage, unverified); 2 Step(200k):unknown</t>
        </is>
      </c>
      <c r="O136" s="7" t="inlineStr">
        <is>
          <t>official YES (non-manipulative) x official cap 200000 = 200000 (= max single)</t>
        </is>
      </c>
      <c r="P136" s="7" t="inlineStr">
        <is>
          <t>official stated: T&amp;C 'you may hold more than one Challenge or Funded Account at the same time, provided the combined funded capital does not exceed USD 200,000'</t>
        </is>
      </c>
      <c r="Q136" s="7" t="inlineStr"/>
      <c r="R136" s="7" t="inlineStr">
        <is>
          <t>cTrader; DXtrade; direct API</t>
        </is>
      </c>
      <c r="S136" s="7" t="inlineStr">
        <is>
          <t>https://velotrade.com/terms ; https://velotrade.com/blog/prop-firm-rules-explained ; https://velotrade.com/</t>
        </is>
      </c>
    </row>
    <row r="137">
      <c r="A137" s="11" t="n">
        <v>136</v>
      </c>
      <c r="B137" s="11" t="inlineStr">
        <is>
          <t>AIFO</t>
        </is>
      </c>
      <c r="C137" s="11" t="inlineStr">
        <is>
          <t>CFD</t>
        </is>
      </c>
      <c r="D137" s="13" t="inlineStr">
        <is>
          <t>OUI sur certains comptes</t>
        </is>
      </c>
      <c r="E137" s="15" t="inlineStr">
        <is>
          <t>NON (un seul compte par stratégie)</t>
        </is>
      </c>
      <c r="F137" s="11" t="inlineStr">
        <is>
          <t>Official AIFO blog: 'Copy trading is prohibited. Replicating trades across multiple accounts is treated as copy trading and can result in account closure.' 'EA permission does not allow trade copiers, external signals, shared third-party EAs or duplicated strategies across accounts.'</t>
        </is>
      </c>
      <c r="G137" s="11" t="inlineStr"/>
      <c r="H137" s="12" t="n">
        <v>200000</v>
      </c>
      <c r="I137" s="11" t="inlineStr">
        <is>
          <t>inconnu</t>
        </is>
      </c>
      <c r="J137" s="10" t="n">
        <v>200000</v>
      </c>
      <c r="K137" s="10" t="n">
        <v>849</v>
      </c>
      <c r="L137" s="11" t="inlineStr">
        <is>
          <t>1 x 849 (two_step 200k) = 849</t>
        </is>
      </c>
      <c r="M137" s="11" t="inlineStr">
        <is>
          <t>2 Step</t>
        </is>
      </c>
      <c r="N137" s="11" t="inlineStr">
        <is>
          <t>2 Step:849 (200k);Instant-Direct:unknown;1 Step:unknown;3 Step:unknown</t>
        </is>
      </c>
      <c r="O137" s="11" t="inlineStr">
        <is>
          <t>NO -&gt; max single account 200000 (2-Step Core; EA allowed on 1/2/3-Step + funded)</t>
        </is>
      </c>
      <c r="P137" s="11" t="inlineStr">
        <is>
          <t>unknown (official cap before scaling not published; scaling plan: 'maximum allocation of $2,000,000 across all your AIFO Accounts'; largest account 200000)</t>
        </is>
      </c>
      <c r="Q137" s="12" t="n">
        <v>2000000</v>
      </c>
      <c r="R137" s="11" t="inlineStr">
        <is>
          <t>MT5</t>
        </is>
      </c>
      <c r="S137" s="11" t="inlineStr">
        <is>
          <t>https://aifo.com/blog/reviews-comparisons/best-prop-firms-for-copy-trading/ | https://aifo.com/</t>
        </is>
      </c>
    </row>
    <row r="138">
      <c r="A138" s="7" t="n">
        <v>137</v>
      </c>
      <c r="B138" s="7" t="inlineStr">
        <is>
          <t>Funded Friday</t>
        </is>
      </c>
      <c r="C138" s="7" t="inlineStr">
        <is>
          <t>CFD</t>
        </is>
      </c>
      <c r="D138" s="8" t="inlineStr">
        <is>
          <t>OUI</t>
        </is>
      </c>
      <c r="E138" s="15" t="inlineStr">
        <is>
          <t>NON (un seul compte par stratégie)</t>
        </is>
      </c>
      <c r="F138" s="7" t="inlineStr">
        <is>
          <t>review site (For Traders): rules 'explicitly prohibit ... copy trading between multiple accounts under the same or affiliated ownership' and cross-account hedging; 'Expert advisors are allowed for execution and risk management'; official rules page silent</t>
        </is>
      </c>
      <c r="G138" s="7" t="inlineStr"/>
      <c r="H138" s="9" t="n">
        <v>200000</v>
      </c>
      <c r="I138" s="7" t="inlineStr">
        <is>
          <t>inconnu</t>
        </is>
      </c>
      <c r="J138" s="10" t="n">
        <v>200000</v>
      </c>
      <c r="K138" s="10" t="n">
        <v>779</v>
      </c>
      <c r="L138" s="7" t="inlineStr">
        <is>
          <t>1 x 779 (two_step 200k) = 779</t>
        </is>
      </c>
      <c r="M138" s="7" t="inlineStr">
        <is>
          <t>2 Step</t>
        </is>
      </c>
      <c r="N138" s="7" t="inlineStr">
        <is>
          <t>2 Step:779 (200k);Instant-Direct:3899 (200k);1 Step:unknown [review site fortraders]</t>
        </is>
      </c>
      <c r="O138" s="7" t="inlineStr">
        <is>
          <t>NO -&gt; max single account 200000 (review-site basis)</t>
        </is>
      </c>
      <c r="P138" s="7" t="inlineStr">
        <is>
          <t>unknown (not published)</t>
        </is>
      </c>
      <c r="Q138" s="7" t="inlineStr"/>
      <c r="R138" s="7" t="inlineStr">
        <is>
          <t>MT5 (official); MT4/MT5 (review)</t>
        </is>
      </c>
      <c r="S138" s="7" t="inlineStr">
        <is>
          <t>https://fundedfriday.com/trading-rules | https://fortraders.com/blog/funded-friday-review (fallback)</t>
        </is>
      </c>
    </row>
    <row r="139">
      <c r="A139" s="11" t="n">
        <v>138</v>
      </c>
      <c r="B139" s="11" t="inlineStr">
        <is>
          <t>Telostraders</t>
        </is>
      </c>
      <c r="C139" s="11" t="inlineStr">
        <is>
          <t>CFD</t>
        </is>
      </c>
      <c r="D139" s="8" t="inlineStr">
        <is>
          <t>OUI</t>
        </is>
      </c>
      <c r="E139" s="13" t="inlineStr">
        <is>
          <t>OUI sous conditions</t>
        </is>
      </c>
      <c r="F139" s="11" t="inlineStr">
        <is>
          <t>Official T&amp;C: 'Between Multiple Telos Capital Accounts: You can copy trades across your Telos Capital accounts with one of the accounts being the Master account'; widely distributed EAs risk 'coordinated trading violation'; 1 verified profile.</t>
        </is>
      </c>
      <c r="G139" s="11" t="inlineStr">
        <is>
          <t>2</t>
        </is>
      </c>
      <c r="H139" s="12" t="n">
        <v>80000</v>
      </c>
      <c r="I139" s="12" t="n">
        <v>160000</v>
      </c>
      <c r="J139" s="10" t="n">
        <v>160000</v>
      </c>
      <c r="K139" s="10" t="n">
        <v>2800</v>
      </c>
      <c r="L139" s="11" t="inlineStr">
        <is>
          <t>2 x 1400 (one_step 80k) = 2800</t>
        </is>
      </c>
      <c r="M139" s="11" t="inlineStr">
        <is>
          <t>1 Step</t>
        </is>
      </c>
      <c r="N139" s="11" t="inlineStr">
        <is>
          <t>1 Step(80k):1400 (official)</t>
        </is>
      </c>
      <c r="O139" s="11" t="inlineStr">
        <is>
          <t>official YES x 2 x 80000 = 160000</t>
        </is>
      </c>
      <c r="P139" s="11" t="inlineStr">
        <is>
          <t>official computed: homepage 'Traders can manage two accounts' x 80000</t>
        </is>
      </c>
      <c r="Q139" s="12" t="n">
        <v>4000000</v>
      </c>
      <c r="R139" s="11" t="inlineStr">
        <is>
          <t>proprietary web platform (prop.propfintech.com) with TradingView charts</t>
        </is>
      </c>
      <c r="S139" s="11" t="inlineStr">
        <is>
          <t>https://telostraders.com/legal/terms ; https://telostraders.com/</t>
        </is>
      </c>
    </row>
    <row r="140">
      <c r="A140" s="7" t="n">
        <v>139</v>
      </c>
      <c r="B140" s="7" t="inlineStr">
        <is>
          <t>PropEd Capital</t>
        </is>
      </c>
      <c r="C140" s="7" t="inlineStr">
        <is>
          <t>Futures</t>
        </is>
      </c>
      <c r="D140" s="8" t="inlineStr">
        <is>
          <t>OUI</t>
        </is>
      </c>
      <c r="E140" s="15" t="inlineStr">
        <is>
          <t>NON (un seul compte par stratégie)</t>
        </is>
      </c>
      <c r="F140" s="7" t="inlineStr">
        <is>
          <t>propfirmmap review: 'Copy trading' listed under 'Not allowed' in General Rules (challenge and funded); 'Multiple or duplicate accounts' prohibited; EAs/automation allowed. Official site publishes no copy rule.</t>
        </is>
      </c>
      <c r="G140" s="7" t="inlineStr">
        <is>
          <t>5</t>
        </is>
      </c>
      <c r="H140" s="9" t="n">
        <v>150000</v>
      </c>
      <c r="I140" s="9" t="n">
        <v>750000</v>
      </c>
      <c r="J140" s="10" t="n">
        <v>150000</v>
      </c>
      <c r="K140" s="10" t="n">
        <v>365</v>
      </c>
      <c r="L140" s="7" t="inlineStr">
        <is>
          <t>1 x 365 (one_step 150k) = 365</t>
        </is>
      </c>
      <c r="M140" s="7" t="inlineStr">
        <is>
          <t>1 Step</t>
        </is>
      </c>
      <c r="N140" s="7" t="inlineStr">
        <is>
          <t>1 Step(150k):365;Instant-Direct(150k):1299 (propfirmmap review list prices)</t>
        </is>
      </c>
      <c r="O140" s="7" t="inlineStr">
        <is>
          <t>NO -&gt; max single account 150000</t>
        </is>
      </c>
      <c r="P140" s="7" t="inlineStr">
        <is>
          <t>review site computed (propfirmmap: 'Maximum 5 funded accounts' x 150000; official: live balance capped at $10K)</t>
        </is>
      </c>
      <c r="Q140" s="7" t="inlineStr"/>
      <c r="R140" s="7" t="inlineStr">
        <is>
          <t>Onyx, Volumetrica, Nexus Connect, Rithmic / R|Trader Pro</t>
        </is>
      </c>
      <c r="S140" s="7" t="inlineStr">
        <is>
          <t>https://propfirmmap.com/firms/propedcapital ; https://propedcapital.com/</t>
        </is>
      </c>
    </row>
    <row r="141">
      <c r="A141" s="11" t="n">
        <v>140</v>
      </c>
      <c r="B141" s="11" t="inlineStr">
        <is>
          <t>Tradersyard</t>
        </is>
      </c>
      <c r="C141" s="11" t="inlineStr">
        <is>
          <t>CFD + Futures</t>
        </is>
      </c>
      <c r="D141" s="8" t="inlineStr">
        <is>
          <t>OUI</t>
        </is>
      </c>
      <c r="E141" s="15" t="inlineStr">
        <is>
          <t>NON (un seul compte par stratégie)</t>
        </is>
      </c>
      <c r="F141" s="11" t="inlineStr">
        <is>
          <t>Official help center trading rules list 'Copy trading' and 'Hedging across accounts' as prohibited (TTP review claims copy supported - official rule prevails).</t>
        </is>
      </c>
      <c r="G141" s="11" t="inlineStr">
        <is>
          <t>2</t>
        </is>
      </c>
      <c r="H141" s="12" t="n">
        <v>150000</v>
      </c>
      <c r="I141" s="12" t="n">
        <v>300000</v>
      </c>
      <c r="J141" s="10" t="n">
        <v>150000</v>
      </c>
      <c r="K141" s="10" t="n">
        <v>339</v>
      </c>
      <c r="L141" s="11" t="inlineStr">
        <is>
          <t>1 x 339 (150k) = 339</t>
        </is>
      </c>
      <c r="M141" s="11" t="inlineStr">
        <is>
          <t>unknown</t>
        </is>
      </c>
      <c r="N141" s="11" t="inlineStr">
        <is>
          <t>150k:339 one-time (official homepage, type not specified)</t>
        </is>
      </c>
      <c r="O141" s="11" t="inlineStr">
        <is>
          <t>NO -&gt; max single account 150000</t>
        </is>
      </c>
      <c r="P141" s="11" t="inlineStr">
        <is>
          <t>official stated: funded cap '$300,000 total, or 2 funded accounts, whichever first'</t>
        </is>
      </c>
      <c r="Q141" s="11" t="inlineStr"/>
      <c r="R141" s="11" t="inlineStr">
        <is>
          <t>WebTrader (proprietary); AgenaTrader</t>
        </is>
      </c>
      <c r="S141" s="11" t="inlineStr">
        <is>
          <t>https://help.tradersyard.com/en/articles/16188437-trading-rules ; https://help.tradersyard.com/en/articles/16188350-accounts-plans-platform</t>
        </is>
      </c>
    </row>
    <row r="142">
      <c r="A142" s="7" t="n">
        <v>141</v>
      </c>
      <c r="B142" s="7" t="inlineStr">
        <is>
          <t>Trading Funds</t>
        </is>
      </c>
      <c r="C142" s="7" t="inlineStr">
        <is>
          <t>CFD</t>
        </is>
      </c>
      <c r="D142" s="8" t="inlineStr">
        <is>
          <t>OUI</t>
        </is>
      </c>
      <c r="E142" s="15" t="inlineStr">
        <is>
          <t>NON (un seul compte par stratégie)</t>
        </is>
      </c>
      <c r="F142" s="7" t="inlineStr">
        <is>
          <t>Official FTUK FAQ: 'Copying between FTUK accounts is not allowed, even if both accounts belong to you'; copying from a non-FTUK account into FTUK allowed; EAs allowed.</t>
        </is>
      </c>
      <c r="G142" s="7" t="inlineStr"/>
      <c r="H142" s="9" t="n">
        <v>150000</v>
      </c>
      <c r="I142" s="9" t="n">
        <v>200000</v>
      </c>
      <c r="J142" s="10" t="n">
        <v>150000</v>
      </c>
      <c r="K142" s="14" t="inlineStr">
        <is>
          <t>inconnu</t>
        </is>
      </c>
      <c r="L142" s="7" t="inlineStr">
        <is>
          <t>unknown</t>
        </is>
      </c>
      <c r="M142" s="7" t="inlineStr">
        <is>
          <t>unknown</t>
        </is>
      </c>
      <c r="N142" s="7" t="inlineStr">
        <is>
          <t>150k:unknown (TTP: 100k accounts 99-549)</t>
        </is>
      </c>
      <c r="O142" s="7" t="inlineStr">
        <is>
          <t>NO -&gt; max single account 150000</t>
        </is>
      </c>
      <c r="P142" s="7" t="inlineStr">
        <is>
          <t>review site (TTP: Max Allocation $200K); merged into FTUK (tradingfunds.com redirects to ftuk.com from 2026-04-15)</t>
        </is>
      </c>
      <c r="Q142" s="9" t="n">
        <v>6400000</v>
      </c>
      <c r="R142" s="7" t="inlineStr">
        <is>
          <t>MT5 (not US); TradeLocker; Match-Trader; FTUK XT</t>
        </is>
      </c>
      <c r="S142" s="7" t="inlineStr">
        <is>
          <t>https://faq.ftuk.com/en/articles/12355700-instant-sim-funding-futures-account-rules-overview ; https://tradingfunds.com/ ; https://thetrustedprop.com/prop-firms/trading-funds</t>
        </is>
      </c>
    </row>
    <row r="143">
      <c r="A143" s="11" t="n">
        <v>142</v>
      </c>
      <c r="B143" s="11" t="inlineStr">
        <is>
          <t>LegionFunding</t>
        </is>
      </c>
      <c r="C143" s="11" t="inlineStr">
        <is>
          <t>CFD</t>
        </is>
      </c>
      <c r="D143" s="8" t="inlineStr">
        <is>
          <t>OUI</t>
        </is>
      </c>
      <c r="E143" s="15" t="inlineStr">
        <is>
          <t>NON (un seul compte par stratégie)</t>
        </is>
      </c>
      <c r="F143" s="11" t="inlineStr">
        <is>
          <t>Official Copy Trading Policy: 'Copy trading between Legion Funded accounts is strictly prohibited'; 'Trade copying or signal replication between any Legion Funded accounts is not permitted, regardless of whether the accounts belong to the same trader or different traders'; 'The use of any software, Expert Advisor (EA), trade copier, signal service, or automation that copies or mirrors trades between Legion Funded accounts is prohibited'.</t>
        </is>
      </c>
      <c r="G143" s="11" t="inlineStr"/>
      <c r="H143" s="12" t="n">
        <v>100000</v>
      </c>
      <c r="I143" s="12" t="n">
        <v>400000</v>
      </c>
      <c r="J143" s="10" t="n">
        <v>100000</v>
      </c>
      <c r="K143" s="10" t="n">
        <v>529</v>
      </c>
      <c r="L143" s="11" t="inlineStr">
        <is>
          <t>1 x 529 (two_step 100k) = 529</t>
        </is>
      </c>
      <c r="M143" s="11" t="inlineStr">
        <is>
          <t>2 Step</t>
        </is>
      </c>
      <c r="N143" s="11" t="inlineStr">
        <is>
          <t>Instant-Direct:699 (100k);1 Step:599 (100k);2 Step:529 (100k) [propfirmmap ranges; official shows 2-step 5k = 35]</t>
        </is>
      </c>
      <c r="O143" s="11" t="inlineStr">
        <is>
          <t>NO -&gt; max single account 100000</t>
        </is>
      </c>
      <c r="P143" s="11" t="inlineStr">
        <is>
          <t>official homepage 'Up to $400K maximum allocation'</t>
        </is>
      </c>
      <c r="Q143" s="11" t="inlineStr"/>
      <c r="R143" s="11" t="inlineStr">
        <is>
          <t>MT5</t>
        </is>
      </c>
      <c r="S143" s="11" t="inlineStr">
        <is>
          <t>https://help.legionfunding.com/en/articles/15892743-copy-trading-policy ; https://legionfunding.com/</t>
        </is>
      </c>
    </row>
    <row r="144">
      <c r="A144" s="7" t="n">
        <v>143</v>
      </c>
      <c r="B144" s="7" t="inlineStr">
        <is>
          <t>Origin FX</t>
        </is>
      </c>
      <c r="C144" s="7" t="inlineStr">
        <is>
          <t>CFD</t>
        </is>
      </c>
      <c r="D144" s="8" t="inlineStr">
        <is>
          <t>OUI</t>
        </is>
      </c>
      <c r="E144" s="15" t="inlineStr">
        <is>
          <t>NON (un seul compte par stratégie)</t>
        </is>
      </c>
      <c r="F144" s="7" t="inlineStr">
        <is>
          <t>TTP review: 'Allows Copy Trading: No' for both programs; 'Copy Trading' listed under prohibited strategies; EAs allowed, HFT banned. Official site unreachable.</t>
        </is>
      </c>
      <c r="G144" s="7" t="inlineStr"/>
      <c r="H144" s="9" t="n">
        <v>100000</v>
      </c>
      <c r="I144" s="9" t="n">
        <v>400000</v>
      </c>
      <c r="J144" s="10" t="n">
        <v>100000</v>
      </c>
      <c r="K144" s="10" t="n">
        <v>548</v>
      </c>
      <c r="L144" s="7" t="inlineStr">
        <is>
          <t>1 x 548 (two_step 100k) = 548</t>
        </is>
      </c>
      <c r="M144" s="7" t="inlineStr">
        <is>
          <t>2 Step</t>
        </is>
      </c>
      <c r="N144" s="7" t="inlineStr">
        <is>
          <t>Instant-Direct(100k):9988;2 Step(100k):548 (TTP review)</t>
        </is>
      </c>
      <c r="O144" s="7" t="inlineStr">
        <is>
          <t>NO -&gt; max single account 100000</t>
        </is>
      </c>
      <c r="P144" s="7" t="inlineStr">
        <is>
          <t>review site (TTP: 'Max Allocation $400K'; official site 503)</t>
        </is>
      </c>
      <c r="Q144" s="7" t="inlineStr"/>
      <c r="R144" s="7" t="inlineStr">
        <is>
          <t>unknown</t>
        </is>
      </c>
      <c r="S144" s="7" t="inlineStr">
        <is>
          <t>https://thetrustedprop.com/prop-firms/origin-fx ; https://originfx.com/ (unreachable)</t>
        </is>
      </c>
    </row>
    <row r="145">
      <c r="A145" s="11" t="n">
        <v>144</v>
      </c>
      <c r="B145" s="11" t="inlineStr">
        <is>
          <t>WSFunded</t>
        </is>
      </c>
      <c r="C145" s="11" t="inlineStr">
        <is>
          <t>CFD</t>
        </is>
      </c>
      <c r="D145" s="13" t="inlineStr">
        <is>
          <t>OUI sur certains comptes</t>
        </is>
      </c>
      <c r="E145" s="15" t="inlineStr">
        <is>
          <t>NON (un seul compte par stratégie)</t>
        </is>
      </c>
      <c r="F145" s="11" t="inlineStr">
        <is>
          <t>Official FAQ: prohibited 'Copiar operaciones automáticas o manuales entre cuentas Funded' and external copy tools; manual copying only between evaluation accounts of different balances; no EAs on Instant plans.</t>
        </is>
      </c>
      <c r="G145" s="11" t="inlineStr"/>
      <c r="H145" s="12" t="n">
        <v>100000</v>
      </c>
      <c r="I145" s="12" t="n">
        <v>400000</v>
      </c>
      <c r="J145" s="10" t="n">
        <v>100000</v>
      </c>
      <c r="K145" s="10" t="n">
        <v>529</v>
      </c>
      <c r="L145" s="11" t="inlineStr">
        <is>
          <t>1 x 529 (ultra or rapid 100k) = 529</t>
        </is>
      </c>
      <c r="M145" s="11" t="inlineStr">
        <is>
          <t>ultra/rapid</t>
        </is>
      </c>
      <c r="N145" s="11" t="inlineStr">
        <is>
          <t>Instant-Direct_pro(100k):499;classic(100k):563;ultra(100k):529;rapid(100k):529;elite(100k):629 (official regular)</t>
        </is>
      </c>
      <c r="O145" s="11" t="inlineStr">
        <is>
          <t>NO -&gt; max single account 100000</t>
        </is>
      </c>
      <c r="P145" s="11" t="inlineStr">
        <is>
          <t>official stated: 'Permitimos combinar cuentas financiadas hasta un máximo de 400k'</t>
        </is>
      </c>
      <c r="Q145" s="11" t="inlineStr"/>
      <c r="R145" s="11" t="inlineStr">
        <is>
          <t>MT5; cTrader; Match-Trader</t>
        </is>
      </c>
      <c r="S145" s="11" t="inlineStr">
        <is>
          <t>https://wsfunded.com/faq ; https://wsfunded.com/</t>
        </is>
      </c>
    </row>
    <row r="146">
      <c r="A146" s="7" t="n">
        <v>145</v>
      </c>
      <c r="B146" s="7" t="inlineStr">
        <is>
          <t>FundingRock</t>
        </is>
      </c>
      <c r="C146" s="7" t="inlineStr">
        <is>
          <t>CFD</t>
        </is>
      </c>
      <c r="D146" s="8" t="inlineStr">
        <is>
          <t>OUI</t>
        </is>
      </c>
      <c r="E146" s="15" t="inlineStr">
        <is>
          <t>NON (un seul compte par stratégie)</t>
        </is>
      </c>
      <c r="F146" s="7" t="inlineStr">
        <is>
          <t>Official T&amp;C 13.3: 'Any attempts to duplicate trades across multiple accounts are considered manipulative and may result in immediate account termination'; 13.8: 'The use of copy trading or external signal services to replicate or artificially inflate performance is prohibited.' EAs allowed (FAQ) if compliant.</t>
        </is>
      </c>
      <c r="G146" s="7" t="inlineStr">
        <is>
          <t>unlimited within $100k per type</t>
        </is>
      </c>
      <c r="H146" s="9" t="n">
        <v>100000</v>
      </c>
      <c r="I146" s="9" t="n">
        <v>300000</v>
      </c>
      <c r="J146" s="10" t="n">
        <v>100000</v>
      </c>
      <c r="K146" s="10" t="n">
        <v>350</v>
      </c>
      <c r="L146" s="7" t="inlineStr">
        <is>
          <t>1 x 350 (two_step 100k) = 350</t>
        </is>
      </c>
      <c r="M146" s="7" t="inlineStr">
        <is>
          <t>2 Step</t>
        </is>
      </c>
      <c r="N146" s="7" t="inlineStr">
        <is>
          <t>Instant-Direct:600 (100k);1 Step:450 (100k);2 Step:350 (100k) [official homepage]</t>
        </is>
      </c>
      <c r="O146" s="7" t="inlineStr">
        <is>
          <t>NO -&gt; max single account 100000 (largest size sold per type is 100k)</t>
        </is>
      </c>
      <c r="P146" s="7" t="inlineStr">
        <is>
          <t>official computed (T&amp;C 4.10: 'total allocation across all Active Reward accounts is limited to $100,000 for each challenge type' x 3 types instant/1-step/2-step; TTP says 200k)</t>
        </is>
      </c>
      <c r="Q146" s="7" t="inlineStr"/>
      <c r="R146" s="7" t="inlineStr">
        <is>
          <t>TradeLocker;cTrader</t>
        </is>
      </c>
      <c r="S146" s="7" t="inlineStr">
        <is>
          <t>https://fundingrock.com/terms-and-conditions ; https://fundingrock.com/faq</t>
        </is>
      </c>
    </row>
    <row r="147">
      <c r="A147" s="11" t="n">
        <v>146</v>
      </c>
      <c r="B147" s="11" t="inlineStr">
        <is>
          <t>Monevis</t>
        </is>
      </c>
      <c r="C147" s="11" t="inlineStr">
        <is>
          <t>CFD</t>
        </is>
      </c>
      <c r="D147" s="13" t="inlineStr">
        <is>
          <t>OUI sur certains comptes</t>
        </is>
      </c>
      <c r="E147" s="13" t="inlineStr">
        <is>
          <t>OUI sous conditions</t>
        </is>
      </c>
      <c r="F147" s="11" t="inlineStr">
        <is>
          <t>Official help (prior read): per-strategy allocation cap $100K ('cannot trade the same strategy on multiple funded accounts totaling more than $100,000'); 1-Step/2-Step 'EAs: Allowed'; 'EAs are not allowed on Instant Funding accounts'; no reverse arbitrage/HFT/tick scalping. Copy-trading article not retrievable.</t>
        </is>
      </c>
      <c r="G147" s="11" t="inlineStr"/>
      <c r="H147" s="12" t="n">
        <v>100000</v>
      </c>
      <c r="I147" s="12" t="n">
        <v>200000</v>
      </c>
      <c r="J147" s="10" t="n">
        <v>100000</v>
      </c>
      <c r="K147" s="10" t="n">
        <v>385</v>
      </c>
      <c r="L147" s="11" t="inlineStr">
        <is>
          <t>1 x 385 (three_step 100k) = 385</t>
        </is>
      </c>
      <c r="M147" s="11" t="inlineStr">
        <is>
          <t>3 Step</t>
        </is>
      </c>
      <c r="N147" s="11" t="inlineStr">
        <is>
          <t>Instant-Direct:499 (50k, official regular);1 Step:565 (100k, TTP);3 Step:385 (100k, TTP);2 Step:unknown</t>
        </is>
      </c>
      <c r="O147" s="11" t="inlineStr">
        <is>
          <t>per-strategy cap: 100000 (one identical strategy) regardless of total allocation</t>
        </is>
      </c>
      <c r="P147" s="11" t="inlineStr">
        <is>
          <t>official help (prior read): maximum allocation $200,000 per trader with $100,000 per strategy; help center now unreachable (Cloudflare error); search snippets claim $500,000 per trader</t>
        </is>
      </c>
      <c r="Q147" s="11" t="inlineStr"/>
      <c r="R147" s="11" t="inlineStr">
        <is>
          <t>MT5 (review sites; official 'web terminal' for instant)</t>
        </is>
      </c>
      <c r="S147" s="11" t="inlineStr">
        <is>
          <t>https://help.monevis.com/en/articles/9134790-maximum-allocation ; https://help.monevis.com/en/articles/11496460-monevis-1-step-challenge-overview</t>
        </is>
      </c>
    </row>
    <row r="148">
      <c r="A148" s="7" t="n">
        <v>147</v>
      </c>
      <c r="B148" s="7" t="inlineStr">
        <is>
          <t>MasterFunders</t>
        </is>
      </c>
      <c r="C148" s="7" t="inlineStr">
        <is>
          <t>CFD</t>
        </is>
      </c>
      <c r="D148" s="8" t="inlineStr">
        <is>
          <t>OUI</t>
        </is>
      </c>
      <c r="E148" s="13" t="inlineStr">
        <is>
          <t>OUI sous conditions</t>
        </is>
      </c>
      <c r="F148" s="7" t="inlineStr">
        <is>
          <t>Official FAQ: 'You can also mirror or test strategies between external accounts using the Match-Trade Trade Copier'; prohibited to hedge across accounts or collaborate with other traders ('multiple traders placing the same trades'). Automation via Match-Trader tools only (Level2 strategy builder).</t>
        </is>
      </c>
      <c r="G148" s="7" t="inlineStr">
        <is>
          <t>unlimited within $100k</t>
        </is>
      </c>
      <c r="H148" s="9" t="n">
        <v>100000</v>
      </c>
      <c r="I148" s="9" t="n">
        <v>100000</v>
      </c>
      <c r="J148" s="10" t="n">
        <v>100000</v>
      </c>
      <c r="K148" s="10" t="n">
        <v>549</v>
      </c>
      <c r="L148" s="7" t="inlineStr">
        <is>
          <t>1 x 549 (core two_step 100k) = 549</t>
        </is>
      </c>
      <c r="M148" s="7" t="inlineStr">
        <is>
          <t>core (2 Step)</t>
        </is>
      </c>
      <c r="N148" s="7" t="inlineStr">
        <is>
          <t>core_2 Step:549 (100k);lite_2 Step:599 (100k);direct_access_pro_Instant-Direct:4780 (100k);speed:unknown [official + fundedtrading]</t>
        </is>
      </c>
      <c r="O148" s="7">
        <f> max_cumulative 100000 (= single largest account)</f>
        <v/>
      </c>
      <c r="P148" s="7" t="inlineStr">
        <is>
          <t>official stated (FAQ: 'You may trade multiple Evaluation Programs simultaneously, as long as the combined simulated account balance does not exceed $100,000'; one profile per trader)</t>
        </is>
      </c>
      <c r="Q148" s="9" t="n">
        <v>100000</v>
      </c>
      <c r="R148" s="7" t="inlineStr">
        <is>
          <t>Match-Trader</t>
        </is>
      </c>
      <c r="S148" s="7" t="inlineStr">
        <is>
          <t>https://masterfunders.com/faq/</t>
        </is>
      </c>
    </row>
    <row r="149">
      <c r="A149" s="11" t="n">
        <v>148</v>
      </c>
      <c r="B149" s="11" t="inlineStr">
        <is>
          <t>Pipcy</t>
        </is>
      </c>
      <c r="C149" s="11" t="inlineStr">
        <is>
          <t>CFD</t>
        </is>
      </c>
      <c r="D149" s="8" t="inlineStr">
        <is>
          <t>OUI</t>
        </is>
      </c>
      <c r="E149" s="15" t="inlineStr">
        <is>
          <t>NON (un seul compte par stratégie)</t>
        </is>
      </c>
      <c r="F149" s="11" t="inlineStr">
        <is>
          <t>propfirmmap review: 'copy trading between two Pipcy accounts' listed under prohibited strategies; group trading banned. Only 1 funded account anyway.</t>
        </is>
      </c>
      <c r="G149" s="11" t="inlineStr">
        <is>
          <t>1</t>
        </is>
      </c>
      <c r="H149" s="12" t="n">
        <v>100000</v>
      </c>
      <c r="I149" s="12" t="n">
        <v>100000</v>
      </c>
      <c r="J149" s="10" t="n">
        <v>100000</v>
      </c>
      <c r="K149" s="10" t="n">
        <v>589</v>
      </c>
      <c r="L149" s="11" t="inlineStr">
        <is>
          <t>1 x 589 (two_step 100k) = 589</t>
        </is>
      </c>
      <c r="M149" s="11" t="inlineStr">
        <is>
          <t>2 Step</t>
        </is>
      </c>
      <c r="N149" s="11" t="inlineStr">
        <is>
          <t>1 Step(100k):675;2 Step(100k):589 (official)</t>
        </is>
      </c>
      <c r="O149" s="11" t="inlineStr">
        <is>
          <t>NO / 1 funded account -&gt; 100000</t>
        </is>
      </c>
      <c r="P149" s="11" t="inlineStr">
        <is>
          <t>review site (propfirmmap: 'A trader may hold up to 3 active Challenge Accounts and up to 1 Funded Account at a time'; official FAQ silent)</t>
        </is>
      </c>
      <c r="Q149" s="12" t="n">
        <v>3000000</v>
      </c>
      <c r="R149" s="11" t="inlineStr">
        <is>
          <t>MT5, Pipcy proprietary platform</t>
        </is>
      </c>
      <c r="S149" s="11" t="inlineStr">
        <is>
          <t>https://propfirmmap.com/firms/pipcy ; https://pipcy.com/faq</t>
        </is>
      </c>
    </row>
    <row r="150">
      <c r="A150" s="7" t="n">
        <v>149</v>
      </c>
      <c r="B150" s="7" t="inlineStr">
        <is>
          <t>MFunded (MarketsVox)</t>
        </is>
      </c>
      <c r="C150" s="7" t="inlineStr">
        <is>
          <t>CFD</t>
        </is>
      </c>
      <c r="D150" s="8" t="inlineStr">
        <is>
          <t>OUI</t>
        </is>
      </c>
      <c r="E150" s="15" t="inlineStr">
        <is>
          <t>NON (un seul compte par stratégie)</t>
        </is>
      </c>
      <c r="F150" s="7" t="inlineStr">
        <is>
          <t>Official FAQ: EAs 'Yes, as long as it is your strategy and it is running on your account only.' 'What is not allowed is the same strategy across several accounts to take multiple attempts at one outcome'.</t>
        </is>
      </c>
      <c r="G150" s="7" t="inlineStr"/>
      <c r="H150" s="9" t="n">
        <v>100000</v>
      </c>
      <c r="I150" s="7" t="inlineStr">
        <is>
          <t>inconnu</t>
        </is>
      </c>
      <c r="J150" s="10" t="n">
        <v>100000</v>
      </c>
      <c r="K150" s="10" t="n">
        <v>399</v>
      </c>
      <c r="L150" s="7" t="inlineStr">
        <is>
          <t>1 x 399 (two_step 100k) = 399</t>
        </is>
      </c>
      <c r="M150" s="7" t="inlineStr">
        <is>
          <t>2 Step</t>
        </is>
      </c>
      <c r="N150" s="7" t="inlineStr">
        <is>
          <t>2 Step:399 (100k) [official]</t>
        </is>
      </c>
      <c r="O150" s="7" t="inlineStr">
        <is>
          <t>NO -&gt; max single account 100000</t>
        </is>
      </c>
      <c r="P150" s="7" t="inlineStr">
        <is>
          <t>not published (multiple accounts allowed, no cap stated)</t>
        </is>
      </c>
      <c r="Q150" s="7" t="inlineStr"/>
      <c r="R150" s="7" t="inlineStr">
        <is>
          <t>proprietary web terminal (MT5-style)</t>
        </is>
      </c>
      <c r="S150" s="7" t="inlineStr">
        <is>
          <t>https://mfunded.com/faq ; https://mfunded.com/</t>
        </is>
      </c>
    </row>
    <row r="151">
      <c r="A151" s="11" t="n">
        <v>150</v>
      </c>
      <c r="B151" s="11" t="inlineStr">
        <is>
          <t>The Upside Funding</t>
        </is>
      </c>
      <c r="C151" s="11" t="inlineStr">
        <is>
          <t>CFD</t>
        </is>
      </c>
      <c r="D151" s="8" t="inlineStr">
        <is>
          <t>OUI</t>
        </is>
      </c>
      <c r="E151" s="15" t="inlineStr">
        <is>
          <t>NON (un seul compte par stratégie)</t>
        </is>
      </c>
      <c r="F151" s="11" t="inlineStr">
        <is>
          <t>Review (fundedprophub): 'Copy trading, signal service usage, or account mirroring on funded accounts is strictly prohibited'; 'Only the verified trader may execute trades'; hedging between Upside accounts banned. Official site unavailable.</t>
        </is>
      </c>
      <c r="G151" s="11" t="inlineStr"/>
      <c r="H151" s="12" t="n">
        <v>100000</v>
      </c>
      <c r="I151" s="11" t="inlineStr">
        <is>
          <t>inconnu</t>
        </is>
      </c>
      <c r="J151" s="10" t="n">
        <v>100000</v>
      </c>
      <c r="K151" s="14" t="inlineStr">
        <is>
          <t>inconnu</t>
        </is>
      </c>
      <c r="L151" s="11" t="inlineStr">
        <is>
          <t>unknown</t>
        </is>
      </c>
      <c r="M151" s="11" t="inlineStr">
        <is>
          <t>unknown</t>
        </is>
      </c>
      <c r="N151" s="11" t="inlineStr">
        <is>
          <t>2 Step:589 (100K)</t>
        </is>
      </c>
      <c r="O151" s="11" t="inlineStr">
        <is>
          <t>NO (review) -&gt; max single account 100000</t>
        </is>
      </c>
      <c r="P151" s="11" t="inlineStr">
        <is>
          <t>unknown (official site in maintenance)</t>
        </is>
      </c>
      <c r="Q151" s="12" t="n">
        <v>1500000</v>
      </c>
      <c r="R151" s="11" t="inlineStr">
        <is>
          <t>MT5 (Platform 5); cTrader</t>
        </is>
      </c>
      <c r="S151" s="11" t="inlineStr">
        <is>
          <t>https://fundedprophub.com/pages/AllPropFirms/forex/the_upside_funding.html ; https://fundedtrading.com/propfirm/the-upside-funding/ ; https://theupsidefunding.com/</t>
        </is>
      </c>
    </row>
    <row r="152">
      <c r="A152" s="7" t="n">
        <v>151</v>
      </c>
      <c r="B152" s="7" t="inlineStr">
        <is>
          <t>Wfunded</t>
        </is>
      </c>
      <c r="C152" s="7" t="inlineStr">
        <is>
          <t>CFD</t>
        </is>
      </c>
      <c r="D152" s="8" t="inlineStr">
        <is>
          <t>OUI</t>
        </is>
      </c>
      <c r="E152" s="15" t="inlineStr">
        <is>
          <t>NON (un seul compte par stratégie)</t>
        </is>
      </c>
      <c r="F152" s="7" t="inlineStr">
        <is>
          <t>Official FAQ: 'Copy trading is prohibited in WFunded and it can lead to a breach of the program'; EAs allowed except HFT/grid/martingale/arbitrage/tick scalping.</t>
        </is>
      </c>
      <c r="G152" s="7" t="inlineStr">
        <is>
          <t>5</t>
        </is>
      </c>
      <c r="H152" s="9" t="n">
        <v>50000</v>
      </c>
      <c r="I152" s="9" t="n">
        <v>250000</v>
      </c>
      <c r="J152" s="10" t="n">
        <v>50000</v>
      </c>
      <c r="K152" s="14" t="inlineStr">
        <is>
          <t>inconnu</t>
        </is>
      </c>
      <c r="L152" s="7" t="inlineStr">
        <is>
          <t>unknown</t>
        </is>
      </c>
      <c r="M152" s="7" t="inlineStr">
        <is>
          <t>unknown</t>
        </is>
      </c>
      <c r="N152" s="7" t="inlineStr"/>
      <c r="O152" s="7" t="inlineStr">
        <is>
          <t>NO -&gt; max single account 50000</t>
        </is>
      </c>
      <c r="P152" s="7" t="inlineStr">
        <is>
          <t>official stated: SkillCheck max $50K per account; funded traders can hold up to $250,000 total across accounts (sequential enrolment)</t>
        </is>
      </c>
      <c r="Q152" s="9" t="n">
        <v>500000</v>
      </c>
      <c r="R152" s="7" t="inlineStr">
        <is>
          <t>unknown (not stated)</t>
        </is>
      </c>
      <c r="S152" s="7" t="inlineStr">
        <is>
          <t>https://wfunded.io/en/faq ; https://wfunded.io/en</t>
        </is>
      </c>
    </row>
    <row r="153">
      <c r="A153" s="11" t="n">
        <v>152</v>
      </c>
      <c r="B153" s="11" t="inlineStr">
        <is>
          <t>BloomFunded</t>
        </is>
      </c>
      <c r="C153" s="11" t="inlineStr">
        <is>
          <t>CFD</t>
        </is>
      </c>
      <c r="D153" s="8" t="inlineStr">
        <is>
          <t>OUI</t>
        </is>
      </c>
      <c r="E153" s="15" t="inlineStr">
        <is>
          <t>NON (un seul compte par stratégie)</t>
        </is>
      </c>
      <c r="F153" s="11" t="inlineStr">
        <is>
          <t>Official site: 'Personal EAs are allowed within the published rules. Copy trading between accounts, group trading and latency abuse are not.'</t>
        </is>
      </c>
      <c r="G153" s="11" t="inlineStr"/>
      <c r="H153" s="12" t="n">
        <v>50000</v>
      </c>
      <c r="I153" s="12" t="n">
        <v>50000</v>
      </c>
      <c r="J153" s="10" t="n">
        <v>50000</v>
      </c>
      <c r="K153" s="10" t="n">
        <v>680</v>
      </c>
      <c r="L153" s="11" t="inlineStr">
        <is>
          <t>1 x 680 (instant 50k) = 680</t>
        </is>
      </c>
      <c r="M153" s="11" t="inlineStr">
        <is>
          <t>Instant-Direct</t>
        </is>
      </c>
      <c r="N153" s="11" t="inlineStr">
        <is>
          <t>Instant-Direct:680 (50k);2 Step:300 (25k);1 Step:95 (10k);easy_5k:59</t>
        </is>
      </c>
      <c r="O153" s="11" t="inlineStr">
        <is>
          <t>NO -&gt; max single account 50000 (Instant)</t>
        </is>
      </c>
      <c r="P153" s="11" t="inlineStr">
        <is>
          <t>official stated: '$50K Maximum funded allocation'</t>
        </is>
      </c>
      <c r="Q153" s="11" t="inlineStr"/>
      <c r="R153" s="11" t="inlineStr">
        <is>
          <t>unknown</t>
        </is>
      </c>
      <c r="S153" s="11" t="inlineStr">
        <is>
          <t>https://bloomfunded.com/</t>
        </is>
      </c>
    </row>
    <row r="154">
      <c r="A154" s="7" t="n">
        <v>153</v>
      </c>
      <c r="B154" s="7" t="inlineStr">
        <is>
          <t>FundedNext</t>
        </is>
      </c>
      <c r="C154" s="7" t="inlineStr">
        <is>
          <t>CFD + Futures</t>
        </is>
      </c>
      <c r="D154" s="13" t="inlineStr">
        <is>
          <t>OUI sur certains comptes</t>
        </is>
      </c>
      <c r="E154" s="15" t="inlineStr">
        <is>
          <t>NON (un seul compte par stratégie)</t>
        </is>
      </c>
      <c r="F154" s="7" t="inlineStr">
        <is>
          <t>Official help center: copy trading 'allowed between multiple FundedNext Challenge Accounts owned by the same individual' (total &lt;= $300,000, VPS trade copier OK, cloud copiers banned) and 'between two or more Stellar Instant Accounts owned by the same individual'; BUT 'Copy trading is strictly prohibited between a FundedNext Account and any other FundedNext Account or FundedNext Challenge Account, whether it belongs to the same individual or another entity' -&gt; identical trades across FUNDED accounts not allowed. EAs only on MT4/MT5, only on accounts below $50,000, paid EA add-on; $50k+ accounts manual only.</t>
        </is>
      </c>
      <c r="G154" s="7" t="inlineStr">
        <is>
          <t>unknown (no number; $300k aggregate)</t>
        </is>
      </c>
      <c r="H154" s="9" t="n">
        <v>200000</v>
      </c>
      <c r="I154" s="9" t="n">
        <v>300000</v>
      </c>
      <c r="J154" s="10" t="n">
        <v>25000</v>
      </c>
      <c r="K154" s="10" t="n">
        <v>189</v>
      </c>
      <c r="L154" s="7" t="inlineStr">
        <is>
          <t>1 x 189.99 (two_step 25k, largest EA-eligible size) + paid EA add-on = 189.99 + add-on</t>
        </is>
      </c>
      <c r="M154" s="7" t="inlineStr">
        <is>
          <t>2 Step</t>
        </is>
      </c>
      <c r="N154" s="7" t="inlineStr">
        <is>
          <t>Instant-Direct:600 (50k);1 Step:1049.99 (200k);2 Step:1049.99 (200k);lite:799 (100k) [fundedtrading review Sep 2026; official pricing table not retrievable]</t>
        </is>
      </c>
      <c r="O154" s="7" t="inlineStr">
        <is>
          <t>NO for funded stage -&gt; single FundedNext Account; largest funded size 200000 but EA allowed only on accounts &lt;50k -&gt; largest bot-eligible funded account = 25000 (challenge stage: same bot may be copied across challenge accounts up to 300000)</t>
        </is>
      </c>
      <c r="P154" s="7" t="inlineStr">
        <is>
          <t>official stated ('maximum aggregate simulated capital of $300,000 within their FundedNext Accounts'; Stellar Lite max 200000; not applicable to Challenge purchases)</t>
        </is>
      </c>
      <c r="Q154" s="9" t="n">
        <v>4000000</v>
      </c>
      <c r="R154" s="7" t="inlineStr">
        <is>
          <t>MT4;MT5;cTrader (no EAs);Match-Trader (no EAs)</t>
        </is>
      </c>
      <c r="S154" s="7" t="inlineStr">
        <is>
          <t>https://help.fundednext.com/en/articles/8019805-what-is-the-copy-trading-rule-at-fundednext ; https://help.fundednext.com/en/articles/8027523-how-many-accounts-can-i-have-with-fundednext ; https://help.fundednext.com/en/articles/8020763-is-ea-allowed-in-fundednext</t>
        </is>
      </c>
    </row>
    <row r="155">
      <c r="A155" s="11" t="n">
        <v>154</v>
      </c>
      <c r="B155" s="11" t="inlineStr">
        <is>
          <t>FundedNext Crypto</t>
        </is>
      </c>
      <c r="C155" s="11" t="inlineStr">
        <is>
          <t>CFD</t>
        </is>
      </c>
      <c r="D155" s="13" t="inlineStr">
        <is>
          <t>OUI sur certains comptes</t>
        </is>
      </c>
      <c r="E155" s="15" t="inlineStr">
        <is>
          <t>NON (un seul compte par stratégie)</t>
        </is>
      </c>
      <c r="F155" s="11" t="inlineStr">
        <is>
          <t>Official help center: copy trading 'allowed between multiple FundedNext Challenge Accounts owned by the same individual' (total &lt;= $300,000, VPS trade copier OK, cloud copiers banned) and 'between two or more Stellar Instant Accounts owned by the same individual'; BUT 'Copy trading is strictly prohibited between a FundedNext Account and any other FundedNext Account or FundedNext Challenge Account, whether it belongs to the same individual or another entity' -&gt; identical trades across FUNDED accounts not allowed. EAs only on MT4/MT5, only on accounts below $50,000, paid EA add-on; $50k+ accounts manual only.</t>
        </is>
      </c>
      <c r="G155" s="11" t="inlineStr"/>
      <c r="H155" s="12" t="n">
        <v>200000</v>
      </c>
      <c r="I155" s="12" t="n">
        <v>300000</v>
      </c>
      <c r="J155" s="10" t="n">
        <v>25000</v>
      </c>
      <c r="K155" s="10" t="n">
        <v>189</v>
      </c>
      <c r="L155" s="11" t="inlineStr">
        <is>
          <t>1 x 189.99 (two_step 25k, largest EA-eligible size) + paid EA add-on = 189.99 + add-on</t>
        </is>
      </c>
      <c r="M155" s="11" t="inlineStr">
        <is>
          <t>2 Step</t>
        </is>
      </c>
      <c r="N155" s="11" t="inlineStr">
        <is>
          <t>Instant-Direct:600 (50k);1 Step:1049.99 (200k);2 Step:1049.99 (200k);lite:799 (100k) [fundedtrading review Sep 2026; official pricing table not retrievable]</t>
        </is>
      </c>
      <c r="O155" s="11" t="inlineStr">
        <is>
          <t>NO for funded stage -&gt; single FundedNext Account; largest funded size 200000 but EA allowed only on accounts &lt;50k -&gt; largest bot-eligible funded account = 25000 (challenge stage: same bot may be copied across challenge accounts up to 300000)</t>
        </is>
      </c>
      <c r="P155" s="11" t="inlineStr">
        <is>
          <t>official (shared FundedNext CFD aggregate cap $300,000)</t>
        </is>
      </c>
      <c r="Q155" s="12" t="n">
        <v>4000000</v>
      </c>
      <c r="R155" s="11" t="inlineStr">
        <is>
          <t>MT4;MT5;cTrader (no EAs);Match-Trader (no EAs)</t>
        </is>
      </c>
      <c r="S155" s="11" t="inlineStr">
        <is>
          <t>https://help.fundednext.com/en/articles/8019805-what-is-the-copy-trading-rule-at-fundednext ; https://help.fundednext.com/en/articles/8027523-how-many-accounts-can-i-have-with-fundednext</t>
        </is>
      </c>
    </row>
    <row r="156">
      <c r="A156" s="7" t="n">
        <v>155</v>
      </c>
      <c r="B156" s="7" t="inlineStr">
        <is>
          <t>FundedNext Stocks</t>
        </is>
      </c>
      <c r="C156" s="7" t="inlineStr">
        <is>
          <t>CFD</t>
        </is>
      </c>
      <c r="D156" s="13" t="inlineStr">
        <is>
          <t>OUI sur certains comptes</t>
        </is>
      </c>
      <c r="E156" s="15" t="inlineStr">
        <is>
          <t>NON (un seul compte par stratégie)</t>
        </is>
      </c>
      <c r="F156" s="7" t="inlineStr">
        <is>
          <t>Official help center: copy trading 'allowed between multiple FundedNext Challenge Accounts owned by the same individual' (total &lt;= $300,000, VPS trade copier OK, cloud copiers banned) and 'between two or more Stellar Instant Accounts owned by the same individual'; BUT 'Copy trading is strictly prohibited between a FundedNext Account and any other FundedNext Account or FundedNext Challenge Account, whether it belongs to the same individual or another entity' -&gt; identical trades across FUNDED accounts not allowed. EAs only on MT4/MT5, only on accounts below $50,000, paid EA add-on; $50k+ accounts manual only.</t>
        </is>
      </c>
      <c r="G156" s="7" t="inlineStr"/>
      <c r="H156" s="9" t="n">
        <v>200000</v>
      </c>
      <c r="I156" s="9" t="n">
        <v>300000</v>
      </c>
      <c r="J156" s="10" t="n">
        <v>25000</v>
      </c>
      <c r="K156" s="10" t="n">
        <v>189</v>
      </c>
      <c r="L156" s="7" t="inlineStr">
        <is>
          <t>1 x 189.99 (two_step 25k, largest EA-eligible size) + paid EA add-on = 189.99 + add-on</t>
        </is>
      </c>
      <c r="M156" s="7" t="inlineStr">
        <is>
          <t>2 Step</t>
        </is>
      </c>
      <c r="N156" s="7" t="inlineStr">
        <is>
          <t>Instant-Direct:600 (50k);1 Step:1049.99 (200k);2 Step:1049.99 (200k);lite:799 (100k) [fundedtrading review Sep 2026; official pricing table not retrievable]</t>
        </is>
      </c>
      <c r="O156" s="7" t="inlineStr">
        <is>
          <t>NO for funded stage -&gt; single FundedNext Account; largest funded size 200000 but EA allowed only on accounts &lt;50k -&gt; largest bot-eligible funded account = 25000 (challenge stage: same bot may be copied across challenge accounts up to 300000)</t>
        </is>
      </c>
      <c r="P156" s="7" t="inlineStr">
        <is>
          <t>official (shared FundedNext CFD aggregate cap $300,000)</t>
        </is>
      </c>
      <c r="Q156" s="9" t="n">
        <v>4000000</v>
      </c>
      <c r="R156" s="7" t="inlineStr">
        <is>
          <t>MT4;MT5;cTrader (no EAs);Match-Trader (no EAs)</t>
        </is>
      </c>
      <c r="S156" s="7" t="inlineStr">
        <is>
          <t>https://help.fundednext.com/en/articles/8019805-what-is-the-copy-trading-rule-at-fundednext ; https://help.fundednext.com/en/articles/8027523-how-many-accounts-can-i-have-with-fundednext</t>
        </is>
      </c>
    </row>
  </sheetData>
  <autoFilter ref="A1:S15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28" customWidth="1" min="2" max="2"/>
    <col width="12" customWidth="1" min="3" max="3"/>
    <col width="22" customWidth="1" min="4" max="4"/>
    <col width="24" customWidth="1" min="5" max="5"/>
    <col width="50" customWidth="1" min="6" max="6"/>
    <col width="10" customWidth="1" min="7" max="7"/>
    <col width="14" customWidth="1" min="8" max="8"/>
    <col width="16" customWidth="1" min="9" max="9"/>
    <col width="18" customWidth="1" min="10" max="10"/>
    <col width="18" customWidth="1" min="11" max="11"/>
    <col width="40" customWidth="1" min="12" max="12"/>
    <col width="16" customWidth="1" min="13" max="13"/>
    <col width="40" customWidth="1" min="14" max="14"/>
    <col width="40" customWidth="1" min="15" max="15"/>
    <col width="40" customWidth="1" min="16" max="16"/>
    <col width="14" customWidth="1" min="17" max="17"/>
    <col width="30" customWidth="1" min="18" max="18"/>
    <col width="50" customWidth="1" min="19" max="19"/>
  </cols>
  <sheetData>
    <row r="1" ht="40" customHeight="1">
      <c r="A1" s="6" t="inlineStr">
        <is>
          <t>#</t>
        </is>
      </c>
      <c r="B1" s="6" t="inlineStr">
        <is>
          <t>Prop firm</t>
        </is>
      </c>
      <c r="C1" s="6" t="inlineStr">
        <is>
          <t>Marché</t>
        </is>
      </c>
      <c r="D1" s="6" t="inlineStr">
        <is>
          <t>Bot perso 100 % auto</t>
        </is>
      </c>
      <c r="E1" s="6" t="inlineStr">
        <is>
          <t>Même stratégie sur plusieurs comptes</t>
        </is>
      </c>
      <c r="F1" s="6" t="inlineStr">
        <is>
          <t>Conditions (même stratégie)</t>
        </is>
      </c>
      <c r="G1" s="6" t="inlineStr">
        <is>
          <t>Nb comptes max</t>
        </is>
      </c>
      <c r="H1" s="6" t="inlineStr">
        <is>
          <t>Taille max d'un compte ($)</t>
        </is>
      </c>
      <c r="I1" s="6" t="inlineStr">
        <is>
          <t>Capital cumulable max hors scaling ($)</t>
        </is>
      </c>
      <c r="J1" s="6" t="inlineStr">
        <is>
          <t>CAPITAL MAX avec la même stratégie automatisée ($)</t>
        </is>
      </c>
      <c r="K1" s="6" t="inlineStr">
        <is>
          <t>PRIX CUMULÉ des challenges pour atteindre ce capital ($)</t>
        </is>
      </c>
      <c r="L1" s="6" t="inlineStr">
        <is>
          <t>Détail du calcul du prix</t>
        </is>
      </c>
      <c r="M1" s="6" t="inlineStr">
        <is>
          <t>Type de compte le moins cher</t>
        </is>
      </c>
      <c r="N1" s="6" t="inlineStr">
        <is>
          <t>Prix du plus gros compte par type ($)</t>
        </is>
      </c>
      <c r="O1" s="6" t="inlineStr">
        <is>
          <t>Base du calcul (capital)</t>
        </is>
      </c>
      <c r="P1" s="6" t="inlineStr">
        <is>
          <t>Base du capital cumulable</t>
        </is>
      </c>
      <c r="Q1" s="6" t="inlineStr">
        <is>
          <t>Plafond scaling ($, info)</t>
        </is>
      </c>
      <c r="R1" s="6" t="inlineStr">
        <is>
          <t>Plateformes</t>
        </is>
      </c>
      <c r="S1" s="6" t="inlineStr">
        <is>
          <t>Source</t>
        </is>
      </c>
    </row>
    <row r="2">
      <c r="A2" s="7" t="n">
        <v>1</v>
      </c>
      <c r="B2" s="7" t="inlineStr">
        <is>
          <t>18th Street Trading</t>
        </is>
      </c>
      <c r="C2" s="7" t="inlineStr">
        <is>
          <t>Futures</t>
        </is>
      </c>
      <c r="D2" s="8" t="inlineStr">
        <is>
          <t>OUI</t>
        </is>
      </c>
      <c r="E2" s="7" t="inlineStr">
        <is>
          <t>Non vérifié</t>
        </is>
      </c>
      <c r="F2" s="7" t="inlineStr">
        <is>
          <t>FAQ does not address copying/mirroring between own accounts; automated trading 'Yes, subject to the prohibited trading policy' (no off-the-shelf pass-the-eval strategies)</t>
        </is>
      </c>
      <c r="G2" s="7" t="inlineStr">
        <is>
          <t>4</t>
        </is>
      </c>
      <c r="H2" s="9" t="n">
        <v>150000</v>
      </c>
      <c r="I2" s="9" t="n">
        <v>325000</v>
      </c>
      <c r="J2" s="14" t="inlineStr">
        <is>
          <t>inconnu</t>
        </is>
      </c>
      <c r="K2" s="14" t="inlineStr">
        <is>
          <t>inconnu</t>
        </is>
      </c>
      <c r="L2" s="7" t="inlineStr">
        <is>
          <t>unknown</t>
        </is>
      </c>
      <c r="M2" s="7" t="inlineStr">
        <is>
          <t>unknown</t>
        </is>
      </c>
      <c r="N2" s="7" t="inlineStr">
        <is>
          <t>4 Step et +:unknown (fee 'from $265'; 100k/150k invitation-only per review site)</t>
        </is>
      </c>
      <c r="O2" s="7" t="inlineStr">
        <is>
          <t>not addressed officially (if allowed: 325000)</t>
        </is>
      </c>
      <c r="P2" s="7" t="inlineStr">
        <is>
          <t>official stated: 'The combined starting balances of your active accounts cannot exceed $325,000.' 'One active account per plan size, so up to four at once, one of each size.'</t>
        </is>
      </c>
      <c r="Q2" s="7" t="inlineStr"/>
      <c r="R2" s="7" t="inlineStr">
        <is>
          <t>DXFutures; Volumetrica DeepCharts; Rithmic; TickBlaze</t>
        </is>
      </c>
      <c r="S2" s="7" t="inlineStr">
        <is>
          <t>https://trade18th.com/faq.html</t>
        </is>
      </c>
    </row>
    <row r="3">
      <c r="A3" s="11" t="n">
        <v>2</v>
      </c>
      <c r="B3" s="11" t="inlineStr">
        <is>
          <t>AI Prop</t>
        </is>
      </c>
      <c r="C3" s="11" t="inlineStr">
        <is>
          <t>CFD</t>
        </is>
      </c>
      <c r="D3" s="8" t="inlineStr">
        <is>
          <t>OUI</t>
        </is>
      </c>
      <c r="E3" s="7" t="inlineStr">
        <is>
          <t>Non vérifié</t>
        </is>
      </c>
      <c r="F3" s="11" t="inlineStr">
        <is>
          <t>No official copy-trading/EA rule found (site: 'EAs - no restrictions'); verify with support</t>
        </is>
      </c>
      <c r="G3" s="11" t="inlineStr"/>
      <c r="H3" s="12" t="n">
        <v>200000</v>
      </c>
      <c r="I3" s="11" t="inlineStr">
        <is>
          <t>inconnu</t>
        </is>
      </c>
      <c r="J3" s="14" t="inlineStr">
        <is>
          <t>inconnu</t>
        </is>
      </c>
      <c r="K3" s="14" t="inlineStr">
        <is>
          <t>inconnu</t>
        </is>
      </c>
      <c r="L3" s="11" t="inlineStr">
        <is>
          <t>unknown</t>
        </is>
      </c>
      <c r="M3" s="11" t="inlineStr">
        <is>
          <t>unknown</t>
        </is>
      </c>
      <c r="N3" s="11" t="inlineStr">
        <is>
          <t>unknown (only '$100K account $988' shown, type unclear; sizes to 1M)</t>
        </is>
      </c>
      <c r="O3" s="11" t="inlineStr">
        <is>
          <t>unknown</t>
        </is>
      </c>
      <c r="P3" s="11" t="inlineStr">
        <is>
          <t>unknown (no official cap found; help center/FAQ/terms not readable)</t>
        </is>
      </c>
      <c r="Q3" s="12" t="n">
        <v>5000000</v>
      </c>
      <c r="R3" s="11" t="inlineStr">
        <is>
          <t>cTrader (help center)</t>
        </is>
      </c>
      <c r="S3" s="11" t="inlineStr">
        <is>
          <t>https://help.aiprop.com/ | https://aiprop.com/</t>
        </is>
      </c>
    </row>
    <row r="4">
      <c r="A4" s="7" t="n">
        <v>3</v>
      </c>
      <c r="B4" s="7" t="inlineStr">
        <is>
          <t>Atlas Funded Futures</t>
        </is>
      </c>
      <c r="C4" s="7" t="inlineStr">
        <is>
          <t>Futures</t>
        </is>
      </c>
      <c r="D4" s="8" t="inlineStr">
        <is>
          <t>OUI</t>
        </is>
      </c>
      <c r="E4" s="8" t="inlineStr">
        <is>
          <t>OUI</t>
        </is>
      </c>
      <c r="F4" s="7" t="inlineStr">
        <is>
          <t>Help center: 'Copy trading is allowed only between your own personal Atlas Futures accounts.' Cross-account hedging prohibited; order spamming prohibited</t>
        </is>
      </c>
      <c r="G4" s="7" t="inlineStr"/>
      <c r="H4" s="7" t="inlineStr">
        <is>
          <t>inconnu</t>
        </is>
      </c>
      <c r="I4" s="7" t="inlineStr">
        <is>
          <t>inconnu</t>
        </is>
      </c>
      <c r="J4" s="14" t="inlineStr">
        <is>
          <t>inconnu</t>
        </is>
      </c>
      <c r="K4" s="14" t="inlineStr">
        <is>
          <t>inconnu</t>
        </is>
      </c>
      <c r="L4" s="7" t="inlineStr">
        <is>
          <t>unknown</t>
        </is>
      </c>
      <c r="M4" s="7" t="inlineStr">
        <is>
          <t>unknown</t>
        </is>
      </c>
      <c r="N4" s="7" t="inlineStr"/>
      <c r="O4" s="7" t="inlineStr">
        <is>
          <t>cumulative unknown</t>
        </is>
      </c>
      <c r="P4" s="7" t="inlineStr">
        <is>
          <t>unknown (official: 'You can hold multiple Atlas Futures accounts simultaneously across different challenge types and sizes'; no cap or sizes stated)</t>
        </is>
      </c>
      <c r="Q4" s="7" t="inlineStr"/>
      <c r="R4" s="7" t="inlineStr">
        <is>
          <t>Volumetrica</t>
        </is>
      </c>
      <c r="S4" s="7" t="inlineStr">
        <is>
          <t>https://help.atlasfunded.com/en/articles/16817914-what-are-the-prohibited-trading-activities-at-atlas-futures | https://help.atlasfunded.com/en/articles/15304168-how-many-funded-accounts-can-i-hold</t>
        </is>
      </c>
    </row>
    <row r="5">
      <c r="A5" s="11" t="n">
        <v>4</v>
      </c>
      <c r="B5" s="11" t="inlineStr">
        <is>
          <t>Axia Investing</t>
        </is>
      </c>
      <c r="C5" s="11" t="inlineStr">
        <is>
          <t>Futures</t>
        </is>
      </c>
      <c r="D5" s="8" t="inlineStr">
        <is>
          <t>OUI</t>
        </is>
      </c>
      <c r="E5" s="13" t="inlineStr">
        <is>
          <t>OUI sous conditions</t>
        </is>
      </c>
      <c r="F5" s="11" t="inlineStr">
        <is>
          <t>Official: 'Permitimos o COPY TRADE em nossas regras. Aceitamos robos e replicadores em nossos parametros' (robots only on Profit PRO, replicators on ONE/PRO); regulamento prohibits hedge/counter-positions/arbitrage between own accounts; only 1 remunerated account so no multi-account mirroring</t>
        </is>
      </c>
      <c r="G5" s="11" t="inlineStr">
        <is>
          <t>1</t>
        </is>
      </c>
      <c r="H5" s="11" t="inlineStr">
        <is>
          <t>inconnu</t>
        </is>
      </c>
      <c r="I5" s="11" t="inlineStr">
        <is>
          <t>inconnu</t>
        </is>
      </c>
      <c r="J5" s="14" t="inlineStr">
        <is>
          <t>inconnu</t>
        </is>
      </c>
      <c r="K5" s="14" t="inlineStr">
        <is>
          <t>inconnu</t>
        </is>
      </c>
      <c r="L5" s="11" t="inlineStr">
        <is>
          <t>unknown</t>
        </is>
      </c>
      <c r="M5" s="11" t="inlineStr">
        <is>
          <t>unknown</t>
        </is>
      </c>
      <c r="N5" s="11" t="inlineStr">
        <is>
          <t>unknown (BRL plans; prices not readable)</t>
        </is>
      </c>
      <c r="O5" s="11" t="inlineStr">
        <is>
          <t>single remunerated account (size unknown)</t>
        </is>
      </c>
      <c r="P5" s="11" t="inlineStr">
        <is>
          <t>unknown (official 'como funciona': up to 2 evaluation accounts, only one remunerated account after approval; size in contracts/BRL, Ilimitados up to R$5,000,000)</t>
        </is>
      </c>
      <c r="Q5" s="11" t="inlineStr"/>
      <c r="R5" s="11" t="inlineStr">
        <is>
          <t>ProfitChart ONE/PRO (Nelogica); BlackArrow</t>
        </is>
      </c>
      <c r="S5" s="11" t="inlineStr">
        <is>
          <t>https://axiainvesting.com.br/ | https://axiainvesting.com.br/regulamento/ | https://homologacao.axiainvesting.com.br/como-funciona</t>
        </is>
      </c>
    </row>
    <row r="6">
      <c r="A6" s="7" t="n">
        <v>5</v>
      </c>
      <c r="B6" s="7" t="inlineStr">
        <is>
          <t>Buoytrade</t>
        </is>
      </c>
      <c r="C6" s="7" t="inlineStr">
        <is>
          <t>CFD</t>
        </is>
      </c>
      <c r="D6" s="8" t="inlineStr">
        <is>
          <t>OUI</t>
        </is>
      </c>
      <c r="E6" s="7" t="inlineStr">
        <is>
          <t>Non vérifié</t>
        </is>
      </c>
      <c r="F6" s="7" t="inlineStr">
        <is>
          <t>Trading rules: algorithmic trading/EAs allowed, 'no limits on instruments or position size'; multi-account mirroring not addressed</t>
        </is>
      </c>
      <c r="G6" s="7" t="inlineStr"/>
      <c r="H6" s="9" t="n">
        <v>1024000</v>
      </c>
      <c r="I6" s="9" t="n">
        <v>1024000</v>
      </c>
      <c r="J6" s="14" t="inlineStr">
        <is>
          <t>inconnu</t>
        </is>
      </c>
      <c r="K6" s="10" t="n">
        <v>198</v>
      </c>
      <c r="L6" s="7" t="inlineStr">
        <is>
          <t>1 x 198 (instant Level 2 4k) = 198 (then scaling only)</t>
        </is>
      </c>
      <c r="M6" s="7" t="inlineStr">
        <is>
          <t>Instant-Direct</t>
        </is>
      </c>
      <c r="N6" s="7" t="inlineStr">
        <is>
          <t>Instant-Direct:198 (Level 2, 4k);level_1:99 (2k);one_foot_in:50 (1k)</t>
        </is>
      </c>
      <c r="O6" s="7" t="inlineStr">
        <is>
          <t>not addressed (single ladder; 1024000 only via scaling)</t>
        </is>
      </c>
      <c r="P6" s="7" t="inlineStr">
        <is>
          <t>ATTENTION plafond via scaling. official stated (single scaling ladder to Level 10 $1,024,000; entry Level 2 = 4000)</t>
        </is>
      </c>
      <c r="Q6" s="9" t="n">
        <v>1024000</v>
      </c>
      <c r="R6" s="7" t="inlineStr">
        <is>
          <t>MetaTrader (broker data feed)</t>
        </is>
      </c>
      <c r="S6" s="7" t="inlineStr">
        <is>
          <t>https://buoytrade.com/trading-rules | https://buoytrade.com/</t>
        </is>
      </c>
    </row>
    <row r="7">
      <c r="A7" s="11" t="n">
        <v>6</v>
      </c>
      <c r="B7" s="11" t="inlineStr">
        <is>
          <t>Carrot Funding</t>
        </is>
      </c>
      <c r="C7" s="11" t="inlineStr">
        <is>
          <t>CFD</t>
        </is>
      </c>
      <c r="D7" s="8" t="inlineStr">
        <is>
          <t>OUI</t>
        </is>
      </c>
      <c r="E7" s="7" t="inlineStr">
        <is>
          <t>Non vérifié</t>
        </is>
      </c>
      <c r="F7" s="11" t="inlineStr">
        <is>
          <t>FAQ forbids 'Hedging across accounts' and 'Using HFT systems or mass order automation'; identical strategy across own accounts not addressed; API/bot connectivity unverified</t>
        </is>
      </c>
      <c r="G7" s="11" t="inlineStr"/>
      <c r="H7" s="12" t="n">
        <v>100000</v>
      </c>
      <c r="I7" s="11" t="inlineStr">
        <is>
          <t>inconnu</t>
        </is>
      </c>
      <c r="J7" s="14" t="inlineStr">
        <is>
          <t>inconnu</t>
        </is>
      </c>
      <c r="K7" s="14" t="inlineStr">
        <is>
          <t>inconnu</t>
        </is>
      </c>
      <c r="L7" s="11" t="inlineStr">
        <is>
          <t>unknown</t>
        </is>
      </c>
      <c r="M7" s="11" t="inlineStr">
        <is>
          <t>2 Step</t>
        </is>
      </c>
      <c r="N7" s="11" t="inlineStr">
        <is>
          <t>1 Step:799 (100k);2 Step:699 (100k)</t>
        </is>
      </c>
      <c r="O7" s="11" t="inlineStr">
        <is>
          <t>not addressed</t>
        </is>
      </c>
      <c r="P7" s="11" t="inlineStr">
        <is>
          <t>unknown (FAQ: 'You can hold multiple challenge accounts simultaneously'; no cap)</t>
        </is>
      </c>
      <c r="Q7" s="11" t="inlineStr"/>
      <c r="R7" s="11" t="inlineStr">
        <is>
          <t>proprietary CarrotFunding platform (Hyperliquid venue)</t>
        </is>
      </c>
      <c r="S7" s="11" t="inlineStr">
        <is>
          <t>https://carrotfunding.io/faq/</t>
        </is>
      </c>
    </row>
    <row r="8">
      <c r="A8" s="7" t="n">
        <v>7</v>
      </c>
      <c r="B8" s="7" t="inlineStr">
        <is>
          <t>Cyber Funded</t>
        </is>
      </c>
      <c r="C8" s="7" t="inlineStr">
        <is>
          <t>CFD</t>
        </is>
      </c>
      <c r="D8" s="8" t="inlineStr">
        <is>
          <t>OUI</t>
        </is>
      </c>
      <c r="E8" s="7" t="inlineStr">
        <is>
          <t>Non vérifié</t>
        </is>
      </c>
      <c r="F8" s="7" t="inlineStr">
        <is>
          <t>Homepage: 'Expert Advisor (EA / Bot) support'; no copy-trading rule found</t>
        </is>
      </c>
      <c r="G8" s="7" t="inlineStr"/>
      <c r="H8" s="9" t="n">
        <v>200000</v>
      </c>
      <c r="I8" s="7" t="inlineStr">
        <is>
          <t>inconnu</t>
        </is>
      </c>
      <c r="J8" s="14" t="inlineStr">
        <is>
          <t>inconnu</t>
        </is>
      </c>
      <c r="K8" s="14" t="inlineStr">
        <is>
          <t>inconnu</t>
        </is>
      </c>
      <c r="L8" s="7" t="inlineStr">
        <is>
          <t>unknown</t>
        </is>
      </c>
      <c r="M8" s="7" t="inlineStr">
        <is>
          <t>unknown</t>
        </is>
      </c>
      <c r="N8" s="7" t="inlineStr">
        <is>
          <t>2 Step:566 (EUR519, 100k) [review site]; 200k unknown</t>
        </is>
      </c>
      <c r="O8" s="7" t="inlineStr">
        <is>
          <t>unknown</t>
        </is>
      </c>
      <c r="P8" s="7" t="inlineStr">
        <is>
          <t>ATTENTION plafond via scaling. unknown (no cap found; homepage only 'up to $2M' scaling)</t>
        </is>
      </c>
      <c r="Q8" s="9" t="n">
        <v>2000000</v>
      </c>
      <c r="R8" s="7" t="inlineStr">
        <is>
          <t>MT5 (more coming)</t>
        </is>
      </c>
      <c r="S8" s="7" t="inlineStr">
        <is>
          <t>https://cyberfunded.com/ | https://theindustryspread.com/cyber-funded-review-90-percent-profit-split-prize-clause-18-4-5/ (fallback)</t>
        </is>
      </c>
    </row>
    <row r="9">
      <c r="A9" s="11" t="n">
        <v>8</v>
      </c>
      <c r="B9" s="11" t="inlineStr">
        <is>
          <t>Eleonex</t>
        </is>
      </c>
      <c r="C9" s="11" t="inlineStr">
        <is>
          <t>CFD</t>
        </is>
      </c>
      <c r="D9" s="8" t="inlineStr">
        <is>
          <t>OUI</t>
        </is>
      </c>
      <c r="E9" s="7" t="inlineStr">
        <is>
          <t>Non vérifié</t>
        </is>
      </c>
      <c r="F9" s="11" t="inlineStr">
        <is>
          <t>Help: 'Expert Advisors (EAs) and cBots are permitted, but they require prior approval from Eleonex before use'; copy trading between own accounts not found</t>
        </is>
      </c>
      <c r="G9" s="11" t="inlineStr"/>
      <c r="H9" s="12" t="n">
        <v>150000</v>
      </c>
      <c r="I9" s="12" t="n">
        <v>300000</v>
      </c>
      <c r="J9" s="14" t="inlineStr">
        <is>
          <t>inconnu</t>
        </is>
      </c>
      <c r="K9" s="14" t="inlineStr">
        <is>
          <t>inconnu</t>
        </is>
      </c>
      <c r="L9" s="11" t="inlineStr">
        <is>
          <t>unknown</t>
        </is>
      </c>
      <c r="M9" s="11" t="inlineStr">
        <is>
          <t>unknown</t>
        </is>
      </c>
      <c r="N9" s="11" t="inlineStr">
        <is>
          <t>Instant-Direct:449 (Ignite 100k);1 Step:449 (Forge Flex 100k)/379 (Pulse Core 100k);2 Step:429 (Forge Flex 100k)/399 (Pulse Core 100k);3 Step:659 (Forge Flex 150k)/529 (Pulse Flex 150k)</t>
        </is>
      </c>
      <c r="O9" s="11" t="inlineStr">
        <is>
          <t>not addressed</t>
        </is>
      </c>
      <c r="P9" s="11" t="inlineStr">
        <is>
          <t>official stated (marketing: 'Up to $300K funding'); no cumulative rule found</t>
        </is>
      </c>
      <c r="Q9" s="12" t="n">
        <v>300000</v>
      </c>
      <c r="R9" s="11" t="inlineStr">
        <is>
          <t>cTrader</t>
        </is>
      </c>
      <c r="S9" s="11" t="inlineStr">
        <is>
          <t>https://help.eleonex.com/en/articles/16160585-expert-advisors | https://eleonex.com/</t>
        </is>
      </c>
    </row>
    <row r="10">
      <c r="A10" s="7" t="n">
        <v>9</v>
      </c>
      <c r="B10" s="7" t="inlineStr">
        <is>
          <t>Euroinvest</t>
        </is>
      </c>
      <c r="C10" s="7" t="inlineStr">
        <is>
          <t>Futures</t>
        </is>
      </c>
      <c r="D10" s="8" t="inlineStr">
        <is>
          <t>OUI</t>
        </is>
      </c>
      <c r="E10" s="13" t="inlineStr">
        <is>
          <t>OUI sous conditions</t>
        </is>
      </c>
      <c r="F10" s="7" t="inlineStr">
        <is>
          <t>Official: 'o uso de replicador e permitido ... respeitando ... o modulo replicador oficial da Nelogica' between own accounts; 'expressamente vedado o uso de copiadores de operacoes (Copy Trade)' (third-party); robots allowed only on Nelogica platforms</t>
        </is>
      </c>
      <c r="G10" s="7" t="inlineStr">
        <is>
          <t>6</t>
        </is>
      </c>
      <c r="H10" s="7" t="inlineStr">
        <is>
          <t>inconnu</t>
        </is>
      </c>
      <c r="I10" s="7" t="inlineStr">
        <is>
          <t>inconnu</t>
        </is>
      </c>
      <c r="J10" s="14" t="inlineStr">
        <is>
          <t>inconnu</t>
        </is>
      </c>
      <c r="K10" s="14" t="inlineStr">
        <is>
          <t>inconnu</t>
        </is>
      </c>
      <c r="L10" s="7" t="inlineStr">
        <is>
          <t>unknown</t>
        </is>
      </c>
      <c r="M10" s="7" t="inlineStr">
        <is>
          <t>unknown</t>
        </is>
      </c>
      <c r="N10" s="7" t="inlineStr">
        <is>
          <t>platinum_55_mini:R$4499 list (~830 USD; a vista R$1349.70); Lite 5 mini R$549</t>
        </is>
      </c>
      <c r="O10" s="7" t="inlineStr">
        <is>
          <t>6 accounts (3+3) via Nelogica replicator; capital in contracts (unknown USD)</t>
        </is>
      </c>
      <c r="P10" s="7" t="inlineStr">
        <is>
          <t>unknown (official: 'ate 6 contas por CPF: 3 de Indice/Dolar e 3 de Bitcoin'; sizes in mini contracts 5-55+, no USD cap)</t>
        </is>
      </c>
      <c r="Q10" s="7" t="inlineStr"/>
      <c r="R10" s="7" t="inlineStr">
        <is>
          <t>Rocket Trader; Profit One; Profit Pro (Nelogica)</t>
        </is>
      </c>
      <c r="S10" s="7" t="inlineStr">
        <is>
          <t>https://euroinvest.com.br/</t>
        </is>
      </c>
    </row>
    <row r="11">
      <c r="A11" s="11" t="n">
        <v>10</v>
      </c>
      <c r="B11" s="11" t="inlineStr">
        <is>
          <t>EverBlue Trader</t>
        </is>
      </c>
      <c r="C11" s="11" t="inlineStr">
        <is>
          <t>CFD</t>
        </is>
      </c>
      <c r="D11" s="8" t="inlineStr">
        <is>
          <t>OUI</t>
        </is>
      </c>
      <c r="E11" s="7" t="inlineStr">
        <is>
          <t>Non vérifié</t>
        </is>
      </c>
      <c r="F11" s="11" t="inlineStr">
        <is>
          <t>Site: 'EAs Allowed' all phases, 'No limitations on trading style'; copying/mirroring between own accounts not addressed</t>
        </is>
      </c>
      <c r="G11" s="11" t="inlineStr">
        <is>
          <t>unlimited</t>
        </is>
      </c>
      <c r="H11" s="12" t="n">
        <v>115000</v>
      </c>
      <c r="I11" s="12" t="n">
        <v>400000</v>
      </c>
      <c r="J11" s="14" t="inlineStr">
        <is>
          <t>inconnu</t>
        </is>
      </c>
      <c r="K11" s="14" t="inlineStr">
        <is>
          <t>inconnu</t>
        </is>
      </c>
      <c r="L11" s="11" t="inlineStr">
        <is>
          <t>unknown (if allowed: 3 x 499 + 1 x 75k fee = ~1600)</t>
        </is>
      </c>
      <c r="M11" s="11" t="inlineStr">
        <is>
          <t>2 Step</t>
        </is>
      </c>
      <c r="N11" s="11" t="inlineStr">
        <is>
          <t>2 Step:499 (115k)</t>
        </is>
      </c>
      <c r="O11" s="11" t="inlineStr">
        <is>
          <t>not addressed (if allowed: 3 x 115000 + 35000 = 380000 &lt;= 400000)</t>
        </is>
      </c>
      <c r="P11" s="11" t="inlineStr">
        <is>
          <t>official stated: 'maximum capital allocation limit of $400,000 per trader (before scaling)'; 'no restriction on the number of accounts'</t>
        </is>
      </c>
      <c r="Q11" s="11" t="inlineStr"/>
      <c r="R11" s="11" t="inlineStr">
        <is>
          <t>TradeLocker only</t>
        </is>
      </c>
      <c r="S11" s="11" t="inlineStr">
        <is>
          <t>https://everbluetrader.com/</t>
        </is>
      </c>
    </row>
    <row r="12">
      <c r="A12" s="7" t="n">
        <v>11</v>
      </c>
      <c r="B12" s="7" t="inlineStr">
        <is>
          <t>EverFunded</t>
        </is>
      </c>
      <c r="C12" s="7" t="inlineStr">
        <is>
          <t>CFD</t>
        </is>
      </c>
      <c r="D12" s="8" t="inlineStr">
        <is>
          <t>OUI</t>
        </is>
      </c>
      <c r="E12" s="8" t="inlineStr">
        <is>
          <t>OUI</t>
        </is>
      </c>
      <c r="F12" s="7" t="inlineStr">
        <is>
          <t>review site (propfirmmap): EAs permitted where trader can demonstrate ownership; 'copy trading is permitted only between a trader's own accounts'; official FAQ answers not readable</t>
        </is>
      </c>
      <c r="G12" s="7" t="inlineStr"/>
      <c r="H12" s="9" t="n">
        <v>200000</v>
      </c>
      <c r="I12" s="7" t="inlineStr">
        <is>
          <t>inconnu</t>
        </is>
      </c>
      <c r="J12" s="14" t="inlineStr">
        <is>
          <t>inconnu</t>
        </is>
      </c>
      <c r="K12" s="14" t="inlineStr">
        <is>
          <t>inconnu</t>
        </is>
      </c>
      <c r="L12" s="7" t="inlineStr">
        <is>
          <t>unknown</t>
        </is>
      </c>
      <c r="M12" s="7" t="inlineStr">
        <is>
          <t>2 Step</t>
        </is>
      </c>
      <c r="N12" s="7" t="inlineStr">
        <is>
          <t>2 Step:1250 (200k list);1 Step:unknown;Instant-Direct:unknown</t>
        </is>
      </c>
      <c r="O12" s="7" t="inlineStr">
        <is>
          <t>cumulative unknown</t>
        </is>
      </c>
      <c r="P12" s="7" t="inlineStr">
        <is>
          <t>unknown (no cap published)</t>
        </is>
      </c>
      <c r="Q12" s="7" t="inlineStr"/>
      <c r="R12" s="7" t="inlineStr">
        <is>
          <t>MT5; Match-Trader</t>
        </is>
      </c>
      <c r="S12" s="7" t="inlineStr">
        <is>
          <t>https://everfunded.com/faq | https://propfirmmap.com/blog/everfunded-review (fallback)</t>
        </is>
      </c>
    </row>
    <row r="13">
      <c r="A13" s="11" t="n">
        <v>12</v>
      </c>
      <c r="B13" s="11" t="inlineStr">
        <is>
          <t>Firewood Funded</t>
        </is>
      </c>
      <c r="C13" s="11" t="inlineStr">
        <is>
          <t>CFD</t>
        </is>
      </c>
      <c r="D13" s="8" t="inlineStr">
        <is>
          <t>OUI</t>
        </is>
      </c>
      <c r="E13" s="7" t="inlineStr">
        <is>
          <t>Non vérifié</t>
        </is>
      </c>
      <c r="F13" s="11" t="inlineStr">
        <is>
          <t>Official FAQ not machine-readable; review sites: EAs allowed inside permitted platform (proprietary FireTrader only); copy rule not found</t>
        </is>
      </c>
      <c r="G13" s="11" t="inlineStr"/>
      <c r="H13" s="12" t="n">
        <v>50000</v>
      </c>
      <c r="I13" s="11" t="inlineStr">
        <is>
          <t>inconnu</t>
        </is>
      </c>
      <c r="J13" s="14" t="inlineStr">
        <is>
          <t>inconnu</t>
        </is>
      </c>
      <c r="K13" s="14" t="inlineStr">
        <is>
          <t>inconnu</t>
        </is>
      </c>
      <c r="L13" s="11" t="inlineStr">
        <is>
          <t>unknown</t>
        </is>
      </c>
      <c r="M13" s="11" t="inlineStr">
        <is>
          <t>unknown</t>
        </is>
      </c>
      <c r="N13" s="11" t="inlineStr">
        <is>
          <t>Instant-Direct:unknown (50k; 1k = 13.90);2 Step:unknown (10k)</t>
        </is>
      </c>
      <c r="O13" s="11" t="inlineStr">
        <is>
          <t>unknown</t>
        </is>
      </c>
      <c r="P13" s="11" t="inlineStr">
        <is>
          <t>unknown (not published)</t>
        </is>
      </c>
      <c r="Q13" s="11" t="inlineStr"/>
      <c r="R13" s="11" t="inlineStr">
        <is>
          <t>FireTrader (proprietary, browser)</t>
        </is>
      </c>
      <c r="S13" s="11" t="inlineStr">
        <is>
          <t>https://firewoodfunded.com/ | https://propfirmmap.com/blog/firewoodfunded-review (fallback)</t>
        </is>
      </c>
    </row>
    <row r="14">
      <c r="A14" s="7" t="n">
        <v>13</v>
      </c>
      <c r="B14" s="7" t="inlineStr">
        <is>
          <t>Flagship Funded</t>
        </is>
      </c>
      <c r="C14" s="7" t="inlineStr">
        <is>
          <t>CFD</t>
        </is>
      </c>
      <c r="D14" s="8" t="inlineStr">
        <is>
          <t>OUI</t>
        </is>
      </c>
      <c r="E14" s="7" t="inlineStr">
        <is>
          <t>Non vérifié</t>
        </is>
      </c>
      <c r="F14" s="7" t="inlineStr">
        <is>
          <t>Trading restrictions: 'Cross-Account Hedging' ('Using multiple accounts to offset risk') prohibited; EAs 'Not permitted' without paid EA add-on; copying between own accounts not addressed</t>
        </is>
      </c>
      <c r="G14" s="7" t="inlineStr"/>
      <c r="H14" s="9" t="n">
        <v>100000</v>
      </c>
      <c r="I14" s="7" t="inlineStr">
        <is>
          <t>inconnu</t>
        </is>
      </c>
      <c r="J14" s="14" t="inlineStr">
        <is>
          <t>inconnu</t>
        </is>
      </c>
      <c r="K14" s="14" t="inlineStr">
        <is>
          <t>inconnu</t>
        </is>
      </c>
      <c r="L14" s="7" t="inlineStr">
        <is>
          <t>unknown</t>
        </is>
      </c>
      <c r="M14" s="7" t="inlineStr">
        <is>
          <t>unknown</t>
        </is>
      </c>
      <c r="N14" s="7" t="inlineStr">
        <is>
          <t>unknown (Anchor 10k = 89; EA add-on price unknown)</t>
        </is>
      </c>
      <c r="O14" s="7" t="inlineStr">
        <is>
          <t>not addressed</t>
        </is>
      </c>
      <c r="P14" s="7" t="inlineStr">
        <is>
          <t>ATTENTION plafond via scaling. unknown (not published; only scaling path shown)</t>
        </is>
      </c>
      <c r="Q14" s="9" t="n">
        <v>1200000</v>
      </c>
      <c r="R14" s="7" t="inlineStr">
        <is>
          <t>TradeLocker;HypTrader</t>
        </is>
      </c>
      <c r="S14" s="7" t="inlineStr">
        <is>
          <t>https://faq.flagshipfunded.com/help/flagship-funded/trading-restrictions | https://flagshipfunded.com/</t>
        </is>
      </c>
    </row>
    <row r="15">
      <c r="A15" s="11" t="n">
        <v>14</v>
      </c>
      <c r="B15" s="11" t="inlineStr">
        <is>
          <t>Fx Expert Funded</t>
        </is>
      </c>
      <c r="C15" s="11" t="inlineStr">
        <is>
          <t>CFD</t>
        </is>
      </c>
      <c r="D15" s="8" t="inlineStr">
        <is>
          <t>OUI</t>
        </is>
      </c>
      <c r="E15" s="7" t="inlineStr">
        <is>
          <t>Non vérifié</t>
        </is>
      </c>
      <c r="F15" s="11" t="inlineStr">
        <is>
          <t>Official pages have no EA/copy statement; T&amp;C (affiliate-focused) says one account per person. TTP text says EAs and copy trading allowed while TTP field says 'Copy Trading Not Allowed' - contradictory; competition-to-funded model with doubling scaling.</t>
        </is>
      </c>
      <c r="G15" s="11" t="inlineStr">
        <is>
          <t>1 (official T&amp;C: 'One person or legal entity may not maintain more than one account')</t>
        </is>
      </c>
      <c r="H15" s="12" t="n">
        <v>400000</v>
      </c>
      <c r="I15" s="12" t="n">
        <v>500000</v>
      </c>
      <c r="J15" s="14" t="inlineStr">
        <is>
          <t>inconnu</t>
        </is>
      </c>
      <c r="K15" s="14" t="inlineStr">
        <is>
          <t>inconnu</t>
        </is>
      </c>
      <c r="L15" s="11" t="inlineStr">
        <is>
          <t>unknown</t>
        </is>
      </c>
      <c r="M15" s="11" t="inlineStr">
        <is>
          <t>unknown</t>
        </is>
      </c>
      <c r="N15" s="11" t="inlineStr">
        <is>
          <t>unknown (competition entry free; TTP: from $99; no per-size price list retrievable)</t>
        </is>
      </c>
      <c r="O15" s="11" t="inlineStr">
        <is>
          <t>unknown (conflicting review data; one account per person would imply single account)</t>
        </is>
      </c>
      <c r="P15" s="11" t="inlineStr">
        <is>
          <t>review site (TTP)</t>
        </is>
      </c>
      <c r="Q15" s="11" t="inlineStr"/>
      <c r="R15" s="11" t="inlineStr">
        <is>
          <t>MT4;MT5;cTrader;TradeLocker (TTP)</t>
        </is>
      </c>
      <c r="S15" s="11" t="inlineStr">
        <is>
          <t>https://fxexpertfunded.com/ ; https://fxexpertfunded.com/terms-and-conditions/ ; https://thetrustedprop.com/prop-firms/fx-expert-funded</t>
        </is>
      </c>
    </row>
    <row r="16">
      <c r="A16" s="7" t="n">
        <v>15</v>
      </c>
      <c r="B16" s="7" t="inlineStr">
        <is>
          <t>Great Point Capital</t>
        </is>
      </c>
      <c r="C16" s="7" t="inlineStr">
        <is>
          <t>CFD</t>
        </is>
      </c>
      <c r="D16" s="8" t="inlineStr">
        <is>
          <t>OUI</t>
        </is>
      </c>
      <c r="E16" s="7" t="inlineStr">
        <is>
          <t>Non vérifié</t>
        </is>
      </c>
      <c r="F16" s="7" t="inlineStr">
        <is>
          <t>Not a retail evaluation prop firm; capital frameworks negotiated by application; no published multi-account/copy rules.</t>
        </is>
      </c>
      <c r="G16" s="7" t="inlineStr"/>
      <c r="H16" s="7" t="inlineStr">
        <is>
          <t>inconnu</t>
        </is>
      </c>
      <c r="I16" s="7" t="inlineStr">
        <is>
          <t>inconnu</t>
        </is>
      </c>
      <c r="J16" s="14" t="inlineStr">
        <is>
          <t>inconnu</t>
        </is>
      </c>
      <c r="K16" s="14" t="inlineStr">
        <is>
          <t>inconnu</t>
        </is>
      </c>
      <c r="L16" s="7" t="inlineStr">
        <is>
          <t>unknown</t>
        </is>
      </c>
      <c r="M16" s="7" t="inlineStr">
        <is>
          <t>unknown</t>
        </is>
      </c>
      <c r="N16" s="7" t="inlineStr">
        <is>
          <t>Non précisé:n/a</t>
        </is>
      </c>
      <c r="O16" s="7" t="inlineStr">
        <is>
          <t>not applicable</t>
        </is>
      </c>
      <c r="P16" s="7" t="inlineStr">
        <is>
          <t>not a challenge model (FINRA broker-dealer; institutional DMA/FIX by application)</t>
        </is>
      </c>
      <c r="Q16" s="7" t="inlineStr"/>
      <c r="R16" s="7" t="inlineStr">
        <is>
          <t>FIX API / DMA (institutional)</t>
        </is>
      </c>
      <c r="S16" s="7" t="inlineStr">
        <is>
          <t>https://greatpointcapital.com/</t>
        </is>
      </c>
    </row>
    <row r="17">
      <c r="A17" s="11" t="n">
        <v>16</v>
      </c>
      <c r="B17" s="11" t="inlineStr">
        <is>
          <t>Instant Funding Pakistan</t>
        </is>
      </c>
      <c r="C17" s="11" t="inlineStr">
        <is>
          <t>CFD</t>
        </is>
      </c>
      <c r="D17" s="8" t="inlineStr">
        <is>
          <t>OUI</t>
        </is>
      </c>
      <c r="E17" s="7" t="inlineStr">
        <is>
          <t>Non vérifié</t>
        </is>
      </c>
      <c r="F17" s="11" t="inlineStr">
        <is>
          <t>Official rules: 'Automated trading systems are permitted with adherence to our lot sizing and risk management' (pre-approval for custom algorithms); no statement on copy trading or multiple accounts found.</t>
        </is>
      </c>
      <c r="G17" s="11" t="inlineStr"/>
      <c r="H17" s="12" t="n">
        <v>100000</v>
      </c>
      <c r="I17" s="11" t="inlineStr">
        <is>
          <t>inconnu</t>
        </is>
      </c>
      <c r="J17" s="14" t="inlineStr">
        <is>
          <t>inconnu</t>
        </is>
      </c>
      <c r="K17" s="14" t="inlineStr">
        <is>
          <t>inconnu</t>
        </is>
      </c>
      <c r="L17" s="11" t="inlineStr">
        <is>
          <t>unknown</t>
        </is>
      </c>
      <c r="M17" s="11" t="inlineStr">
        <is>
          <t>unknown</t>
        </is>
      </c>
      <c r="N17" s="11" t="inlineStr">
        <is>
          <t>2 Step:499 (100k, official; refundable on pass)</t>
        </is>
      </c>
      <c r="O17" s="11" t="inlineStr">
        <is>
          <t>unknown</t>
        </is>
      </c>
      <c r="P17" s="11" t="inlineStr">
        <is>
          <t>not published</t>
        </is>
      </c>
      <c r="Q17" s="11" t="inlineStr"/>
      <c r="R17" s="11" t="inlineStr">
        <is>
          <t>MT4;MT5;cTrader</t>
        </is>
      </c>
      <c r="S17" s="11" t="inlineStr">
        <is>
          <t>https://instantfunding-pakistan.com/rules/ ; https://instantfunding-pakistan.com/</t>
        </is>
      </c>
    </row>
    <row r="18">
      <c r="A18" s="7" t="n">
        <v>17</v>
      </c>
      <c r="B18" s="7" t="inlineStr">
        <is>
          <t>LevaFX</t>
        </is>
      </c>
      <c r="C18" s="7" t="inlineStr">
        <is>
          <t>CFD</t>
        </is>
      </c>
      <c r="D18" s="8" t="inlineStr">
        <is>
          <t>OUI</t>
        </is>
      </c>
      <c r="E18" s="7" t="inlineStr">
        <is>
          <t>Non vérifié</t>
        </is>
      </c>
      <c r="F18" s="7" t="inlineStr">
        <is>
          <t>Official: 'Your own EAs and automated strategies are welcome'; no statement on multiple accounts or copy trading; proprietary LEVA Terminal (no MT/API documented).</t>
        </is>
      </c>
      <c r="G18" s="7" t="inlineStr"/>
      <c r="H18" s="9" t="n">
        <v>50000</v>
      </c>
      <c r="I18" s="7" t="inlineStr">
        <is>
          <t>inconnu</t>
        </is>
      </c>
      <c r="J18" s="14" t="inlineStr">
        <is>
          <t>inconnu</t>
        </is>
      </c>
      <c r="K18" s="14" t="inlineStr">
        <is>
          <t>inconnu</t>
        </is>
      </c>
      <c r="L18" s="7" t="inlineStr">
        <is>
          <t>unknown</t>
        </is>
      </c>
      <c r="M18" s="7" t="inlineStr">
        <is>
          <t>2 Step</t>
        </is>
      </c>
      <c r="N18" s="7" t="inlineStr">
        <is>
          <t>2 Step:149 (25k; 50k price not shown) [official]</t>
        </is>
      </c>
      <c r="O18" s="7" t="inlineStr">
        <is>
          <t>unknown</t>
        </is>
      </c>
      <c r="P18" s="7" t="inlineStr">
        <is>
          <t>not published</t>
        </is>
      </c>
      <c r="Q18" s="7" t="inlineStr"/>
      <c r="R18" s="7" t="inlineStr">
        <is>
          <t>LEVA Terminal (proprietary; no EA/API documented)</t>
        </is>
      </c>
      <c r="S18" s="7" t="inlineStr">
        <is>
          <t>https://levafx.com/faq ; https://levafx.com/challenges</t>
        </is>
      </c>
    </row>
    <row r="19">
      <c r="A19" s="11" t="n">
        <v>18</v>
      </c>
      <c r="B19" s="11" t="inlineStr">
        <is>
          <t>Market Mates</t>
        </is>
      </c>
      <c r="C19" s="11" t="inlineStr">
        <is>
          <t>CFD</t>
        </is>
      </c>
      <c r="D19" s="8" t="inlineStr">
        <is>
          <t>OUI</t>
        </is>
      </c>
      <c r="E19" s="13" t="inlineStr">
        <is>
          <t>OUI sous conditions</t>
        </is>
      </c>
      <c r="F19" s="11" t="inlineStr">
        <is>
          <t>Official T&amp;C: 'Copy trading of your own funded account to another funded account within MarketMates under the same name is allowed.' Prohibited: 'Multi-Account Coordination: Opening multiple accounts to copy trades, hedge positions, or bypass limits', signal copying, reverse copying. EAs permitted if compliant/transparent (no HFT, tick scalping, grid, martingale).</t>
        </is>
      </c>
      <c r="G19" s="11" t="inlineStr"/>
      <c r="H19" s="12" t="n">
        <v>100000</v>
      </c>
      <c r="I19" s="11" t="inlineStr">
        <is>
          <t>inconnu</t>
        </is>
      </c>
      <c r="J19" s="14" t="inlineStr">
        <is>
          <t>inconnu</t>
        </is>
      </c>
      <c r="K19" s="14" t="inlineStr">
        <is>
          <t>inconnu</t>
        </is>
      </c>
      <c r="L19" s="11" t="inlineStr">
        <is>
          <t>unknown</t>
        </is>
      </c>
      <c r="M19" s="11" t="inlineStr">
        <is>
          <t>one_phase</t>
        </is>
      </c>
      <c r="N19" s="11" t="inlineStr">
        <is>
          <t>one_phase:unknown (100k; 10k = 99);two_phase:unknown [official page shows only 10k price]</t>
        </is>
      </c>
      <c r="O19" s="11" t="inlineStr">
        <is>
          <t>funded-to-funded copying allowed but no allocation cap published -&gt; unknown (&gt;= single 100000)</t>
        </is>
      </c>
      <c r="P19" s="11" t="inlineStr">
        <is>
          <t>not published (official T&amp;C/pages give no total cap)</t>
        </is>
      </c>
      <c r="Q19" s="11" t="inlineStr"/>
      <c r="R19" s="11" t="inlineStr">
        <is>
          <t>MT5, Match-Trader</t>
        </is>
      </c>
      <c r="S19" s="11" t="inlineStr">
        <is>
          <t>https://marketmates.com/prop-trading-terms-and-conditions/ ; https://marketmates.com/prop-trading/</t>
        </is>
      </c>
    </row>
    <row r="20">
      <c r="A20" s="7" t="n">
        <v>19</v>
      </c>
      <c r="B20" s="7" t="inlineStr">
        <is>
          <t>NairaFunded</t>
        </is>
      </c>
      <c r="C20" s="7" t="inlineStr">
        <is>
          <t>cfd_ngn</t>
        </is>
      </c>
      <c r="D20" s="8" t="inlineStr">
        <is>
          <t>OUI</t>
        </is>
      </c>
      <c r="E20" s="15" t="inlineStr">
        <is>
          <t>NON (un seul compte par stratégie)</t>
        </is>
      </c>
      <c r="F20" s="7" t="inlineStr">
        <is>
          <t>Official rules: 'Trading multiple accounts' listed under prohibited strategies; 'Custodial copy-trading via MAM/PAMM accounts' not allowed; EAs and bots allowed if they obey asset and trade-duration rules (no trades under 3 minutes).</t>
        </is>
      </c>
      <c r="G20" s="7" t="inlineStr">
        <is>
          <t>1</t>
        </is>
      </c>
      <c r="H20" s="7" t="inlineStr">
        <is>
          <t>inconnu</t>
        </is>
      </c>
      <c r="I20" s="7" t="inlineStr">
        <is>
          <t>inconnu</t>
        </is>
      </c>
      <c r="J20" s="14" t="inlineStr">
        <is>
          <t>inconnu</t>
        </is>
      </c>
      <c r="K20" s="10" t="n">
        <v>58000</v>
      </c>
      <c r="L20" s="7" t="inlineStr">
        <is>
          <t>1 x 58000 NGN (two_step 1.5M NGN) = 58000 NGN</t>
        </is>
      </c>
      <c r="M20" s="7" t="inlineStr">
        <is>
          <t>2 Step</t>
        </is>
      </c>
      <c r="N20" s="7" t="inlineStr">
        <is>
          <t>2 Step:58000 NGN (1.5M NGN Apex) [official; NGN]</t>
        </is>
      </c>
      <c r="O20" s="7" t="inlineStr">
        <is>
          <t>NO -&gt; single account 1,500,000 NGN (Apex)</t>
        </is>
      </c>
      <c r="P20" s="7" t="inlineStr">
        <is>
          <t>official rules: 'Trading multiple accounts' prohibited -&gt; single largest account (Apex 1,500,000 NGN)</t>
        </is>
      </c>
      <c r="Q20" s="7" t="inlineStr"/>
      <c r="R20" s="7" t="inlineStr">
        <is>
          <t>MT5</t>
        </is>
      </c>
      <c r="S20" s="7" t="inlineStr">
        <is>
          <t>https://nairafunded.com/rules ; https://nairafunded.com/shop</t>
        </is>
      </c>
    </row>
    <row r="21">
      <c r="A21" s="11" t="n">
        <v>20</v>
      </c>
      <c r="B21" s="11" t="inlineStr">
        <is>
          <t>NairaProp</t>
        </is>
      </c>
      <c r="C21" s="11" t="inlineStr">
        <is>
          <t>cfd_ngn</t>
        </is>
      </c>
      <c r="D21" s="8" t="inlineStr">
        <is>
          <t>OUI</t>
        </is>
      </c>
      <c r="E21" s="7" t="inlineStr">
        <is>
          <t>Non vérifié</t>
        </is>
      </c>
      <c r="F21" s="11" t="inlineStr">
        <is>
          <t>Official challenge rules: multiple accounts allowed ('traded by you alone'); 'News, EAs, overnight &amp; weekends - allowed'; automated HFT/latency arbitrage prohibited; no explicit statement on copying/identical trades across own accounts (site lists a 'Journal Copier' feature).</t>
        </is>
      </c>
      <c r="G21" s="11" t="inlineStr">
        <is>
          <t>unlimited (official)</t>
        </is>
      </c>
      <c r="H21" s="11" t="inlineStr">
        <is>
          <t>inconnu</t>
        </is>
      </c>
      <c r="I21" s="11" t="inlineStr">
        <is>
          <t>inconnu</t>
        </is>
      </c>
      <c r="J21" s="14" t="inlineStr">
        <is>
          <t>inconnu</t>
        </is>
      </c>
      <c r="K21" s="14" t="inlineStr">
        <is>
          <t>inconnu</t>
        </is>
      </c>
      <c r="L21" s="11" t="inlineStr">
        <is>
          <t>unknown</t>
        </is>
      </c>
      <c r="M21" s="11" t="inlineStr">
        <is>
          <t>np_flex (2 Step)</t>
        </is>
      </c>
      <c r="N21" s="11" t="inlineStr">
        <is>
          <t>np_flex_2 Step:49000 NGN (1M NGN; 3M NGN price not retrieved) [official; NGN]</t>
        </is>
      </c>
      <c r="O21" s="11" t="inlineStr">
        <is>
          <t>unknown (multiple accounts allowed, copying rule not stated; &gt;= single 3,000,000 NGN)</t>
        </is>
      </c>
      <c r="P21" s="11" t="inlineStr">
        <is>
          <t>ATTENTION plafond via scaling. not published (official: 'Buy and trade as many accounts as you like under it - traded by you alone'; largest account 3,000,000 NGN; NP MAX scaling to 8M)</t>
        </is>
      </c>
      <c r="Q21" s="11" t="inlineStr"/>
      <c r="R21" s="11" t="inlineStr">
        <is>
          <t>MT5</t>
        </is>
      </c>
      <c r="S21" s="11" t="inlineStr">
        <is>
          <t>https://nairaprop.com/challenge-rules ; https://nairaprop.com/</t>
        </is>
      </c>
    </row>
    <row r="22">
      <c r="A22" s="7" t="n">
        <v>21</v>
      </c>
      <c r="B22" s="7" t="inlineStr">
        <is>
          <t>Nova Funded</t>
        </is>
      </c>
      <c r="C22" s="7" t="inlineStr">
        <is>
          <t>CFD + Futures</t>
        </is>
      </c>
      <c r="D22" s="8" t="inlineStr">
        <is>
          <t>OUI</t>
        </is>
      </c>
      <c r="E22" s="7" t="inlineStr">
        <is>
          <t>Non vérifié</t>
        </is>
      </c>
      <c r="F22" s="7" t="inlineStr">
        <is>
          <t>Official FAQ silent on copying between own accounts; prohibits 'Utilizing any third-party strategy, off-the-shelf strategy', changing strategy between assessment and funded, and 'Attempting to arbitrage an assessment account with another account with Nova Funded'.</t>
        </is>
      </c>
      <c r="G22" s="7" t="inlineStr"/>
      <c r="H22" s="9" t="n">
        <v>400000</v>
      </c>
      <c r="I22" s="9" t="n">
        <v>1000000</v>
      </c>
      <c r="J22" s="14" t="inlineStr">
        <is>
          <t>inconnu</t>
        </is>
      </c>
      <c r="K22" s="14" t="inlineStr">
        <is>
          <t>inconnu</t>
        </is>
      </c>
      <c r="L22" s="7" t="inlineStr">
        <is>
          <t>unknown</t>
        </is>
      </c>
      <c r="M22" s="7" t="inlineStr">
        <is>
          <t>unknown</t>
        </is>
      </c>
      <c r="N22" s="7" t="inlineStr">
        <is>
          <t>unknown (pricing behind portal)</t>
        </is>
      </c>
      <c r="O22" s="7" t="inlineStr">
        <is>
          <t>unknown (no own-account copy rule found)</t>
        </is>
      </c>
      <c r="P22" s="7" t="inlineStr">
        <is>
          <t>official stated: 'A maximum of $1 million in active funded plans per person is permitted' (also $1M active evaluations; Instant Funding $190K; Funded Futures combined $325K)</t>
        </is>
      </c>
      <c r="Q22" s="7" t="inlineStr"/>
      <c r="R22" s="7" t="inlineStr">
        <is>
          <t>DXtrade (no EAs), Match-Trader, cTrader (FX/CFD/instant); Rithmic R|Trader Pro (futures); GooeyPro (equities)</t>
        </is>
      </c>
      <c r="S22" s="7" t="inlineStr">
        <is>
          <t>https://novafunded.com/faq ; https://novafunded.com/</t>
        </is>
      </c>
    </row>
    <row r="23">
      <c r="A23" s="11" t="n">
        <v>22</v>
      </c>
      <c r="B23" s="11" t="inlineStr">
        <is>
          <t>OFunded</t>
        </is>
      </c>
      <c r="C23" s="11" t="inlineStr">
        <is>
          <t>CFD</t>
        </is>
      </c>
      <c r="D23" s="8" t="inlineStr">
        <is>
          <t>OUI</t>
        </is>
      </c>
      <c r="E23" s="7" t="inlineStr">
        <is>
          <t>Non vérifié</t>
        </is>
      </c>
      <c r="F23" s="11" t="inlineStr">
        <is>
          <t>No copy-trading / multi-account rule found on official site or review sites.</t>
        </is>
      </c>
      <c r="G23" s="11" t="inlineStr"/>
      <c r="H23" s="12" t="n">
        <v>250000</v>
      </c>
      <c r="I23" s="11" t="inlineStr">
        <is>
          <t>inconnu</t>
        </is>
      </c>
      <c r="J23" s="14" t="inlineStr">
        <is>
          <t>inconnu</t>
        </is>
      </c>
      <c r="K23" s="14" t="inlineStr">
        <is>
          <t>inconnu</t>
        </is>
      </c>
      <c r="L23" s="11" t="inlineStr">
        <is>
          <t>unknown</t>
        </is>
      </c>
      <c r="M23" s="11" t="inlineStr">
        <is>
          <t>unknown</t>
        </is>
      </c>
      <c r="N23" s="11" t="inlineStr">
        <is>
          <t>2 Step(250k):1563 (official homepage); Instant-Direct max 100k; 1 Step not offered at 250k</t>
        </is>
      </c>
      <c r="O23" s="11" t="inlineStr">
        <is>
          <t>unknown</t>
        </is>
      </c>
      <c r="P23" s="11" t="inlineStr">
        <is>
          <t>unknown (official FAQ/terms not retrievable; no review coverage)</t>
        </is>
      </c>
      <c r="Q23" s="11" t="inlineStr"/>
      <c r="R23" s="11" t="inlineStr">
        <is>
          <t>cTrader, DXtrade (no EAs), GooeyPro, Match-Trader</t>
        </is>
      </c>
      <c r="S23" s="11" t="inlineStr">
        <is>
          <t>https://ofunded.com/faq ; https://ofunded.com/</t>
        </is>
      </c>
    </row>
    <row r="24">
      <c r="A24" s="7" t="n">
        <v>23</v>
      </c>
      <c r="B24" s="7" t="inlineStr">
        <is>
          <t>Orion Funded</t>
        </is>
      </c>
      <c r="C24" s="7" t="inlineStr">
        <is>
          <t>CFD</t>
        </is>
      </c>
      <c r="D24" s="8" t="inlineStr">
        <is>
          <t>OUI</t>
        </is>
      </c>
      <c r="E24" s="7" t="inlineStr">
        <is>
          <t>Non vérifié</t>
        </is>
      </c>
      <c r="F24" s="7" t="inlineStr">
        <is>
          <t>Conflicting: fundedtrading review: 'Copy trading and coordinated trading across multiple accounts are explicitly prohibited'; propvator review: 'allows copy trading only between accounts owned by the same person'. Official help-center pages (help.orionfunded.com) return 404.</t>
        </is>
      </c>
      <c r="G24" s="7" t="inlineStr"/>
      <c r="H24" s="9" t="n">
        <v>200000</v>
      </c>
      <c r="I24" s="9" t="n">
        <v>400000</v>
      </c>
      <c r="J24" s="14" t="inlineStr">
        <is>
          <t>inconnu</t>
        </is>
      </c>
      <c r="K24" s="14" t="inlineStr">
        <is>
          <t>inconnu</t>
        </is>
      </c>
      <c r="L24" s="7" t="inlineStr">
        <is>
          <t>unknown</t>
        </is>
      </c>
      <c r="M24" s="7" t="inlineStr">
        <is>
          <t>unknown</t>
        </is>
      </c>
      <c r="N24" s="7" t="inlineStr">
        <is>
          <t>unknown (checkout JS-only)</t>
        </is>
      </c>
      <c r="O24" s="7" t="inlineStr">
        <is>
          <t>unknown (conflicting review sites; official rule not retrievable)</t>
        </is>
      </c>
      <c r="P24" s="7" t="inlineStr">
        <is>
          <t>official stated: homepage '$400k Max Allocation' (fundedtrading: 'reach $400K via multi-account')</t>
        </is>
      </c>
      <c r="Q24" s="9" t="n">
        <v>4000000</v>
      </c>
      <c r="R24" s="7" t="inlineStr">
        <is>
          <t>MT5, Match-Trader</t>
        </is>
      </c>
      <c r="S24" s="7" t="inlineStr">
        <is>
          <t>https://orionfunded.com/ ; https://fundedtrading.com/propfirm/orion-funded/ ; https://propvator.com/blog/is-copy-trading-allowed-at-orion-funded/</t>
        </is>
      </c>
    </row>
    <row r="25">
      <c r="A25" s="11" t="n">
        <v>24</v>
      </c>
      <c r="B25" s="11" t="inlineStr">
        <is>
          <t>Pipstone Capital</t>
        </is>
      </c>
      <c r="C25" s="11" t="inlineStr">
        <is>
          <t>CFD</t>
        </is>
      </c>
      <c r="D25" s="8" t="inlineStr">
        <is>
          <t>OUI</t>
        </is>
      </c>
      <c r="E25" s="8" t="inlineStr">
        <is>
          <t>OUI</t>
        </is>
      </c>
      <c r="F25" s="11" t="inlineStr">
        <is>
          <t>Official help center: 'Copy trading is permitted only between Pipstone Capital accounts owned and operated by the same individual.' Prohibited: copy trading between unrelated individuals, group trading, passing services; 'Accounts exhibiting materially identical trading behavior may be investigated' (multi-user context).</t>
        </is>
      </c>
      <c r="G25" s="11" t="inlineStr"/>
      <c r="H25" s="12" t="n">
        <v>100000</v>
      </c>
      <c r="I25" s="11" t="inlineStr">
        <is>
          <t>inconnu</t>
        </is>
      </c>
      <c r="J25" s="14" t="inlineStr">
        <is>
          <t>inconnu</t>
        </is>
      </c>
      <c r="K25" s="10" t="n">
        <v>49</v>
      </c>
      <c r="L25" s="11" t="inlineStr">
        <is>
          <t>unknown (no cumulative cap published; 100k account = 49)</t>
        </is>
      </c>
      <c r="M25" s="11" t="inlineStr">
        <is>
          <t>unknown</t>
        </is>
      </c>
      <c r="N25" s="11" t="inlineStr">
        <is>
          <t>Instant-Direct(100k):49;1 Step(100k):49;2 Step(100k):49 (official homepage, promo BOGO pricing)</t>
        </is>
      </c>
      <c r="O25" s="11" t="inlineStr">
        <is>
          <t>YES but no cumulative cap published -&gt; unknown</t>
        </is>
      </c>
      <c r="P25" s="11" t="inlineStr">
        <is>
          <t>ATTENTION plafond via scaling. unknown (official help center publishes no cumulative cap; scaling to $400K only)</t>
        </is>
      </c>
      <c r="Q25" s="12" t="n">
        <v>400000</v>
      </c>
      <c r="R25" s="11" t="inlineStr">
        <is>
          <t>MT5, cTrader, Match-Trader</t>
        </is>
      </c>
      <c r="S25" s="11" t="inlineStr">
        <is>
          <t>https://help.pipstonecapital.com/en/articles/13787008-prohibited-trading-practices-enforcement-policy ; https://pipstonecapital.com/</t>
        </is>
      </c>
    </row>
    <row r="26">
      <c r="A26" s="7" t="n">
        <v>25</v>
      </c>
      <c r="B26" s="7" t="inlineStr">
        <is>
          <t>Plutus Trade Base</t>
        </is>
      </c>
      <c r="C26" s="7" t="inlineStr">
        <is>
          <t>CFD</t>
        </is>
      </c>
      <c r="D26" s="13" t="inlineStr">
        <is>
          <t>OUI sur certains comptes</t>
        </is>
      </c>
      <c r="E26" s="13" t="inlineStr">
        <is>
          <t>OUI sous conditions</t>
        </is>
      </c>
      <c r="F26" s="7" t="inlineStr">
        <is>
          <t>Official trading rules: 'At PTB, you are allowed to copy trades between your own PTB accounts'; official FAQ: 'Copy trading is not permitted on the Adventure plan'; EAs/bots prohibited on Instant accounts; HFT via EA prohibited on every plan.</t>
        </is>
      </c>
      <c r="G26" s="7" t="inlineStr"/>
      <c r="H26" s="9" t="n">
        <v>500000</v>
      </c>
      <c r="I26" s="7" t="inlineStr">
        <is>
          <t>inconnu</t>
        </is>
      </c>
      <c r="J26" s="14" t="inlineStr">
        <is>
          <t>inconnu</t>
        </is>
      </c>
      <c r="K26" s="14" t="inlineStr">
        <is>
          <t>inconnu</t>
        </is>
      </c>
      <c r="L26" s="7" t="inlineStr">
        <is>
          <t>unknown</t>
        </is>
      </c>
      <c r="M26" s="7" t="inlineStr">
        <is>
          <t>unknown</t>
        </is>
      </c>
      <c r="N26" s="7" t="inlineStr">
        <is>
          <t>adventure_1 Step(500k):59EUR;lightning_1 Step(100k):19-39EUR+109-159EUR activation;freedom(100k):99-479EUR;Instant-Direct(50k):87-691EUR (propfirmreviews review)</t>
        </is>
      </c>
      <c r="O26" s="7" t="inlineStr">
        <is>
          <t>YES but 'one set of accounts', no cumulative $ cap published -&gt; unknown</t>
        </is>
      </c>
      <c r="P26" s="7" t="inlineStr">
        <is>
          <t>unknown (official FAQ: 'You may hold one set of accounts unless PTB agrees otherwise in writing'; no $ figure)</t>
        </is>
      </c>
      <c r="Q26" s="7" t="inlineStr"/>
      <c r="R26" s="7" t="inlineStr">
        <is>
          <t>MT5, cTrader, TradeLocker, Match-Trader, DXtrade, TradingView</t>
        </is>
      </c>
      <c r="S26" s="7" t="inlineStr">
        <is>
          <t>https://plutustradebase.com/faqs/ ; https://plutustradebase.com/docs-categories/trading-rules/</t>
        </is>
      </c>
    </row>
    <row r="27">
      <c r="A27" s="11" t="n">
        <v>26</v>
      </c>
      <c r="B27" s="11" t="inlineStr">
        <is>
          <t>Propanium</t>
        </is>
      </c>
      <c r="C27" s="11" t="inlineStr">
        <is>
          <t>CFD</t>
        </is>
      </c>
      <c r="D27" s="8" t="inlineStr">
        <is>
          <t>OUI</t>
        </is>
      </c>
      <c r="E27" s="7" t="inlineStr">
        <is>
          <t>Non vérifié</t>
        </is>
      </c>
      <c r="F27" s="11" t="inlineStr">
        <is>
          <t>Official rules: 'Placing big volumes in one direction or hedging between accounts is prohibited'; EAs allowed if not sub-second HFT; no explicit rule on copying between own accounts (TTP lists 'Copy Trading' as feature).</t>
        </is>
      </c>
      <c r="G27" s="11" t="inlineStr"/>
      <c r="H27" s="12" t="n">
        <v>100000</v>
      </c>
      <c r="I27" s="12" t="n">
        <v>500000</v>
      </c>
      <c r="J27" s="14" t="inlineStr">
        <is>
          <t>inconnu</t>
        </is>
      </c>
      <c r="K27" s="14" t="inlineStr">
        <is>
          <t>inconnu</t>
        </is>
      </c>
      <c r="L27" s="11" t="inlineStr">
        <is>
          <t>unknown</t>
        </is>
      </c>
      <c r="M27" s="11" t="inlineStr">
        <is>
          <t>unknown</t>
        </is>
      </c>
      <c r="N27" s="11" t="inlineStr">
        <is>
          <t>Instant-Direct(100k):691;boost(100k):399;flash(100k):226;1 Step(100k):436;2 Step(100k):340 (propfirmmap review)</t>
        </is>
      </c>
      <c r="O27" s="11" t="inlineStr">
        <is>
          <t>unknown</t>
        </is>
      </c>
      <c r="P27" s="11" t="inlineStr">
        <is>
          <t>review site (TTP: max allocation $500K; official rules publish no cap)</t>
        </is>
      </c>
      <c r="Q27" s="11" t="inlineStr"/>
      <c r="R27" s="11" t="inlineStr">
        <is>
          <t>cTrader (TTP)</t>
        </is>
      </c>
      <c r="S27" s="11" t="inlineStr">
        <is>
          <t>https://propanium.com/challenge-rules ; https://propanium.com/ ; https://thetrustedprop.com/prop-firms/propanium</t>
        </is>
      </c>
    </row>
    <row r="28">
      <c r="A28" s="7" t="n">
        <v>27</v>
      </c>
      <c r="B28" s="7" t="inlineStr">
        <is>
          <t>Sakinnah Capital</t>
        </is>
      </c>
      <c r="C28" s="7" t="inlineStr">
        <is>
          <t>CFD</t>
        </is>
      </c>
      <c r="D28" s="8" t="inlineStr">
        <is>
          <t>OUI</t>
        </is>
      </c>
      <c r="E28" s="15" t="inlineStr">
        <is>
          <t>NON (un seul compte par stratégie)</t>
        </is>
      </c>
      <c r="F28" s="7" t="inlineStr">
        <is>
          <t>Official rules: 'Running Same EA on Multiple Accounts' = 'One automated strategy controlling several funded accounts simultaneously' -&gt; warning then ban; 'Sharing Signals / Strategies' banned.</t>
        </is>
      </c>
      <c r="G28" s="7" t="inlineStr"/>
      <c r="H28" s="7" t="inlineStr">
        <is>
          <t>inconnu</t>
        </is>
      </c>
      <c r="I28" s="7" t="inlineStr">
        <is>
          <t>inconnu</t>
        </is>
      </c>
      <c r="J28" s="14" t="inlineStr">
        <is>
          <t>inconnu</t>
        </is>
      </c>
      <c r="K28" s="14" t="inlineStr">
        <is>
          <t>inconnu</t>
        </is>
      </c>
      <c r="L28" s="7" t="inlineStr">
        <is>
          <t>unknown</t>
        </is>
      </c>
      <c r="M28" s="7" t="inlineStr">
        <is>
          <t>unknown</t>
        </is>
      </c>
      <c r="N28" s="7" t="inlineStr"/>
      <c r="O28" s="7" t="inlineStr">
        <is>
          <t>NO -&gt; max single account (size unknown)</t>
        </is>
      </c>
      <c r="P28" s="7" t="inlineStr">
        <is>
          <t>unknown (not published; only $5K/$25K accounts seen)</t>
        </is>
      </c>
      <c r="Q28" s="7" t="inlineStr"/>
      <c r="R28" s="7" t="inlineStr">
        <is>
          <t>unknown</t>
        </is>
      </c>
      <c r="S28" s="7" t="inlineStr">
        <is>
          <t>https://sakinnahcapital.com/rules ; https://sakinnahcapital.com/</t>
        </is>
      </c>
    </row>
    <row r="29">
      <c r="A29" s="11" t="n">
        <v>28</v>
      </c>
      <c r="B29" s="11" t="inlineStr">
        <is>
          <t>Shark Futures</t>
        </is>
      </c>
      <c r="C29" s="11" t="inlineStr">
        <is>
          <t>Futures</t>
        </is>
      </c>
      <c r="D29" s="8" t="inlineStr">
        <is>
          <t>OUI</t>
        </is>
      </c>
      <c r="E29" s="7" t="inlineStr">
        <is>
          <t>Non vérifié</t>
        </is>
      </c>
      <c r="F29" s="11" t="inlineStr">
        <is>
          <t>Conflicting: propfirmmap review 'Copy trading: Not allowed'; official homepage advertises Volumetrica 'Trade Copier for multiple accounts'; help center has no copy-trading article.</t>
        </is>
      </c>
      <c r="G29" s="11" t="inlineStr">
        <is>
          <t>5</t>
        </is>
      </c>
      <c r="H29" s="12" t="n">
        <v>150000</v>
      </c>
      <c r="I29" s="12" t="n">
        <v>750000</v>
      </c>
      <c r="J29" s="14" t="inlineStr">
        <is>
          <t>inconnu</t>
        </is>
      </c>
      <c r="K29" s="10" t="n">
        <v>2405</v>
      </c>
      <c r="L29" s="11" t="inlineStr">
        <is>
          <t>unknown (if allowed: 5 x 481 = 2405)</t>
        </is>
      </c>
      <c r="M29" s="11" t="inlineStr">
        <is>
          <t>unknown</t>
        </is>
      </c>
      <c r="N29" s="11" t="inlineStr">
        <is>
          <t>1 Step(150k):481;Instant-Direct_pro(150k):1199 (propfirmmap review)</t>
        </is>
      </c>
      <c r="O29" s="11" t="inlineStr">
        <is>
          <t>unknown (conflicting)</t>
        </is>
      </c>
      <c r="P29" s="11" t="inlineStr">
        <is>
          <t>official computed: homepage 'Max 5 Accounts' x 150000 = 'Funding up to $750,000'</t>
        </is>
      </c>
      <c r="Q29" s="12" t="n">
        <v>750000</v>
      </c>
      <c r="R29" s="11" t="inlineStr">
        <is>
          <t>Rithmic/Tradesea; Volumetrica; Quantower; ATAS (DeepCharts web coming)</t>
        </is>
      </c>
      <c r="S29" s="11" t="inlineStr">
        <is>
          <t>https://www.sharkfutures.com/ ; https://propfirmmap.com/firms/sharkfutures ; https://help.sharkfutures.com/</t>
        </is>
      </c>
    </row>
    <row r="30">
      <c r="A30" s="7" t="n">
        <v>29</v>
      </c>
      <c r="B30" s="7" t="inlineStr">
        <is>
          <t>T3 Trading Group</t>
        </is>
      </c>
      <c r="C30" s="7" t="inlineStr">
        <is>
          <t>CFD + Futures</t>
        </is>
      </c>
      <c r="D30" s="8" t="inlineStr">
        <is>
          <t>OUI</t>
        </is>
      </c>
      <c r="E30" s="7" t="inlineStr">
        <is>
          <t>Non vérifié</t>
        </is>
      </c>
      <c r="F30" s="7" t="inlineStr">
        <is>
          <t>Not an evaluation prop firm; licensed professional traders with capital contribution; no published copy/EA rules.</t>
        </is>
      </c>
      <c r="G30" s="7" t="inlineStr"/>
      <c r="H30" s="7" t="inlineStr">
        <is>
          <t>inconnu</t>
        </is>
      </c>
      <c r="I30" s="7" t="inlineStr">
        <is>
          <t>inconnu</t>
        </is>
      </c>
      <c r="J30" s="14" t="inlineStr">
        <is>
          <t>inconnu</t>
        </is>
      </c>
      <c r="K30" s="14" t="inlineStr">
        <is>
          <t>inconnu</t>
        </is>
      </c>
      <c r="L30" s="7" t="inlineStr">
        <is>
          <t>unknown</t>
        </is>
      </c>
      <c r="M30" s="7" t="inlineStr">
        <is>
          <t>unknown</t>
        </is>
      </c>
      <c r="N30" s="7" t="inlineStr"/>
      <c r="O30" s="7" t="inlineStr">
        <is>
          <t>not applicable</t>
        </is>
      </c>
      <c r="P30" s="7" t="inlineStr">
        <is>
          <t>not applicable (SEC-registered broker-dealer, no evaluation caps)</t>
        </is>
      </c>
      <c r="Q30" s="7" t="inlineStr"/>
      <c r="R30" s="7" t="inlineStr">
        <is>
          <t>Sterling API/Sterling Trader; LS Trader; SSC Eze; Rithmic</t>
        </is>
      </c>
      <c r="S30" s="7" t="inlineStr">
        <is>
          <t>https://t3trading.com/</t>
        </is>
      </c>
    </row>
    <row r="31">
      <c r="A31" s="11" t="n">
        <v>30</v>
      </c>
      <c r="B31" s="11" t="inlineStr">
        <is>
          <t>TenTrade</t>
        </is>
      </c>
      <c r="C31" s="11" t="inlineStr">
        <is>
          <t>CFD</t>
        </is>
      </c>
      <c r="D31" s="13" t="inlineStr">
        <is>
          <t>OUI sur certains comptes</t>
        </is>
      </c>
      <c r="E31" s="7" t="inlineStr">
        <is>
          <t>Non vérifié</t>
        </is>
      </c>
      <c r="F31" s="11" t="inlineStr">
        <is>
          <t>Official FAQ: bots/EAs only on Instant Funding accounts, not in Evaluation; no rule on copying between own accounts found.</t>
        </is>
      </c>
      <c r="G31" s="11" t="inlineStr"/>
      <c r="H31" s="12" t="n">
        <v>500000</v>
      </c>
      <c r="I31" s="11" t="inlineStr">
        <is>
          <t>inconnu</t>
        </is>
      </c>
      <c r="J31" s="14" t="inlineStr">
        <is>
          <t>inconnu</t>
        </is>
      </c>
      <c r="K31" s="14" t="inlineStr">
        <is>
          <t>inconnu</t>
        </is>
      </c>
      <c r="L31" s="11" t="inlineStr">
        <is>
          <t>unknown</t>
        </is>
      </c>
      <c r="M31" s="11" t="inlineStr">
        <is>
          <t>unknown</t>
        </is>
      </c>
      <c r="N31" s="11" t="inlineStr">
        <is>
          <t>Instant-Direct(500k):11000;1 Step(500k):1650 (official)</t>
        </is>
      </c>
      <c r="O31" s="11" t="inlineStr">
        <is>
          <t>unknown</t>
        </is>
      </c>
      <c r="P31" s="11" t="inlineStr">
        <is>
          <t>unknown (official FAQ: 'You can hold multiple accounts simultaneously'; no cap published)</t>
        </is>
      </c>
      <c r="Q31" s="12" t="n">
        <v>500000</v>
      </c>
      <c r="R31" s="11" t="inlineStr">
        <is>
          <t>MT5; WebTrader</t>
        </is>
      </c>
      <c r="S31" s="11" t="inlineStr">
        <is>
          <t>https://tentrade.com/en/help-centre/faq/ ; https://tentrade.com/en/trade/funded-accounts/funded-trader/</t>
        </is>
      </c>
    </row>
    <row r="32">
      <c r="A32" s="7" t="n">
        <v>31</v>
      </c>
      <c r="B32" s="7" t="inlineStr">
        <is>
          <t>The Funded Way</t>
        </is>
      </c>
      <c r="C32" s="7" t="inlineStr">
        <is>
          <t>CFD</t>
        </is>
      </c>
      <c r="D32" s="8" t="inlineStr">
        <is>
          <t>OUI</t>
        </is>
      </c>
      <c r="E32" s="7" t="inlineStr">
        <is>
          <t>Non vérifié</t>
        </is>
      </c>
      <c r="F32" s="7" t="inlineStr">
        <is>
          <t>Official EA policy: custom EAs allowed but must be declared with source/hash before funded use; no rule on copying between own accounts found.</t>
        </is>
      </c>
      <c r="G32" s="7" t="inlineStr"/>
      <c r="H32" s="9" t="n">
        <v>100000</v>
      </c>
      <c r="I32" s="7" t="inlineStr">
        <is>
          <t>inconnu</t>
        </is>
      </c>
      <c r="J32" s="14" t="inlineStr">
        <is>
          <t>inconnu</t>
        </is>
      </c>
      <c r="K32" s="14" t="inlineStr">
        <is>
          <t>inconnu</t>
        </is>
      </c>
      <c r="L32" s="7" t="inlineStr">
        <is>
          <t>unknown</t>
        </is>
      </c>
      <c r="M32" s="7" t="inlineStr">
        <is>
          <t>unknown</t>
        </is>
      </c>
      <c r="N32" s="7" t="inlineStr">
        <is>
          <t>Instant-Direct_rapid(100k):915;1 Step_swift(100k):599;2 Step_starter(100k):532 (official)</t>
        </is>
      </c>
      <c r="O32" s="7" t="inlineStr">
        <is>
          <t>unknown</t>
        </is>
      </c>
      <c r="P32" s="7" t="inlineStr">
        <is>
          <t>unknown (help center has no max-accounts article)</t>
        </is>
      </c>
      <c r="Q32" s="9" t="n">
        <v>3000000</v>
      </c>
      <c r="R32" s="7" t="inlineStr">
        <is>
          <t>Platform5 (MT5 environment); Match-Trader coming</t>
        </is>
      </c>
      <c r="S32" s="7" t="inlineStr">
        <is>
          <t>https://help.thefundedway.com/en/articles/12461845-ea-algo-trading-policy ; https://thefundedway.com/programs/</t>
        </is>
      </c>
    </row>
    <row r="33">
      <c r="A33" s="11" t="n">
        <v>32</v>
      </c>
      <c r="B33" s="11" t="inlineStr">
        <is>
          <t>TopTraderPrime</t>
        </is>
      </c>
      <c r="C33" s="11" t="inlineStr">
        <is>
          <t>CFD</t>
        </is>
      </c>
      <c r="D33" s="8" t="inlineStr">
        <is>
          <t>OUI</t>
        </is>
      </c>
      <c r="E33" s="7" t="inlineStr">
        <is>
          <t>Non vérifié</t>
        </is>
      </c>
      <c r="F33" s="11" t="inlineStr">
        <is>
          <t>Official rules: EAs allowed (undeclared EAs prohibited), HFT/scalping &lt;100s banned, 'All accounts of the same client are linked' with cross-account offsetting; mentions a 'Copy Trading Program' but no explicit rule on copying between own accounts; TTP: no account sharing.</t>
        </is>
      </c>
      <c r="G33" s="11" t="inlineStr">
        <is>
          <t>3</t>
        </is>
      </c>
      <c r="H33" s="12" t="n">
        <v>1000000</v>
      </c>
      <c r="I33" s="12" t="n">
        <v>3000000</v>
      </c>
      <c r="J33" s="14" t="inlineStr">
        <is>
          <t>inconnu</t>
        </is>
      </c>
      <c r="K33" s="14" t="inlineStr">
        <is>
          <t>inconnu</t>
        </is>
      </c>
      <c r="L33" s="11" t="inlineStr">
        <is>
          <t>unknown</t>
        </is>
      </c>
      <c r="M33" s="11" t="inlineStr">
        <is>
          <t>unknown</t>
        </is>
      </c>
      <c r="N33" s="11" t="inlineStr">
        <is>
          <t>1 Step(1M):1300EUR;2 Step(1M):1190EUR;Instant-Direct(1M):4000EUR (fundedtrading review, EUR)</t>
        </is>
      </c>
      <c r="O33" s="11" t="inlineStr">
        <is>
          <t>unknown</t>
        </is>
      </c>
      <c r="P33" s="11" t="inlineStr">
        <is>
          <t>official stated: rules 'Max capital: $1,000,000 / account · $3,000,000 combined'</t>
        </is>
      </c>
      <c r="Q33" s="11" t="inlineStr"/>
      <c r="R33" s="11" t="inlineStr">
        <is>
          <t>TradingView-powered web platform (plateforme.toptraderprime.com; cTrader backend)</t>
        </is>
      </c>
      <c r="S33" s="11" t="inlineStr">
        <is>
          <t>https://toptraderprime.com/regles ; https://fundedtrading.com/propfirm/toptraderprime/</t>
        </is>
      </c>
    </row>
    <row r="34">
      <c r="A34" s="7" t="n">
        <v>33</v>
      </c>
      <c r="B34" s="7" t="inlineStr">
        <is>
          <t>TradeFundrr</t>
        </is>
      </c>
      <c r="C34" s="7" t="inlineStr">
        <is>
          <t>CFD + Futures</t>
        </is>
      </c>
      <c r="D34" s="8" t="inlineStr">
        <is>
          <t>OUI</t>
        </is>
      </c>
      <c r="E34" s="7" t="inlineStr">
        <is>
          <t>Non vérifié</t>
        </is>
      </c>
      <c r="F34" s="7" t="inlineStr">
        <is>
          <t>Official: 'Certain automated strategies and trade management tools may be permitted depending on the platform and program'; no copy rule published.</t>
        </is>
      </c>
      <c r="G34" s="7" t="inlineStr"/>
      <c r="H34" s="9" t="n">
        <v>100000</v>
      </c>
      <c r="I34" s="7" t="inlineStr">
        <is>
          <t>inconnu</t>
        </is>
      </c>
      <c r="J34" s="14" t="inlineStr">
        <is>
          <t>inconnu</t>
        </is>
      </c>
      <c r="K34" s="14" t="inlineStr">
        <is>
          <t>inconnu</t>
        </is>
      </c>
      <c r="L34" s="7" t="inlineStr">
        <is>
          <t>unknown</t>
        </is>
      </c>
      <c r="M34" s="7" t="inlineStr">
        <is>
          <t>unknown</t>
        </is>
      </c>
      <c r="N34" s="7" t="inlineStr">
        <is>
          <t>2 Step_growth:399;Instant-Direct_express:899-1999 (+99/mo platform) (official, size not specified)</t>
        </is>
      </c>
      <c r="O34" s="7" t="inlineStr">
        <is>
          <t>unknown</t>
        </is>
      </c>
      <c r="P34" s="7" t="inlineStr">
        <is>
          <t>unknown (official: 'number of accounts allowed may vary by program')</t>
        </is>
      </c>
      <c r="Q34" s="7" t="inlineStr"/>
      <c r="R34" s="7" t="inlineStr">
        <is>
          <t>TradingView; Tradovate Prop; NinjaTrader Prop; Quantower; web platform</t>
        </is>
      </c>
      <c r="S34" s="7" t="inlineStr">
        <is>
          <t>https://tradefundrr.com/ ; https://tradefundrr.freshdesk.com/support/home</t>
        </is>
      </c>
    </row>
    <row r="35">
      <c r="A35" s="11" t="n">
        <v>34</v>
      </c>
      <c r="B35" s="11" t="inlineStr">
        <is>
          <t>TrioFunded</t>
        </is>
      </c>
      <c r="C35" s="11" t="inlineStr">
        <is>
          <t>CFD</t>
        </is>
      </c>
      <c r="D35" s="8" t="inlineStr">
        <is>
          <t>OUI</t>
        </is>
      </c>
      <c r="E35" s="8" t="inlineStr">
        <is>
          <t>OUI</t>
        </is>
      </c>
      <c r="F35" s="11" t="inlineStr">
        <is>
          <t>Official FAQ: 'EAs, copy trading, hedging, and discretionary strategies are permitted as long as they are not toxic or exploit platform vulnerabilities'; arbitrage between accounts prohibited.</t>
        </is>
      </c>
      <c r="G35" s="11" t="inlineStr"/>
      <c r="H35" s="12" t="n">
        <v>500000</v>
      </c>
      <c r="I35" s="11" t="inlineStr">
        <is>
          <t>inconnu</t>
        </is>
      </c>
      <c r="J35" s="14" t="inlineStr">
        <is>
          <t>inconnu</t>
        </is>
      </c>
      <c r="K35" s="14" t="inlineStr">
        <is>
          <t>inconnu</t>
        </is>
      </c>
      <c r="L35" s="11" t="inlineStr">
        <is>
          <t>unknown</t>
        </is>
      </c>
      <c r="M35" s="11" t="inlineStr">
        <is>
          <t>unknown</t>
        </is>
      </c>
      <c r="N35" s="11" t="inlineStr">
        <is>
          <t>2 Step(500k):2452EUR;2 Step(100k):452EUR (official pricing page, EUR)</t>
        </is>
      </c>
      <c r="O35" s="11" t="inlineStr">
        <is>
          <t>YES but no cumulative cap published -&gt; unknown</t>
        </is>
      </c>
      <c r="P35" s="11" t="inlineStr">
        <is>
          <t>unknown (official FAQ publishes no max-accounts rule)</t>
        </is>
      </c>
      <c r="Q35" s="12" t="n">
        <v>1000000</v>
      </c>
      <c r="R35" s="11" t="inlineStr">
        <is>
          <t>MT5</t>
        </is>
      </c>
      <c r="S35" s="11" t="inlineStr">
        <is>
          <t>https://triofunded.triomarkets.com/faq ; https://triofunded.triomarkets.com/pricing</t>
        </is>
      </c>
    </row>
    <row r="36">
      <c r="A36" s="7" t="n">
        <v>35</v>
      </c>
      <c r="B36" s="7" t="inlineStr">
        <is>
          <t>we Fund Traders</t>
        </is>
      </c>
      <c r="C36" s="7" t="inlineStr">
        <is>
          <t>CFD</t>
        </is>
      </c>
      <c r="D36" s="8" t="inlineStr">
        <is>
          <t>OUI</t>
        </is>
      </c>
      <c r="E36" s="7" t="inlineStr">
        <is>
          <t>Non vérifié</t>
        </is>
      </c>
      <c r="F36" s="7" t="inlineStr">
        <is>
          <t>Official FAQ: any strategy incl. algorithmic trading allowed; no rule on copying between own accounts found; TTP page not found.</t>
        </is>
      </c>
      <c r="G36" s="7" t="inlineStr">
        <is>
          <t>7</t>
        </is>
      </c>
      <c r="H36" s="9" t="n">
        <v>500000</v>
      </c>
      <c r="I36" s="9" t="n">
        <v>940000</v>
      </c>
      <c r="J36" s="14" t="inlineStr">
        <is>
          <t>inconnu</t>
        </is>
      </c>
      <c r="K36" s="14" t="inlineStr">
        <is>
          <t>inconnu</t>
        </is>
      </c>
      <c r="L36" s="7" t="inlineStr">
        <is>
          <t>unknown</t>
        </is>
      </c>
      <c r="M36" s="7" t="inlineStr">
        <is>
          <t>unknown</t>
        </is>
      </c>
      <c r="N36" s="7" t="inlineStr">
        <is>
          <t>unknown (prices only at checkout)</t>
        </is>
      </c>
      <c r="O36" s="7" t="inlineStr">
        <is>
          <t>unknown</t>
        </is>
      </c>
      <c r="P36" s="7" t="inlineStr">
        <is>
          <t>official computed: 'one account per audition tier' x sum of one-step tiers (5K+10K+25K+50K+100K+250K+500K)</t>
        </is>
      </c>
      <c r="Q36" s="7" t="inlineStr"/>
      <c r="R36" s="7" t="inlineStr">
        <is>
          <t>DXtrade (no EAs); MTR (Match-Trader); cTrader</t>
        </is>
      </c>
      <c r="S36" s="7" t="inlineStr">
        <is>
          <t>https://wefundtraders.co.uk/faqs ; https://wefundtraders.co.uk/one-step-assessment-plans-1</t>
        </is>
      </c>
    </row>
    <row r="37">
      <c r="A37" s="11" t="n">
        <v>36</v>
      </c>
      <c r="B37" s="11" t="inlineStr">
        <is>
          <t>XPIPS</t>
        </is>
      </c>
      <c r="C37" s="11" t="inlineStr">
        <is>
          <t>CFD</t>
        </is>
      </c>
      <c r="D37" s="8" t="inlineStr">
        <is>
          <t>OUI</t>
        </is>
      </c>
      <c r="E37" s="7" t="inlineStr">
        <is>
          <t>Non vérifié</t>
        </is>
      </c>
      <c r="F37" s="11" t="inlineStr">
        <is>
          <t>Official rulebook lists 'Expert Advisors' section (text not retrievable); prohibits account sharing, order spamming, HFT; no copy-trading rule retrievable.</t>
        </is>
      </c>
      <c r="G37" s="11" t="inlineStr"/>
      <c r="H37" s="12" t="n">
        <v>100000</v>
      </c>
      <c r="I37" s="12" t="n">
        <v>400000</v>
      </c>
      <c r="J37" s="14" t="inlineStr">
        <is>
          <t>inconnu</t>
        </is>
      </c>
      <c r="K37" s="14" t="inlineStr">
        <is>
          <t>inconnu</t>
        </is>
      </c>
      <c r="L37" s="11" t="inlineStr">
        <is>
          <t>unknown</t>
        </is>
      </c>
      <c r="M37" s="11" t="inlineStr">
        <is>
          <t>unknown</t>
        </is>
      </c>
      <c r="N37" s="11" t="inlineStr">
        <is>
          <t>pay_after_pass(100k):549 (9.99 upfront + 539.01 after pass, official);Instant-Direct/1 Step/2 Step:unknown</t>
        </is>
      </c>
      <c r="O37" s="11" t="inlineStr">
        <is>
          <t>unknown</t>
        </is>
      </c>
      <c r="P37" s="11" t="inlineStr">
        <is>
          <t>official stated: '$400K max total allocation per trader'</t>
        </is>
      </c>
      <c r="Q37" s="12" t="n">
        <v>2000000</v>
      </c>
      <c r="R37" s="11" t="inlineStr">
        <is>
          <t>MT5 (Platform 5)</t>
        </is>
      </c>
      <c r="S37" s="11" t="inlineStr">
        <is>
          <t>https://xpips.com/trading-rules ; https://xpips.com/</t>
        </is>
      </c>
    </row>
    <row r="38">
      <c r="A38" s="7" t="n">
        <v>37</v>
      </c>
      <c r="B38" s="7" t="inlineStr">
        <is>
          <t>Zenit Funding</t>
        </is>
      </c>
      <c r="C38" s="7" t="inlineStr">
        <is>
          <t>Futures</t>
        </is>
      </c>
      <c r="D38" s="8" t="inlineStr">
        <is>
          <t>OUI</t>
        </is>
      </c>
      <c r="E38" s="7" t="inlineStr">
        <is>
          <t>Non vérifié</t>
        </is>
      </c>
      <c r="F38" s="7" t="inlineStr">
        <is>
          <t>Official rules: 'Copy trading: using a copy trading service is prohibited. The account must be traded solely by you'; algorithm allowed only if you own the source code; cross-account hedging and 'multi-account martingale' prohibited; running one own algo on several accounts not explicitly addressed.</t>
        </is>
      </c>
      <c r="G38" s="7" t="inlineStr">
        <is>
          <t>3</t>
        </is>
      </c>
      <c r="H38" s="9" t="n">
        <v>300000</v>
      </c>
      <c r="I38" s="9" t="n">
        <v>900000</v>
      </c>
      <c r="J38" s="14" t="inlineStr">
        <is>
          <t>inconnu</t>
        </is>
      </c>
      <c r="K38" s="10" t="n">
        <v>1977</v>
      </c>
      <c r="L38" s="7" t="inlineStr">
        <is>
          <t>unknown (if allowed: 3 x 659/month = 1977 per month)</t>
        </is>
      </c>
      <c r="M38" s="7" t="inlineStr">
        <is>
          <t>unknown</t>
        </is>
      </c>
      <c r="N38" s="7" t="inlineStr">
        <is>
          <t>1 Step_classic(300k):659 per month + 149 activation (official)</t>
        </is>
      </c>
      <c r="O38" s="7" t="inlineStr">
        <is>
          <t>unknown (copy-trading services banned; own algo on 3 accounts not addressed)</t>
        </is>
      </c>
      <c r="P38" s="7" t="inlineStr">
        <is>
          <t>official computed: 'funded phase max 3 simultaneous accounts' x 300000 (challenge max 5)</t>
        </is>
      </c>
      <c r="Q38" s="7" t="inlineStr"/>
      <c r="R38" s="7" t="inlineStr">
        <is>
          <t>Zenit platform (included); ATAS; Quantower; Volumetrica</t>
        </is>
      </c>
      <c r="S38" s="7" t="inlineStr">
        <is>
          <t>https://zenitfunding.com/ ; https://www.zenitfunding.com/</t>
        </is>
      </c>
    </row>
  </sheetData>
  <autoFilter ref="A1:S3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2026-09-28T05:42:40Z</dcterms:created>
  <dcterms:modified xsi:type="dcterms:W3CDTF">2026-09-28T05:42:40Z</dcterms:modified>
</cp:coreProperties>
</file>